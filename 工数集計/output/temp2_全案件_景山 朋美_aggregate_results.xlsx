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cessed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B8CCE4"/>
        <bgColor rgb="00B8CCE4"/>
      </patternFill>
    </fill>
    <fill>
      <patternFill patternType="solid">
        <fgColor rgb="00009999"/>
        <bgColor rgb="000099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.800000000000001" customWidth="1" min="1" max="1"/>
    <col width="19.8" customWidth="1" min="2" max="2"/>
    <col width="9.9" customWidth="1" min="4" max="4"/>
    <col hidden="1" outlineLevel="1" width="7.700000000000001" customWidth="1" min="6" max="9"/>
    <col hidden="1" outlineLevel="1" width="13" customWidth="1" min="10" max="14"/>
    <col width="7.700000000000001" customWidth="1" min="16" max="16"/>
    <col width="31.9" customWidth="1" min="17" max="17"/>
  </cols>
  <sheetData>
    <row r="1">
      <c r="A1" s="2" t="inlineStr">
        <is>
          <t>集計_社員名</t>
        </is>
      </c>
      <c r="B1" s="2" t="inlineStr">
        <is>
          <t>集計_PJコード</t>
        </is>
      </c>
      <c r="C1" s="2" t="inlineStr">
        <is>
          <t>集計_工数(h)</t>
        </is>
      </c>
      <c r="D1" s="2" t="inlineStr">
        <is>
          <t>集計_ブロック</t>
        </is>
      </c>
      <c r="E1" s="2" t="inlineStr">
        <is>
          <t>集計_工数(h)_番外</t>
        </is>
      </c>
      <c r="F1" s="3" t="inlineStr">
        <is>
          <t>社員コード</t>
        </is>
      </c>
      <c r="G1" s="3" t="inlineStr">
        <is>
          <t>社員名</t>
        </is>
      </c>
      <c r="H1" s="3" t="inlineStr">
        <is>
          <t>PJコード</t>
        </is>
      </c>
      <c r="I1" s="3" t="inlineStr">
        <is>
          <t>開始日</t>
        </is>
      </c>
      <c r="J1" s="3" t="inlineStr">
        <is>
          <t>作業時間</t>
        </is>
      </c>
      <c r="K1" s="3" t="inlineStr">
        <is>
          <t>メモ_詳細</t>
        </is>
      </c>
      <c r="L1" s="3" t="inlineStr">
        <is>
          <t>メモ_区分</t>
        </is>
      </c>
      <c r="M1" s="3" t="inlineStr">
        <is>
          <t>工程１:管理コード</t>
        </is>
      </c>
      <c r="N1" s="3" t="inlineStr">
        <is>
          <t>工程１:名称</t>
        </is>
      </c>
      <c r="O1" s="2" t="inlineStr">
        <is>
          <t>開始時間</t>
        </is>
      </c>
      <c r="P1" s="2" t="inlineStr">
        <is>
          <t>終了時間</t>
        </is>
      </c>
      <c r="Q1" t="inlineStr">
        <is>
          <t>メモ</t>
        </is>
      </c>
    </row>
    <row r="2">
      <c r="A2" t="inlineStr">
        <is>
          <t>景山 朋美</t>
        </is>
      </c>
      <c r="B2" t="inlineStr">
        <is>
          <t>MHIn001:三菱重工　導入前</t>
        </is>
      </c>
      <c r="C2">
        <f>SUMIFS(J:J, G:G, A2, H:H, B2)</f>
        <v/>
      </c>
      <c r="D2">
        <f>L2</f>
        <v/>
      </c>
      <c r="E2">
        <f>SUMIFS(J:J, G:G, A2, H:H, B2, L:L, L2)</f>
        <v/>
      </c>
      <c r="F2" t="inlineStr">
        <is>
          <t>37</t>
        </is>
      </c>
      <c r="G2" t="inlineStr">
        <is>
          <t>景山 朋美</t>
        </is>
      </c>
      <c r="H2" t="inlineStr">
        <is>
          <t>MHIn001:三菱重工　導入前</t>
        </is>
      </c>
      <c r="I2" s="1" t="n">
        <v>46014</v>
      </c>
      <c r="J2" t="n">
        <v>3.5</v>
      </c>
      <c r="K2">
        <f>IFERROR(MID(Q2, FIND(",", Q2) + 1, LEN(Q2) - FIND(",", Q2)), Q2)</f>
        <v/>
      </c>
      <c r="L2">
        <f>IFERROR(LEFT(Q2, FIND(",", Q2) - 1), "-")</f>
        <v/>
      </c>
      <c r="M2" t="n">
        <v>2</v>
      </c>
      <c r="O2" s="2" t="inlineStr">
        <is>
          <t>13:00</t>
        </is>
      </c>
      <c r="P2" s="2" t="inlineStr">
        <is>
          <t>16:30</t>
        </is>
      </c>
      <c r="Q2" t="inlineStr">
        <is>
          <t>Tframeの内容落とし込み/資料読込</t>
        </is>
      </c>
    </row>
    <row r="3">
      <c r="A3" t="inlineStr">
        <is>
          <t>景山 朋美</t>
        </is>
      </c>
      <c r="B3" t="inlineStr">
        <is>
          <t>MHIn001:三菱重工　導入前</t>
        </is>
      </c>
      <c r="D3">
        <f>L3</f>
        <v/>
      </c>
      <c r="E3">
        <f>SUMIFS(J:J, G:G, A3, H:H, B3, L:L, L3)</f>
        <v/>
      </c>
      <c r="F3" t="inlineStr">
        <is>
          <t>37</t>
        </is>
      </c>
      <c r="G3" t="inlineStr">
        <is>
          <t>景山 朋美</t>
        </is>
      </c>
      <c r="H3" t="inlineStr">
        <is>
          <t>MHIn001:三菱重工　導入前</t>
        </is>
      </c>
      <c r="I3" s="1" t="n">
        <v>46000</v>
      </c>
      <c r="J3" t="n">
        <v>1.5</v>
      </c>
      <c r="K3">
        <f>IFERROR(MID(Q3, FIND(",", Q3) + 1, LEN(Q3) - FIND(",", Q3)), Q3)</f>
        <v/>
      </c>
      <c r="L3">
        <f>IFERROR(LEFT(Q3, FIND(",", Q3) - 1), "-")</f>
        <v/>
      </c>
      <c r="M3" t="n">
        <v>2</v>
      </c>
      <c r="O3" s="2" t="inlineStr">
        <is>
          <t>18:00</t>
        </is>
      </c>
      <c r="P3" s="2" t="inlineStr">
        <is>
          <t>19:30</t>
        </is>
      </c>
      <c r="Q3" t="inlineStr">
        <is>
          <t>Tframe（メール一括送信機能/メール送付機能）学び</t>
        </is>
      </c>
    </row>
    <row r="4">
      <c r="A4" t="inlineStr">
        <is>
          <t>景山 朋美</t>
        </is>
      </c>
      <c r="B4" t="inlineStr">
        <is>
          <t>MHIn001:三菱重工　導入前</t>
        </is>
      </c>
      <c r="D4">
        <f>L4</f>
        <v/>
      </c>
      <c r="E4">
        <f>SUMIFS(J:J, G:G, A4, H:H, B4, L:L, L4)</f>
        <v/>
      </c>
      <c r="F4" t="inlineStr">
        <is>
          <t>37</t>
        </is>
      </c>
      <c r="G4" t="inlineStr">
        <is>
          <t>景山 朋美</t>
        </is>
      </c>
      <c r="H4" t="inlineStr">
        <is>
          <t>MHIn001:三菱重工　導入前</t>
        </is>
      </c>
      <c r="I4" s="1" t="n">
        <v>46003</v>
      </c>
      <c r="J4" t="n">
        <v>1.5</v>
      </c>
      <c r="K4">
        <f>IFERROR(MID(Q4, FIND(",", Q4) + 1, LEN(Q4) - FIND(",", Q4)), Q4)</f>
        <v/>
      </c>
      <c r="L4">
        <f>IFERROR(LEFT(Q4, FIND(",", Q4) - 1), "-")</f>
        <v/>
      </c>
      <c r="M4" t="n">
        <v>2</v>
      </c>
      <c r="O4" s="2" t="inlineStr">
        <is>
          <t>16:00</t>
        </is>
      </c>
      <c r="P4" s="2" t="inlineStr">
        <is>
          <t>17:30</t>
        </is>
      </c>
      <c r="Q4" t="inlineStr">
        <is>
          <t>三菱重工</t>
        </is>
      </c>
    </row>
    <row r="5">
      <c r="A5" t="inlineStr">
        <is>
          <t>景山 朋美</t>
        </is>
      </c>
      <c r="B5" t="inlineStr">
        <is>
          <t>MHIn001:三菱重工　導入前</t>
        </is>
      </c>
      <c r="D5">
        <f>L5</f>
        <v/>
      </c>
      <c r="E5">
        <f>SUMIFS(J:J, G:G, A5, H:H, B5, L:L, L5)</f>
        <v/>
      </c>
      <c r="F5" t="inlineStr">
        <is>
          <t>37</t>
        </is>
      </c>
      <c r="G5" t="inlineStr">
        <is>
          <t>景山 朋美</t>
        </is>
      </c>
      <c r="H5" t="inlineStr">
        <is>
          <t>MHIn001:三菱重工　導入前</t>
        </is>
      </c>
      <c r="I5" s="1" t="n">
        <v>46009</v>
      </c>
      <c r="J5" t="n">
        <v>1.5</v>
      </c>
      <c r="K5">
        <f>IFERROR(MID(Q5, FIND(",", Q5) + 1, LEN(Q5) - FIND(",", Q5)), Q5)</f>
        <v/>
      </c>
      <c r="L5">
        <f>IFERROR(LEFT(Q5, FIND(",", Q5) - 1), "-")</f>
        <v/>
      </c>
      <c r="M5" t="n">
        <v>2</v>
      </c>
      <c r="O5" s="2" t="inlineStr">
        <is>
          <t>16:30</t>
        </is>
      </c>
      <c r="P5" s="2" t="inlineStr">
        <is>
          <t>18:00</t>
        </is>
      </c>
      <c r="Q5" t="inlineStr">
        <is>
          <t>三菱重工</t>
        </is>
      </c>
    </row>
    <row r="6">
      <c r="A6" t="inlineStr">
        <is>
          <t>景山 朋美</t>
        </is>
      </c>
      <c r="B6" t="inlineStr">
        <is>
          <t>MHIn001:三菱重工　導入前</t>
        </is>
      </c>
      <c r="D6">
        <f>L6</f>
        <v/>
      </c>
      <c r="E6">
        <f>SUMIFS(J:J, G:G, A6, H:H, B6, L:L, L6)</f>
        <v/>
      </c>
      <c r="F6" t="inlineStr">
        <is>
          <t>37</t>
        </is>
      </c>
      <c r="G6" t="inlineStr">
        <is>
          <t>景山 朋美</t>
        </is>
      </c>
      <c r="H6" t="inlineStr">
        <is>
          <t>MHIn001:三菱重工　導入前</t>
        </is>
      </c>
      <c r="I6" s="1" t="n">
        <v>46013</v>
      </c>
      <c r="J6" t="n">
        <v>1.25</v>
      </c>
      <c r="K6">
        <f>IFERROR(MID(Q6, FIND(",", Q6) + 1, LEN(Q6) - FIND(",", Q6)), Q6)</f>
        <v/>
      </c>
      <c r="L6">
        <f>IFERROR(LEFT(Q6, FIND(",", Q6) - 1), "-")</f>
        <v/>
      </c>
      <c r="M6" t="n">
        <v>2</v>
      </c>
      <c r="O6" s="2" t="inlineStr">
        <is>
          <t>09:45</t>
        </is>
      </c>
      <c r="P6" s="2" t="inlineStr">
        <is>
          <t>11:00</t>
        </is>
      </c>
      <c r="Q6" t="inlineStr">
        <is>
          <t>三菱重工</t>
        </is>
      </c>
    </row>
    <row r="7">
      <c r="A7" t="inlineStr">
        <is>
          <t>景山 朋美</t>
        </is>
      </c>
      <c r="B7" t="inlineStr">
        <is>
          <t>MHIn001:三菱重工　導入前</t>
        </is>
      </c>
      <c r="D7">
        <f>L7</f>
        <v/>
      </c>
      <c r="E7">
        <f>SUMIFS(J:J, G:G, A7, H:H, B7, L:L, L7)</f>
        <v/>
      </c>
      <c r="F7" t="inlineStr">
        <is>
          <t>37</t>
        </is>
      </c>
      <c r="G7" t="inlineStr">
        <is>
          <t>景山 朋美</t>
        </is>
      </c>
      <c r="H7" t="inlineStr">
        <is>
          <t>MHIn001:三菱重工　導入前</t>
        </is>
      </c>
      <c r="I7" s="1" t="n">
        <v>46013</v>
      </c>
      <c r="J7" t="n">
        <v>1.5</v>
      </c>
      <c r="K7">
        <f>IFERROR(MID(Q7, FIND(",", Q7) + 1, LEN(Q7) - FIND(",", Q7)), Q7)</f>
        <v/>
      </c>
      <c r="L7">
        <f>IFERROR(LEFT(Q7, FIND(",", Q7) - 1), "-")</f>
        <v/>
      </c>
      <c r="M7" t="n">
        <v>2</v>
      </c>
      <c r="O7" s="2" t="inlineStr">
        <is>
          <t>18:00</t>
        </is>
      </c>
      <c r="P7" s="2" t="inlineStr">
        <is>
          <t>19:30</t>
        </is>
      </c>
      <c r="Q7" t="inlineStr">
        <is>
          <t>三菱重工</t>
        </is>
      </c>
    </row>
    <row r="8">
      <c r="A8" t="inlineStr">
        <is>
          <t>景山 朋美</t>
        </is>
      </c>
      <c r="B8" t="inlineStr">
        <is>
          <t>MHIn001:三菱重工　導入前</t>
        </is>
      </c>
      <c r="D8">
        <f>L8</f>
        <v/>
      </c>
      <c r="E8">
        <f>SUMIFS(J:J, G:G, A8, H:H, B8, L:L, L8)</f>
        <v/>
      </c>
      <c r="F8" t="inlineStr">
        <is>
          <t>37</t>
        </is>
      </c>
      <c r="G8" t="inlineStr">
        <is>
          <t>景山 朋美</t>
        </is>
      </c>
      <c r="H8" t="inlineStr">
        <is>
          <t>MHIn001:三菱重工　導入前</t>
        </is>
      </c>
      <c r="I8" s="1" t="n">
        <v>46015</v>
      </c>
      <c r="J8" t="n">
        <v>2.25</v>
      </c>
      <c r="K8">
        <f>IFERROR(MID(Q8, FIND(",", Q8) + 1, LEN(Q8) - FIND(",", Q8)), Q8)</f>
        <v/>
      </c>
      <c r="L8">
        <f>IFERROR(LEFT(Q8, FIND(",", Q8) - 1), "-")</f>
        <v/>
      </c>
      <c r="M8" t="n">
        <v>2</v>
      </c>
      <c r="O8" s="2" t="inlineStr">
        <is>
          <t>09:45</t>
        </is>
      </c>
      <c r="P8" s="2" t="inlineStr">
        <is>
          <t>12:00</t>
        </is>
      </c>
      <c r="Q8" t="inlineStr">
        <is>
          <t>三菱重工</t>
        </is>
      </c>
    </row>
    <row r="9">
      <c r="A9" t="inlineStr">
        <is>
          <t>景山 朋美</t>
        </is>
      </c>
      <c r="B9" t="inlineStr">
        <is>
          <t>MHIn001:三菱重工　導入前</t>
        </is>
      </c>
      <c r="D9">
        <f>L9</f>
        <v/>
      </c>
      <c r="E9">
        <f>SUMIFS(J:J, G:G, A9, H:H, B9, L:L, L9)</f>
        <v/>
      </c>
      <c r="F9" t="inlineStr">
        <is>
          <t>37</t>
        </is>
      </c>
      <c r="G9" t="inlineStr">
        <is>
          <t>景山 朋美</t>
        </is>
      </c>
      <c r="H9" t="inlineStr">
        <is>
          <t>MHIn001:三菱重工　導入前</t>
        </is>
      </c>
      <c r="I9" s="1" t="n">
        <v>46015</v>
      </c>
      <c r="J9" t="n">
        <v>5</v>
      </c>
      <c r="K9">
        <f>IFERROR(MID(Q9, FIND(",", Q9) + 1, LEN(Q9) - FIND(",", Q9)), Q9)</f>
        <v/>
      </c>
      <c r="L9">
        <f>IFERROR(LEFT(Q9, FIND(",", Q9) - 1), "-")</f>
        <v/>
      </c>
      <c r="M9" t="n">
        <v>2</v>
      </c>
      <c r="O9" s="2" t="inlineStr">
        <is>
          <t>13:00</t>
        </is>
      </c>
      <c r="P9" s="2" t="inlineStr">
        <is>
          <t>18:00</t>
        </is>
      </c>
      <c r="Q9" t="inlineStr">
        <is>
          <t>三菱重工</t>
        </is>
      </c>
    </row>
    <row r="10">
      <c r="A10" t="inlineStr">
        <is>
          <t>景山 朋美</t>
        </is>
      </c>
      <c r="B10" t="inlineStr">
        <is>
          <t>MHIn001:三菱重工　導入前</t>
        </is>
      </c>
      <c r="D10">
        <f>L10</f>
        <v/>
      </c>
      <c r="E10">
        <f>SUMIFS(J:J, G:G, A10, H:H, B10, L:L, L10)</f>
        <v/>
      </c>
      <c r="F10" t="inlineStr">
        <is>
          <t>37</t>
        </is>
      </c>
      <c r="G10" t="inlineStr">
        <is>
          <t>景山 朋美</t>
        </is>
      </c>
      <c r="H10" t="inlineStr">
        <is>
          <t>MHIn001:三菱重工　導入前</t>
        </is>
      </c>
      <c r="I10" s="1" t="n">
        <v>46008</v>
      </c>
      <c r="J10" t="n">
        <v>3</v>
      </c>
      <c r="K10">
        <f>IFERROR(MID(Q10, FIND(",", Q10) + 1, LEN(Q10) - FIND(",", Q10)), Q10)</f>
        <v/>
      </c>
      <c r="L10">
        <f>IFERROR(LEFT(Q10, FIND(",", Q10) - 1), "-")</f>
        <v/>
      </c>
      <c r="M10" t="n">
        <v>2</v>
      </c>
      <c r="O10" s="2" t="inlineStr">
        <is>
          <t>15:00</t>
        </is>
      </c>
      <c r="P10" s="2" t="inlineStr">
        <is>
          <t>18:00</t>
        </is>
      </c>
      <c r="Q10" t="inlineStr">
        <is>
          <t>三菱重工_資料読込</t>
        </is>
      </c>
    </row>
    <row r="11">
      <c r="A11" t="inlineStr">
        <is>
          <t>景山 朋美</t>
        </is>
      </c>
      <c r="B11" t="inlineStr">
        <is>
          <t>MHIn001:三菱重工　導入前</t>
        </is>
      </c>
      <c r="D11">
        <f>L11</f>
        <v/>
      </c>
      <c r="E11">
        <f>SUMIFS(J:J, G:G, A11, H:H, B11, L:L, L11)</f>
        <v/>
      </c>
      <c r="F11" t="inlineStr">
        <is>
          <t>37</t>
        </is>
      </c>
      <c r="G11" t="inlineStr">
        <is>
          <t>景山 朋美</t>
        </is>
      </c>
      <c r="H11" t="inlineStr">
        <is>
          <t>MHIn001:三菱重工　導入前</t>
        </is>
      </c>
      <c r="I11" s="1" t="n">
        <v>46013</v>
      </c>
      <c r="J11" t="n">
        <v>0.5</v>
      </c>
      <c r="K11">
        <f>IFERROR(MID(Q11, FIND(",", Q11) + 1, LEN(Q11) - FIND(",", Q11)), Q11)</f>
        <v/>
      </c>
      <c r="L11">
        <f>IFERROR(LEFT(Q11, FIND(",", Q11) - 1), "-")</f>
        <v/>
      </c>
      <c r="M11" t="n">
        <v>2</v>
      </c>
      <c r="O11" s="2" t="inlineStr">
        <is>
          <t>16:00</t>
        </is>
      </c>
      <c r="P11" s="2" t="inlineStr">
        <is>
          <t>16:30</t>
        </is>
      </c>
      <c r="Q11" t="inlineStr">
        <is>
          <t>三菱重工　資料読み込み</t>
        </is>
      </c>
    </row>
    <row r="12">
      <c r="A12" t="inlineStr">
        <is>
          <t>景山 朋美</t>
        </is>
      </c>
      <c r="B12" t="inlineStr">
        <is>
          <t>MHIn001:三菱重工　導入前</t>
        </is>
      </c>
      <c r="D12">
        <f>L12</f>
        <v/>
      </c>
      <c r="E12">
        <f>SUMIFS(J:J, G:G, A12, H:H, B12, L:L, L12)</f>
        <v/>
      </c>
      <c r="F12" t="inlineStr">
        <is>
          <t>37</t>
        </is>
      </c>
      <c r="G12" t="inlineStr">
        <is>
          <t>景山 朋美</t>
        </is>
      </c>
      <c r="H12" t="inlineStr">
        <is>
          <t>MHIn001:三菱重工　導入前</t>
        </is>
      </c>
      <c r="I12" s="1" t="n">
        <v>46007</v>
      </c>
      <c r="J12" t="n">
        <v>2</v>
      </c>
      <c r="K12">
        <f>IFERROR(MID(Q12, FIND(",", Q12) + 1, LEN(Q12) - FIND(",", Q12)), Q12)</f>
        <v/>
      </c>
      <c r="L12">
        <f>IFERROR(LEFT(Q12, FIND(",", Q12) - 1), "-")</f>
        <v/>
      </c>
      <c r="M12" t="n">
        <v>2</v>
      </c>
      <c r="O12" s="2" t="inlineStr">
        <is>
          <t>16:00</t>
        </is>
      </c>
      <c r="P12" s="2" t="inlineStr">
        <is>
          <t>18:00</t>
        </is>
      </c>
      <c r="Q12" t="inlineStr">
        <is>
          <t>三菱重工資料読み込み</t>
        </is>
      </c>
    </row>
    <row r="13">
      <c r="A13" t="inlineStr">
        <is>
          <t>景山 朋美</t>
        </is>
      </c>
      <c r="B13" t="inlineStr">
        <is>
          <t>MHIn001:三菱重工　導入前</t>
        </is>
      </c>
      <c r="D13">
        <f>L13</f>
        <v/>
      </c>
      <c r="E13">
        <f>SUMIFS(J:J, G:G, A13, H:H, B13, L:L, L13)</f>
        <v/>
      </c>
      <c r="F13" t="inlineStr">
        <is>
          <t>37</t>
        </is>
      </c>
      <c r="G13" t="inlineStr">
        <is>
          <t>景山 朋美</t>
        </is>
      </c>
      <c r="H13" t="inlineStr">
        <is>
          <t>MHIn001:三菱重工　導入前</t>
        </is>
      </c>
      <c r="I13" s="1" t="n">
        <v>46010</v>
      </c>
      <c r="J13" t="n">
        <v>3.5</v>
      </c>
      <c r="K13">
        <f>IFERROR(MID(Q13, FIND(",", Q13) + 1, LEN(Q13) - FIND(",", Q13)), Q13)</f>
        <v/>
      </c>
      <c r="L13">
        <f>IFERROR(LEFT(Q13, FIND(",", Q13) - 1), "-")</f>
        <v/>
      </c>
      <c r="M13" t="n">
        <v>2</v>
      </c>
      <c r="O13" s="2" t="inlineStr">
        <is>
          <t>15:00</t>
        </is>
      </c>
      <c r="P13" s="2" t="inlineStr">
        <is>
          <t>18:30</t>
        </is>
      </c>
      <c r="Q13" t="inlineStr">
        <is>
          <t>三菱重工資料読み込み</t>
        </is>
      </c>
    </row>
    <row r="14">
      <c r="A14" t="inlineStr">
        <is>
          <t>景山 朋美</t>
        </is>
      </c>
      <c r="B14" t="inlineStr">
        <is>
          <t>MHIn001:三菱重工　導入前</t>
        </is>
      </c>
      <c r="D14">
        <f>L14</f>
        <v/>
      </c>
      <c r="E14">
        <f>SUMIFS(J:J, G:G, A14, H:H, B14, L:L, L14)</f>
        <v/>
      </c>
      <c r="F14" t="inlineStr">
        <is>
          <t>37</t>
        </is>
      </c>
      <c r="G14" t="inlineStr">
        <is>
          <t>景山 朋美</t>
        </is>
      </c>
      <c r="H14" t="inlineStr">
        <is>
          <t>MHIn001:三菱重工　導入前</t>
        </is>
      </c>
      <c r="I14" s="1" t="n">
        <v>46014</v>
      </c>
      <c r="J14" t="n">
        <v>1</v>
      </c>
      <c r="K14">
        <f>IFERROR(MID(Q14, FIND(",", Q14) + 1, LEN(Q14) - FIND(",", Q14)), Q14)</f>
        <v/>
      </c>
      <c r="L14">
        <f>IFERROR(LEFT(Q14, FIND(",", Q14) - 1), "-")</f>
        <v/>
      </c>
      <c r="M14" t="n">
        <v>2</v>
      </c>
      <c r="O14" s="2" t="inlineStr">
        <is>
          <t>11:00</t>
        </is>
      </c>
      <c r="P14" s="2" t="inlineStr">
        <is>
          <t>12:00</t>
        </is>
      </c>
      <c r="Q14" t="inlineStr">
        <is>
          <t>社内MTG（Tframe学び）</t>
        </is>
      </c>
    </row>
    <row r="15">
      <c r="A15" t="inlineStr">
        <is>
          <t>景山 朋美</t>
        </is>
      </c>
      <c r="B15" t="inlineStr">
        <is>
          <t>MHIn001:三菱重工　導入前</t>
        </is>
      </c>
      <c r="D15">
        <f>L15</f>
        <v/>
      </c>
      <c r="E15">
        <f>SUMIFS(J:J, G:G, A15, H:H, B15, L:L, L15)</f>
        <v/>
      </c>
      <c r="F15" t="inlineStr">
        <is>
          <t>37</t>
        </is>
      </c>
      <c r="G15" t="inlineStr">
        <is>
          <t>景山 朋美</t>
        </is>
      </c>
      <c r="H15" t="inlineStr">
        <is>
          <t>MHIn001:三菱重工　導入前</t>
        </is>
      </c>
      <c r="I15" s="1" t="n">
        <v>46013</v>
      </c>
      <c r="J15" t="n">
        <v>1</v>
      </c>
      <c r="K15">
        <f>IFERROR(MID(Q15, FIND(",", Q15) + 1, LEN(Q15) - FIND(",", Q15)), Q15)</f>
        <v/>
      </c>
      <c r="L15">
        <f>IFERROR(LEFT(Q15, FIND(",", Q15) - 1), "-")</f>
        <v/>
      </c>
      <c r="M15" t="n">
        <v>2</v>
      </c>
      <c r="O15" s="2" t="inlineStr">
        <is>
          <t>11:00</t>
        </is>
      </c>
      <c r="P15" s="2" t="inlineStr">
        <is>
          <t>12:00</t>
        </is>
      </c>
      <c r="Q15" t="inlineStr">
        <is>
          <t>社内MTG（三菱重工共有）</t>
        </is>
      </c>
    </row>
    <row r="16">
      <c r="A16" t="inlineStr">
        <is>
          <t>景山 朋美</t>
        </is>
      </c>
      <c r="B16" t="inlineStr">
        <is>
          <t>MHIn001:三菱重工　導入前</t>
        </is>
      </c>
      <c r="D16">
        <f>L16</f>
        <v/>
      </c>
      <c r="E16">
        <f>SUMIFS(J:J, G:G, A16, H:H, B16, L:L, L16)</f>
        <v/>
      </c>
      <c r="F16" t="inlineStr">
        <is>
          <t>37</t>
        </is>
      </c>
      <c r="G16" t="inlineStr">
        <is>
          <t>景山 朋美</t>
        </is>
      </c>
      <c r="H16" t="inlineStr">
        <is>
          <t>MHIn001:三菱重工　導入前</t>
        </is>
      </c>
      <c r="I16" s="1" t="n">
        <v>46014</v>
      </c>
      <c r="J16" t="n">
        <v>1.25</v>
      </c>
      <c r="K16">
        <f>IFERROR(MID(Q16, FIND(",", Q16) + 1, LEN(Q16) - FIND(",", Q16)), Q16)</f>
        <v/>
      </c>
      <c r="L16">
        <f>IFERROR(LEFT(Q16, FIND(",", Q16) - 1), "-")</f>
        <v/>
      </c>
      <c r="M16" t="n">
        <v>2</v>
      </c>
      <c r="O16" s="2" t="inlineStr">
        <is>
          <t>09:45</t>
        </is>
      </c>
      <c r="P16" s="2" t="inlineStr">
        <is>
          <t>11:00</t>
        </is>
      </c>
      <c r="Q16" t="inlineStr">
        <is>
          <t>資料読み込み</t>
        </is>
      </c>
    </row>
    <row r="17">
      <c r="A17" t="inlineStr">
        <is>
          <t>景山 朋美</t>
        </is>
      </c>
      <c r="B17" t="inlineStr">
        <is>
          <t>SMMs001:島村楽器サポート</t>
        </is>
      </c>
      <c r="C17">
        <f>SUMIFS(J:J, G:G, A17, H:H, B17)</f>
        <v/>
      </c>
      <c r="D17">
        <f>L17</f>
        <v/>
      </c>
      <c r="E17">
        <f>SUMIFS(J:J, G:G, A17, H:H, B17, L:L, L17)</f>
        <v/>
      </c>
      <c r="F17" t="inlineStr">
        <is>
          <t>37</t>
        </is>
      </c>
      <c r="G17" t="inlineStr">
        <is>
          <t>景山 朋美</t>
        </is>
      </c>
      <c r="H17" t="inlineStr">
        <is>
          <t>SMMs001:島村楽器サポート</t>
        </is>
      </c>
      <c r="I17" s="1" t="n">
        <v>45995</v>
      </c>
      <c r="J17" t="n">
        <v>1</v>
      </c>
      <c r="K17">
        <f>IFERROR(MID(Q17, FIND(",", Q17) + 1, LEN(Q17) - FIND(",", Q17)), Q17)</f>
        <v/>
      </c>
      <c r="L17">
        <f>IFERROR(LEFT(Q17, FIND(",", Q17) - 1), "-")</f>
        <v/>
      </c>
      <c r="M17" t="n">
        <v>3</v>
      </c>
      <c r="O17" s="2" t="inlineStr">
        <is>
          <t>13:00</t>
        </is>
      </c>
      <c r="P17" s="2" t="inlineStr">
        <is>
          <t>14:00</t>
        </is>
      </c>
      <c r="Q17" t="inlineStr">
        <is>
          <t xml:space="preserve"> 資料作成（内部向け）,会員退会バグ修正依頼</t>
        </is>
      </c>
    </row>
    <row r="18">
      <c r="A18" t="inlineStr">
        <is>
          <t>景山 朋美</t>
        </is>
      </c>
      <c r="B18" t="inlineStr">
        <is>
          <t>SMMs001:島村楽器サポート</t>
        </is>
      </c>
      <c r="D18">
        <f>L18</f>
        <v/>
      </c>
      <c r="E18">
        <f>SUMIFS(J:J, G:G, A18, H:H, B18, L:L, L18)</f>
        <v/>
      </c>
      <c r="F18" t="inlineStr">
        <is>
          <t>37</t>
        </is>
      </c>
      <c r="G18" t="inlineStr">
        <is>
          <t>景山 朋美</t>
        </is>
      </c>
      <c r="H18" t="inlineStr">
        <is>
          <t>SMMs001:島村楽器サポート</t>
        </is>
      </c>
      <c r="I18" s="1" t="n">
        <v>45996</v>
      </c>
      <c r="J18" t="n">
        <v>5</v>
      </c>
      <c r="K18">
        <f>IFERROR(MID(Q18, FIND(",", Q18) + 1, LEN(Q18) - FIND(",", Q18)), Q18)</f>
        <v/>
      </c>
      <c r="L18">
        <f>IFERROR(LEFT(Q18, FIND(",", Q18) - 1), "-")</f>
        <v/>
      </c>
      <c r="M18" t="n">
        <v>3</v>
      </c>
      <c r="O18" s="2" t="inlineStr">
        <is>
          <t>13:00</t>
        </is>
      </c>
      <c r="P18" s="2" t="inlineStr">
        <is>
          <t>18:00</t>
        </is>
      </c>
      <c r="Q18" t="inlineStr">
        <is>
          <t xml:space="preserve"> 資料作成（内部向け）,会員退会バグ修正依頼</t>
        </is>
      </c>
    </row>
    <row r="19">
      <c r="A19" t="inlineStr">
        <is>
          <t>景山 朋美</t>
        </is>
      </c>
      <c r="B19" t="inlineStr">
        <is>
          <t>SMMs001:島村楽器サポート</t>
        </is>
      </c>
      <c r="D19">
        <f>L19</f>
        <v/>
      </c>
      <c r="E19">
        <f>SUMIFS(J:J, G:G, A19, H:H, B19, L:L, L19)</f>
        <v/>
      </c>
      <c r="F19" t="inlineStr">
        <is>
          <t>37</t>
        </is>
      </c>
      <c r="G19" t="inlineStr">
        <is>
          <t>景山 朋美</t>
        </is>
      </c>
      <c r="H19" t="inlineStr">
        <is>
          <t>SMMs001:島村楽器サポート</t>
        </is>
      </c>
      <c r="I19" s="1" t="n">
        <v>46003</v>
      </c>
      <c r="J19" t="n">
        <v>2</v>
      </c>
      <c r="K19">
        <f>IFERROR(MID(Q19, FIND(",", Q19) + 1, LEN(Q19) - FIND(",", Q19)), Q19)</f>
        <v/>
      </c>
      <c r="L19">
        <f>IFERROR(LEFT(Q19, FIND(",", Q19) - 1), "-")</f>
        <v/>
      </c>
      <c r="M19" t="n">
        <v>3</v>
      </c>
      <c r="O19" s="2" t="inlineStr">
        <is>
          <t>13:00</t>
        </is>
      </c>
      <c r="P19" s="2" t="inlineStr">
        <is>
          <t>15:00</t>
        </is>
      </c>
      <c r="Q19" t="inlineStr">
        <is>
          <t xml:space="preserve"> 資料作成（内部向け）,会員退会検証</t>
        </is>
      </c>
    </row>
    <row r="20">
      <c r="A20" t="inlineStr">
        <is>
          <t>景山 朋美</t>
        </is>
      </c>
      <c r="B20" t="inlineStr">
        <is>
          <t>SMMs001:島村楽器サポート</t>
        </is>
      </c>
      <c r="D20">
        <f>L20</f>
        <v/>
      </c>
      <c r="E20">
        <f>SUMIFS(J:J, G:G, A20, H:H, B20, L:L, L20)</f>
        <v/>
      </c>
      <c r="F20" t="inlineStr">
        <is>
          <t>37</t>
        </is>
      </c>
      <c r="G20" t="inlineStr">
        <is>
          <t>景山 朋美</t>
        </is>
      </c>
      <c r="H20" t="inlineStr">
        <is>
          <t>SMMs001:島村楽器サポート</t>
        </is>
      </c>
      <c r="I20" s="1" t="n">
        <v>46003</v>
      </c>
      <c r="J20" t="n">
        <v>0.5</v>
      </c>
      <c r="K20">
        <f>IFERROR(MID(Q20, FIND(",", Q20) + 1, LEN(Q20) - FIND(",", Q20)), Q20)</f>
        <v/>
      </c>
      <c r="L20">
        <f>IFERROR(LEFT(Q20, FIND(",", Q20) - 1), "-")</f>
        <v/>
      </c>
      <c r="M20" t="n">
        <v>3</v>
      </c>
      <c r="O20" s="2" t="inlineStr">
        <is>
          <t>19:00</t>
        </is>
      </c>
      <c r="P20" s="2" t="inlineStr">
        <is>
          <t>19:30</t>
        </is>
      </c>
      <c r="Q20" t="inlineStr">
        <is>
          <t xml:space="preserve"> 資料作成（内部向け）,会員退会検証</t>
        </is>
      </c>
    </row>
    <row r="21">
      <c r="A21" t="inlineStr">
        <is>
          <t>景山 朋美</t>
        </is>
      </c>
      <c r="B21" t="inlineStr">
        <is>
          <t>SMMs001:島村楽器サポート</t>
        </is>
      </c>
      <c r="D21">
        <f>L21</f>
        <v/>
      </c>
      <c r="E21">
        <f>SUMIFS(J:J, G:G, A21, H:H, B21, L:L, L21)</f>
        <v/>
      </c>
      <c r="F21" t="inlineStr">
        <is>
          <t>37</t>
        </is>
      </c>
      <c r="G21" t="inlineStr">
        <is>
          <t>景山 朋美</t>
        </is>
      </c>
      <c r="H21" t="inlineStr">
        <is>
          <t>SMMs001:島村楽器サポート</t>
        </is>
      </c>
      <c r="I21" s="1" t="n">
        <v>46007</v>
      </c>
      <c r="J21" t="n">
        <v>2.5</v>
      </c>
      <c r="K21">
        <f>IFERROR(MID(Q21, FIND(",", Q21) + 1, LEN(Q21) - FIND(",", Q21)), Q21)</f>
        <v/>
      </c>
      <c r="L21">
        <f>IFERROR(LEFT(Q21, FIND(",", Q21) - 1), "-")</f>
        <v/>
      </c>
      <c r="M21" t="n">
        <v>3</v>
      </c>
      <c r="O21" s="2" t="inlineStr">
        <is>
          <t>13:30</t>
        </is>
      </c>
      <c r="P21" s="2" t="inlineStr">
        <is>
          <t>16:00</t>
        </is>
      </c>
      <c r="Q21" t="inlineStr">
        <is>
          <t xml:space="preserve"> 資料作成（内部向け）,島村退会</t>
        </is>
      </c>
    </row>
    <row r="22">
      <c r="A22" t="inlineStr">
        <is>
          <t>景山 朋美</t>
        </is>
      </c>
      <c r="B22" t="inlineStr">
        <is>
          <t>SMMs001:島村楽器サポート</t>
        </is>
      </c>
      <c r="D22">
        <f>L22</f>
        <v/>
      </c>
      <c r="E22">
        <f>SUMIFS(J:J, G:G, A22, H:H, B22, L:L, L22)</f>
        <v/>
      </c>
      <c r="F22" t="inlineStr">
        <is>
          <t>37</t>
        </is>
      </c>
      <c r="G22" t="inlineStr">
        <is>
          <t>景山 朋美</t>
        </is>
      </c>
      <c r="H22" t="inlineStr">
        <is>
          <t>SMMs001:島村楽器サポート</t>
        </is>
      </c>
      <c r="I22" s="1" t="n">
        <v>46009</v>
      </c>
      <c r="J22" t="n">
        <v>1.5</v>
      </c>
      <c r="K22">
        <f>IFERROR(MID(Q22, FIND(",", Q22) + 1, LEN(Q22) - FIND(",", Q22)), Q22)</f>
        <v/>
      </c>
      <c r="L22">
        <f>IFERROR(LEFT(Q22, FIND(",", Q22) - 1), "-")</f>
        <v/>
      </c>
      <c r="M22" t="n">
        <v>3</v>
      </c>
      <c r="O22" s="2" t="inlineStr">
        <is>
          <t>10:30</t>
        </is>
      </c>
      <c r="P22" s="2" t="inlineStr">
        <is>
          <t>12:00</t>
        </is>
      </c>
      <c r="Q22" t="inlineStr">
        <is>
          <t>DB更新,データパッチ</t>
        </is>
      </c>
    </row>
    <row r="23">
      <c r="A23" t="inlineStr">
        <is>
          <t>景山 朋美</t>
        </is>
      </c>
      <c r="B23" t="inlineStr">
        <is>
          <t>SMMs001:島村楽器サポート</t>
        </is>
      </c>
      <c r="D23">
        <f>L23</f>
        <v/>
      </c>
      <c r="E23">
        <f>SUMIFS(J:J, G:G, A23, H:H, B23, L:L, L23)</f>
        <v/>
      </c>
      <c r="F23" t="inlineStr">
        <is>
          <t>37</t>
        </is>
      </c>
      <c r="G23" t="inlineStr">
        <is>
          <t>景山 朋美</t>
        </is>
      </c>
      <c r="H23" t="inlineStr">
        <is>
          <t>SMMs001:島村楽器サポート</t>
        </is>
      </c>
      <c r="I23" s="1" t="n">
        <v>46002</v>
      </c>
      <c r="J23" t="n">
        <v>0.5</v>
      </c>
      <c r="K23">
        <f>IFERROR(MID(Q23, FIND(",", Q23) + 1, LEN(Q23) - FIND(",", Q23)), Q23)</f>
        <v/>
      </c>
      <c r="L23">
        <f>IFERROR(LEFT(Q23, FIND(",", Q23) - 1), "-")</f>
        <v/>
      </c>
      <c r="M23" t="n">
        <v>3</v>
      </c>
      <c r="O23" s="2" t="inlineStr">
        <is>
          <t>10:30</t>
        </is>
      </c>
      <c r="P23" s="2" t="inlineStr">
        <is>
          <t>11:00</t>
        </is>
      </c>
      <c r="Q23" t="inlineStr">
        <is>
          <t>DB更新,支払手数料</t>
        </is>
      </c>
    </row>
    <row r="24">
      <c r="A24" t="inlineStr">
        <is>
          <t>景山 朋美</t>
        </is>
      </c>
      <c r="B24" t="inlineStr">
        <is>
          <t>SMMs001:島村楽器サポート</t>
        </is>
      </c>
      <c r="D24">
        <f>L24</f>
        <v/>
      </c>
      <c r="E24">
        <f>SUMIFS(J:J, G:G, A24, H:H, B24, L:L, L24)</f>
        <v/>
      </c>
      <c r="F24" t="inlineStr">
        <is>
          <t>37</t>
        </is>
      </c>
      <c r="G24" t="inlineStr">
        <is>
          <t>景山 朋美</t>
        </is>
      </c>
      <c r="H24" t="inlineStr">
        <is>
          <t>SMMs001:島村楽器サポート</t>
        </is>
      </c>
      <c r="I24" s="1" t="n">
        <v>45992</v>
      </c>
      <c r="J24" t="n">
        <v>1.5</v>
      </c>
      <c r="K24">
        <f>IFERROR(MID(Q24, FIND(",", Q24) + 1, LEN(Q24) - FIND(",", Q24)), Q24)</f>
        <v/>
      </c>
      <c r="L24">
        <f>IFERROR(LEFT(Q24, FIND(",", Q24) - 1), "-")</f>
        <v/>
      </c>
      <c r="M24" t="n">
        <v>3</v>
      </c>
      <c r="O24" s="2" t="inlineStr">
        <is>
          <t>15:00</t>
        </is>
      </c>
      <c r="P24" s="2" t="inlineStr">
        <is>
          <t>16:30</t>
        </is>
      </c>
      <c r="Q24" t="inlineStr">
        <is>
          <t>UAT課題,取適法のメール確認</t>
        </is>
      </c>
    </row>
    <row r="25">
      <c r="A25" t="inlineStr">
        <is>
          <t>景山 朋美</t>
        </is>
      </c>
      <c r="B25" t="inlineStr">
        <is>
          <t>SMMs001:島村楽器サポート</t>
        </is>
      </c>
      <c r="D25">
        <f>L25</f>
        <v/>
      </c>
      <c r="E25">
        <f>SUMIFS(J:J, G:G, A25, H:H, B25, L:L, L25)</f>
        <v/>
      </c>
      <c r="F25" t="inlineStr">
        <is>
          <t>37</t>
        </is>
      </c>
      <c r="G25" t="inlineStr">
        <is>
          <t>景山 朋美</t>
        </is>
      </c>
      <c r="H25" t="inlineStr">
        <is>
          <t>SMMs001:島村楽器サポート</t>
        </is>
      </c>
      <c r="I25" s="1" t="n">
        <v>46003</v>
      </c>
      <c r="J25" t="n">
        <v>0.25</v>
      </c>
      <c r="K25">
        <f>IFERROR(MID(Q25, FIND(",", Q25) + 1, LEN(Q25) - FIND(",", Q25)), Q25)</f>
        <v/>
      </c>
      <c r="L25">
        <f>IFERROR(LEFT(Q25, FIND(",", Q25) - 1), "-")</f>
        <v/>
      </c>
      <c r="M25" t="n">
        <v>3</v>
      </c>
      <c r="O25" s="2" t="inlineStr">
        <is>
          <t>09:30</t>
        </is>
      </c>
      <c r="P25" s="2" t="inlineStr">
        <is>
          <t>09:45</t>
        </is>
      </c>
      <c r="Q25" t="inlineStr">
        <is>
          <t>【オンラインMTG】朝会</t>
        </is>
      </c>
    </row>
    <row r="26">
      <c r="A26" t="inlineStr">
        <is>
          <t>景山 朋美</t>
        </is>
      </c>
      <c r="B26" t="inlineStr">
        <is>
          <t>SMMs001:島村楽器サポート</t>
        </is>
      </c>
      <c r="D26">
        <f>L26</f>
        <v/>
      </c>
      <c r="E26">
        <f>SUMIFS(J:J, G:G, A26, H:H, B26, L:L, L26)</f>
        <v/>
      </c>
      <c r="F26" t="inlineStr">
        <is>
          <t>37</t>
        </is>
      </c>
      <c r="G26" t="inlineStr">
        <is>
          <t>景山 朋美</t>
        </is>
      </c>
      <c r="H26" t="inlineStr">
        <is>
          <t>SMMs001:島村楽器サポート</t>
        </is>
      </c>
      <c r="I26" s="1" t="n">
        <v>45994</v>
      </c>
      <c r="J26" t="n">
        <v>3</v>
      </c>
      <c r="K26">
        <f>IFERROR(MID(Q26, FIND(",", Q26) + 1, LEN(Q26) - FIND(",", Q26)), Q26)</f>
        <v/>
      </c>
      <c r="L26">
        <f>IFERROR(LEFT(Q26, FIND(",", Q26) - 1), "-")</f>
        <v/>
      </c>
      <c r="M26" t="n">
        <v>3</v>
      </c>
      <c r="O26" s="2" t="inlineStr">
        <is>
          <t>15:00</t>
        </is>
      </c>
      <c r="P26" s="2" t="inlineStr">
        <is>
          <t>18:00</t>
        </is>
      </c>
      <c r="Q26" t="inlineStr">
        <is>
          <t>会員退会ログ仕込み</t>
        </is>
      </c>
    </row>
    <row r="27">
      <c r="A27" t="inlineStr">
        <is>
          <t>景山 朋美</t>
        </is>
      </c>
      <c r="B27" t="inlineStr">
        <is>
          <t>SMMs001:島村楽器サポート</t>
        </is>
      </c>
      <c r="D27">
        <f>L27</f>
        <v/>
      </c>
      <c r="E27">
        <f>SUMIFS(J:J, G:G, A27, H:H, B27, L:L, L27)</f>
        <v/>
      </c>
      <c r="F27" t="inlineStr">
        <is>
          <t>37</t>
        </is>
      </c>
      <c r="G27" t="inlineStr">
        <is>
          <t>景山 朋美</t>
        </is>
      </c>
      <c r="H27" t="inlineStr">
        <is>
          <t>SMMs001:島村楽器サポート</t>
        </is>
      </c>
      <c r="I27" s="1" t="n">
        <v>45993</v>
      </c>
      <c r="J27" t="n">
        <v>2.25</v>
      </c>
      <c r="K27">
        <f>IFERROR(MID(Q27, FIND(",", Q27) + 1, LEN(Q27) - FIND(",", Q27)), Q27)</f>
        <v/>
      </c>
      <c r="L27">
        <f>IFERROR(LEFT(Q27, FIND(",", Q27) - 1), "-")</f>
        <v/>
      </c>
      <c r="M27" t="n">
        <v>3</v>
      </c>
      <c r="O27" s="2" t="inlineStr">
        <is>
          <t>09:45</t>
        </is>
      </c>
      <c r="P27" s="2" t="inlineStr">
        <is>
          <t>12:00</t>
        </is>
      </c>
      <c r="Q27" t="inlineStr">
        <is>
          <t>会員退会検証</t>
        </is>
      </c>
    </row>
    <row r="28">
      <c r="A28" t="inlineStr">
        <is>
          <t>景山 朋美</t>
        </is>
      </c>
      <c r="B28" t="inlineStr">
        <is>
          <t>SMMs001:島村楽器サポート</t>
        </is>
      </c>
      <c r="D28">
        <f>L28</f>
        <v/>
      </c>
      <c r="E28">
        <f>SUMIFS(J:J, G:G, A28, H:H, B28, L:L, L28)</f>
        <v/>
      </c>
      <c r="F28" t="inlineStr">
        <is>
          <t>37</t>
        </is>
      </c>
      <c r="G28" t="inlineStr">
        <is>
          <t>景山 朋美</t>
        </is>
      </c>
      <c r="H28" t="inlineStr">
        <is>
          <t>SMMs001:島村楽器サポート</t>
        </is>
      </c>
      <c r="I28" s="1" t="n">
        <v>45995</v>
      </c>
      <c r="J28" t="n">
        <v>0.75</v>
      </c>
      <c r="K28">
        <f>IFERROR(MID(Q28, FIND(",", Q28) + 1, LEN(Q28) - FIND(",", Q28)), Q28)</f>
        <v/>
      </c>
      <c r="L28">
        <f>IFERROR(LEFT(Q28, FIND(",", Q28) - 1), "-")</f>
        <v/>
      </c>
      <c r="M28" t="n">
        <v>3</v>
      </c>
      <c r="O28" s="2" t="inlineStr">
        <is>
          <t>09:45</t>
        </is>
      </c>
      <c r="P28" s="2" t="inlineStr">
        <is>
          <t>10:30</t>
        </is>
      </c>
      <c r="Q28" t="inlineStr">
        <is>
          <t>社内MTG,(島村)状況報告</t>
        </is>
      </c>
    </row>
    <row r="29">
      <c r="A29" t="inlineStr">
        <is>
          <t>景山 朋美</t>
        </is>
      </c>
      <c r="B29" t="inlineStr">
        <is>
          <t>SMMs001:島村楽器サポート</t>
        </is>
      </c>
      <c r="D29">
        <f>L29</f>
        <v/>
      </c>
      <c r="E29">
        <f>SUMIFS(J:J, G:G, A29, H:H, B29, L:L, L29)</f>
        <v/>
      </c>
      <c r="F29" t="inlineStr">
        <is>
          <t>37</t>
        </is>
      </c>
      <c r="G29" t="inlineStr">
        <is>
          <t>景山 朋美</t>
        </is>
      </c>
      <c r="H29" t="inlineStr">
        <is>
          <t>SMMs001:島村楽器サポート</t>
        </is>
      </c>
      <c r="I29" s="1" t="n">
        <v>46002</v>
      </c>
      <c r="J29" t="n">
        <v>0.75</v>
      </c>
      <c r="K29">
        <f>IFERROR(MID(Q29, FIND(",", Q29) + 1, LEN(Q29) - FIND(",", Q29)), Q29)</f>
        <v/>
      </c>
      <c r="L29">
        <f>IFERROR(LEFT(Q29, FIND(",", Q29) - 1), "-")</f>
        <v/>
      </c>
      <c r="M29" t="n">
        <v>3</v>
      </c>
      <c r="O29" s="2" t="inlineStr">
        <is>
          <t>09:45</t>
        </is>
      </c>
      <c r="P29" s="2" t="inlineStr">
        <is>
          <t>10:30</t>
        </is>
      </c>
      <c r="Q29" t="inlineStr">
        <is>
          <t>社内MTG,(島村)状況報告</t>
        </is>
      </c>
    </row>
    <row r="30">
      <c r="A30" t="inlineStr">
        <is>
          <t>景山 朋美</t>
        </is>
      </c>
      <c r="B30" t="inlineStr">
        <is>
          <t>SMMs001:島村楽器サポート</t>
        </is>
      </c>
      <c r="D30">
        <f>L30</f>
        <v/>
      </c>
      <c r="E30">
        <f>SUMIFS(J:J, G:G, A30, H:H, B30, L:L, L30)</f>
        <v/>
      </c>
      <c r="F30" t="inlineStr">
        <is>
          <t>37</t>
        </is>
      </c>
      <c r="G30" t="inlineStr">
        <is>
          <t>景山 朋美</t>
        </is>
      </c>
      <c r="H30" t="inlineStr">
        <is>
          <t>SMMs001:島村楽器サポート</t>
        </is>
      </c>
      <c r="I30" s="1" t="n">
        <v>45992</v>
      </c>
      <c r="J30" t="n">
        <v>1</v>
      </c>
      <c r="K30">
        <f>IFERROR(MID(Q30, FIND(",", Q30) + 1, LEN(Q30) - FIND(",", Q30)), Q30)</f>
        <v/>
      </c>
      <c r="L30">
        <f>IFERROR(LEFT(Q30, FIND(",", Q30) - 1), "-")</f>
        <v/>
      </c>
      <c r="M30" t="n">
        <v>3</v>
      </c>
      <c r="O30" s="2" t="inlineStr">
        <is>
          <t>14:00</t>
        </is>
      </c>
      <c r="P30" s="2" t="inlineStr">
        <is>
          <t>15:00</t>
        </is>
      </c>
      <c r="Q30" t="inlineStr">
        <is>
          <t>社内MTG,MySQLバージョンアップ</t>
        </is>
      </c>
    </row>
    <row r="31">
      <c r="A31" t="inlineStr">
        <is>
          <t>景山 朋美</t>
        </is>
      </c>
      <c r="B31" t="inlineStr">
        <is>
          <t>SMMs001:島村楽器サポート</t>
        </is>
      </c>
      <c r="D31">
        <f>L31</f>
        <v/>
      </c>
      <c r="E31">
        <f>SUMIFS(J:J, G:G, A31, H:H, B31, L:L, L31)</f>
        <v/>
      </c>
      <c r="F31" t="inlineStr">
        <is>
          <t>37</t>
        </is>
      </c>
      <c r="G31" t="inlineStr">
        <is>
          <t>景山 朋美</t>
        </is>
      </c>
      <c r="H31" t="inlineStr">
        <is>
          <t>SMMs001:島村楽器サポート</t>
        </is>
      </c>
      <c r="I31" s="1" t="n">
        <v>46003</v>
      </c>
      <c r="J31" t="n">
        <v>0.5</v>
      </c>
      <c r="K31">
        <f>IFERROR(MID(Q31, FIND(",", Q31) + 1, LEN(Q31) - FIND(",", Q31)), Q31)</f>
        <v/>
      </c>
      <c r="L31">
        <f>IFERROR(LEFT(Q31, FIND(",", Q31) - 1), "-")</f>
        <v/>
      </c>
      <c r="M31" t="n">
        <v>3</v>
      </c>
      <c r="O31" s="2" t="inlineStr">
        <is>
          <t>15:30</t>
        </is>
      </c>
      <c r="P31" s="2" t="inlineStr">
        <is>
          <t>16:00</t>
        </is>
      </c>
      <c r="Q31" t="inlineStr">
        <is>
          <t>社内MTG,MySQLバージョンアップ</t>
        </is>
      </c>
    </row>
    <row r="32">
      <c r="A32" t="inlineStr">
        <is>
          <t>景山 朋美</t>
        </is>
      </c>
      <c r="B32" t="inlineStr">
        <is>
          <t>SMMs001:島村楽器サポート</t>
        </is>
      </c>
      <c r="D32">
        <f>L32</f>
        <v/>
      </c>
      <c r="E32">
        <f>SUMIFS(J:J, G:G, A32, H:H, B32, L:L, L32)</f>
        <v/>
      </c>
      <c r="F32" t="inlineStr">
        <is>
          <t>37</t>
        </is>
      </c>
      <c r="G32" t="inlineStr">
        <is>
          <t>景山 朋美</t>
        </is>
      </c>
      <c r="H32" t="inlineStr">
        <is>
          <t>SMMs001:島村楽器サポート</t>
        </is>
      </c>
      <c r="I32" s="1" t="n">
        <v>46013</v>
      </c>
      <c r="J32" t="n">
        <v>0.5</v>
      </c>
      <c r="K32">
        <f>IFERROR(MID(Q32, FIND(",", Q32) + 1, LEN(Q32) - FIND(",", Q32)), Q32)</f>
        <v/>
      </c>
      <c r="L32">
        <f>IFERROR(LEFT(Q32, FIND(",", Q32) - 1), "-")</f>
        <v/>
      </c>
      <c r="M32" t="n">
        <v>3</v>
      </c>
      <c r="O32" s="2" t="inlineStr">
        <is>
          <t>16:30</t>
        </is>
      </c>
      <c r="P32" s="2" t="inlineStr">
        <is>
          <t>17:00</t>
        </is>
      </c>
      <c r="Q32" t="inlineStr">
        <is>
          <t>社内MTG,島村楽器_環境準備について</t>
        </is>
      </c>
    </row>
    <row r="33">
      <c r="A33" t="inlineStr">
        <is>
          <t>景山 朋美</t>
        </is>
      </c>
      <c r="B33" t="inlineStr">
        <is>
          <t>SMMs001:島村楽器サポート</t>
        </is>
      </c>
      <c r="D33">
        <f>L33</f>
        <v/>
      </c>
      <c r="E33">
        <f>SUMIFS(J:J, G:G, A33, H:H, B33, L:L, L33)</f>
        <v/>
      </c>
      <c r="F33" t="inlineStr">
        <is>
          <t>37</t>
        </is>
      </c>
      <c r="G33" t="inlineStr">
        <is>
          <t>景山 朋美</t>
        </is>
      </c>
      <c r="H33" t="inlineStr">
        <is>
          <t>SMMs001:島村楽器サポート</t>
        </is>
      </c>
      <c r="I33" s="1" t="n">
        <v>46014</v>
      </c>
      <c r="J33" t="n">
        <v>1.5</v>
      </c>
      <c r="K33">
        <f>IFERROR(MID(Q33, FIND(",", Q33) + 1, LEN(Q33) - FIND(",", Q33)), Q33)</f>
        <v/>
      </c>
      <c r="L33">
        <f>IFERROR(LEFT(Q33, FIND(",", Q33) - 1), "-")</f>
        <v/>
      </c>
      <c r="M33" t="n">
        <v>3</v>
      </c>
      <c r="O33" s="2" t="inlineStr">
        <is>
          <t>16:30</t>
        </is>
      </c>
      <c r="P33" s="2" t="inlineStr">
        <is>
          <t>18:00</t>
        </is>
      </c>
      <c r="Q33" t="inlineStr">
        <is>
          <t>資料作成（内部向け）,タスク細分化資料</t>
        </is>
      </c>
    </row>
    <row r="34">
      <c r="A34" t="inlineStr">
        <is>
          <t>景山 朋美</t>
        </is>
      </c>
      <c r="B34" t="inlineStr">
        <is>
          <t>SMMs001:島村楽器サポート</t>
        </is>
      </c>
      <c r="D34">
        <f>L34</f>
        <v/>
      </c>
      <c r="E34">
        <f>SUMIFS(J:J, G:G, A34, H:H, B34, L:L, L34)</f>
        <v/>
      </c>
      <c r="F34" t="inlineStr">
        <is>
          <t>37</t>
        </is>
      </c>
      <c r="G34" t="inlineStr">
        <is>
          <t>景山 朋美</t>
        </is>
      </c>
      <c r="H34" t="inlineStr">
        <is>
          <t>SMMs001:島村楽器サポート</t>
        </is>
      </c>
      <c r="I34" s="1" t="n">
        <v>45999</v>
      </c>
      <c r="J34" t="n">
        <v>5</v>
      </c>
      <c r="K34">
        <f>IFERROR(MID(Q34, FIND(",", Q34) + 1, LEN(Q34) - FIND(",", Q34)), Q34)</f>
        <v/>
      </c>
      <c r="L34">
        <f>IFERROR(LEFT(Q34, FIND(",", Q34) - 1), "-")</f>
        <v/>
      </c>
      <c r="M34" t="n">
        <v>3</v>
      </c>
      <c r="O34" s="2" t="inlineStr">
        <is>
          <t>13:00</t>
        </is>
      </c>
      <c r="P34" s="2" t="inlineStr">
        <is>
          <t>18:00</t>
        </is>
      </c>
      <c r="Q34" t="inlineStr">
        <is>
          <t>資料作成（内部向け）,会員退会</t>
        </is>
      </c>
    </row>
    <row r="35">
      <c r="A35" t="inlineStr">
        <is>
          <t>景山 朋美</t>
        </is>
      </c>
      <c r="B35" t="inlineStr">
        <is>
          <t>SMMs001:島村楽器サポート</t>
        </is>
      </c>
      <c r="D35">
        <f>L35</f>
        <v/>
      </c>
      <c r="E35">
        <f>SUMIFS(J:J, G:G, A35, H:H, B35, L:L, L35)</f>
        <v/>
      </c>
      <c r="F35" t="inlineStr">
        <is>
          <t>37</t>
        </is>
      </c>
      <c r="G35" t="inlineStr">
        <is>
          <t>景山 朋美</t>
        </is>
      </c>
      <c r="H35" t="inlineStr">
        <is>
          <t>SMMs001:島村楽器サポート</t>
        </is>
      </c>
      <c r="I35" s="1" t="n">
        <v>45992</v>
      </c>
      <c r="J35" t="n">
        <v>1.5</v>
      </c>
      <c r="K35">
        <f>IFERROR(MID(Q35, FIND(",", Q35) + 1, LEN(Q35) - FIND(",", Q35)), Q35)</f>
        <v/>
      </c>
      <c r="L35">
        <f>IFERROR(LEFT(Q35, FIND(",", Q35) - 1), "-")</f>
        <v/>
      </c>
      <c r="M35" t="n">
        <v>3</v>
      </c>
      <c r="O35" s="2" t="inlineStr">
        <is>
          <t>16:30</t>
        </is>
      </c>
      <c r="P35" s="2" t="inlineStr">
        <is>
          <t>18:00</t>
        </is>
      </c>
      <c r="Q35" t="inlineStr">
        <is>
          <t>資料作成（内部向け）,会員退会の検証</t>
        </is>
      </c>
    </row>
    <row r="36">
      <c r="A36" t="inlineStr">
        <is>
          <t>景山 朋美</t>
        </is>
      </c>
      <c r="B36" t="inlineStr">
        <is>
          <t>SMMs001:島村楽器サポート</t>
        </is>
      </c>
      <c r="D36">
        <f>L36</f>
        <v/>
      </c>
      <c r="E36">
        <f>SUMIFS(J:J, G:G, A36, H:H, B36, L:L, L36)</f>
        <v/>
      </c>
      <c r="F36" t="inlineStr">
        <is>
          <t>37</t>
        </is>
      </c>
      <c r="G36" t="inlineStr">
        <is>
          <t>景山 朋美</t>
        </is>
      </c>
      <c r="H36" t="inlineStr">
        <is>
          <t>SMMs001:島村楽器サポート</t>
        </is>
      </c>
      <c r="I36" s="1" t="n">
        <v>45999</v>
      </c>
      <c r="J36" t="n">
        <v>2.25</v>
      </c>
      <c r="K36">
        <f>IFERROR(MID(Q36, FIND(",", Q36) + 1, LEN(Q36) - FIND(",", Q36)), Q36)</f>
        <v/>
      </c>
      <c r="L36">
        <f>IFERROR(LEFT(Q36, FIND(",", Q36) - 1), "-")</f>
        <v/>
      </c>
      <c r="M36" t="n">
        <v>3</v>
      </c>
      <c r="O36" s="2" t="inlineStr">
        <is>
          <t>09:45</t>
        </is>
      </c>
      <c r="P36" s="2" t="inlineStr">
        <is>
          <t>12:00</t>
        </is>
      </c>
      <c r="Q36" t="inlineStr">
        <is>
          <t>資料作成（内部向け）,会員退会の設計書修正</t>
        </is>
      </c>
    </row>
    <row r="37">
      <c r="A37" t="inlineStr">
        <is>
          <t>景山 朋美</t>
        </is>
      </c>
      <c r="B37" t="inlineStr">
        <is>
          <t>SMMs001:島村楽器サポート</t>
        </is>
      </c>
      <c r="D37">
        <f>L37</f>
        <v/>
      </c>
      <c r="E37">
        <f>SUMIFS(J:J, G:G, A37, H:H, B37, L:L, L37)</f>
        <v/>
      </c>
      <c r="F37" t="inlineStr">
        <is>
          <t>37</t>
        </is>
      </c>
      <c r="G37" t="inlineStr">
        <is>
          <t>景山 朋美</t>
        </is>
      </c>
      <c r="H37" t="inlineStr">
        <is>
          <t>SMMs001:島村楽器サポート</t>
        </is>
      </c>
      <c r="I37" s="1" t="n">
        <v>45996</v>
      </c>
      <c r="J37" t="n">
        <v>2.25</v>
      </c>
      <c r="K37">
        <f>IFERROR(MID(Q37, FIND(",", Q37) + 1, LEN(Q37) - FIND(",", Q37)), Q37)</f>
        <v/>
      </c>
      <c r="L37">
        <f>IFERROR(LEFT(Q37, FIND(",", Q37) - 1), "-")</f>
        <v/>
      </c>
      <c r="M37" t="n">
        <v>3</v>
      </c>
      <c r="O37" s="2" t="inlineStr">
        <is>
          <t>09:45</t>
        </is>
      </c>
      <c r="P37" s="2" t="inlineStr">
        <is>
          <t>12:00</t>
        </is>
      </c>
      <c r="Q37" t="inlineStr">
        <is>
          <t>資料作成（内部向け）,会員退会バグ修正依頼</t>
        </is>
      </c>
    </row>
    <row r="38">
      <c r="A38" t="inlineStr">
        <is>
          <t>景山 朋美</t>
        </is>
      </c>
      <c r="B38" t="inlineStr">
        <is>
          <t>SMMs001:島村楽器サポート</t>
        </is>
      </c>
      <c r="D38">
        <f>L38</f>
        <v/>
      </c>
      <c r="E38">
        <f>SUMIFS(J:J, G:G, A38, H:H, B38, L:L, L38)</f>
        <v/>
      </c>
      <c r="F38" t="inlineStr">
        <is>
          <t>37</t>
        </is>
      </c>
      <c r="G38" t="inlineStr">
        <is>
          <t>景山 朋美</t>
        </is>
      </c>
      <c r="H38" t="inlineStr">
        <is>
          <t>SMMs001:島村楽器サポート</t>
        </is>
      </c>
      <c r="I38" s="1" t="n">
        <v>45995</v>
      </c>
      <c r="J38" t="n">
        <v>3</v>
      </c>
      <c r="K38">
        <f>IFERROR(MID(Q38, FIND(",", Q38) + 1, LEN(Q38) - FIND(",", Q38)), Q38)</f>
        <v/>
      </c>
      <c r="L38">
        <f>IFERROR(LEFT(Q38, FIND(",", Q38) - 1), "-")</f>
        <v/>
      </c>
      <c r="M38" t="n">
        <v>3</v>
      </c>
      <c r="O38" s="2" t="inlineStr">
        <is>
          <t>14:00</t>
        </is>
      </c>
      <c r="P38" s="2" t="inlineStr">
        <is>
          <t>17:00</t>
        </is>
      </c>
      <c r="Q38" t="inlineStr">
        <is>
          <t>資料作成（内部向け）,会員退会ログ仕込み</t>
        </is>
      </c>
    </row>
    <row r="39">
      <c r="A39" t="inlineStr">
        <is>
          <t>景山 朋美</t>
        </is>
      </c>
      <c r="B39" t="inlineStr">
        <is>
          <t>SMMs001:島村楽器サポート</t>
        </is>
      </c>
      <c r="D39">
        <f>L39</f>
        <v/>
      </c>
      <c r="E39">
        <f>SUMIFS(J:J, G:G, A39, H:H, B39, L:L, L39)</f>
        <v/>
      </c>
      <c r="F39" t="inlineStr">
        <is>
          <t>37</t>
        </is>
      </c>
      <c r="G39" t="inlineStr">
        <is>
          <t>景山 朋美</t>
        </is>
      </c>
      <c r="H39" t="inlineStr">
        <is>
          <t>SMMs001:島村楽器サポート</t>
        </is>
      </c>
      <c r="I39" s="1" t="n">
        <v>46000</v>
      </c>
      <c r="J39" t="n">
        <v>2.25</v>
      </c>
      <c r="K39">
        <f>IFERROR(MID(Q39, FIND(",", Q39) + 1, LEN(Q39) - FIND(",", Q39)), Q39)</f>
        <v/>
      </c>
      <c r="L39">
        <f>IFERROR(LEFT(Q39, FIND(",", Q39) - 1), "-")</f>
        <v/>
      </c>
      <c r="M39" t="n">
        <v>3</v>
      </c>
      <c r="O39" s="2" t="inlineStr">
        <is>
          <t>09:45</t>
        </is>
      </c>
      <c r="P39" s="2" t="inlineStr">
        <is>
          <t>12:00</t>
        </is>
      </c>
      <c r="Q39" t="inlineStr">
        <is>
          <t>資料作成（内部向け）,会員退会検証</t>
        </is>
      </c>
    </row>
    <row r="40">
      <c r="A40" t="inlineStr">
        <is>
          <t>景山 朋美</t>
        </is>
      </c>
      <c r="B40" t="inlineStr">
        <is>
          <t>SMMs001:島村楽器サポート</t>
        </is>
      </c>
      <c r="D40">
        <f>L40</f>
        <v/>
      </c>
      <c r="E40">
        <f>SUMIFS(J:J, G:G, A40, H:H, B40, L:L, L40)</f>
        <v/>
      </c>
      <c r="F40" t="inlineStr">
        <is>
          <t>37</t>
        </is>
      </c>
      <c r="G40" t="inlineStr">
        <is>
          <t>景山 朋美</t>
        </is>
      </c>
      <c r="H40" t="inlineStr">
        <is>
          <t>SMMs001:島村楽器サポート</t>
        </is>
      </c>
      <c r="I40" s="1" t="n">
        <v>46000</v>
      </c>
      <c r="J40" t="n">
        <v>5</v>
      </c>
      <c r="K40">
        <f>IFERROR(MID(Q40, FIND(",", Q40) + 1, LEN(Q40) - FIND(",", Q40)), Q40)</f>
        <v/>
      </c>
      <c r="L40">
        <f>IFERROR(LEFT(Q40, FIND(",", Q40) - 1), "-")</f>
        <v/>
      </c>
      <c r="M40" t="n">
        <v>3</v>
      </c>
      <c r="O40" s="2" t="inlineStr">
        <is>
          <t>13:00</t>
        </is>
      </c>
      <c r="P40" s="2" t="inlineStr">
        <is>
          <t>18:00</t>
        </is>
      </c>
      <c r="Q40" t="inlineStr">
        <is>
          <t>資料作成（内部向け）,会員退会検証</t>
        </is>
      </c>
    </row>
    <row r="41">
      <c r="A41" t="inlineStr">
        <is>
          <t>景山 朋美</t>
        </is>
      </c>
      <c r="B41" t="inlineStr">
        <is>
          <t>SMMs001:島村楽器サポート</t>
        </is>
      </c>
      <c r="D41">
        <f>L41</f>
        <v/>
      </c>
      <c r="E41">
        <f>SUMIFS(J:J, G:G, A41, H:H, B41, L:L, L41)</f>
        <v/>
      </c>
      <c r="F41" t="inlineStr">
        <is>
          <t>37</t>
        </is>
      </c>
      <c r="G41" t="inlineStr">
        <is>
          <t>景山 朋美</t>
        </is>
      </c>
      <c r="H41" t="inlineStr">
        <is>
          <t>SMMs001:島村楽器サポート</t>
        </is>
      </c>
      <c r="I41" s="1" t="n">
        <v>46001</v>
      </c>
      <c r="J41" t="n">
        <v>2.25</v>
      </c>
      <c r="K41">
        <f>IFERROR(MID(Q41, FIND(",", Q41) + 1, LEN(Q41) - FIND(",", Q41)), Q41)</f>
        <v/>
      </c>
      <c r="L41">
        <f>IFERROR(LEFT(Q41, FIND(",", Q41) - 1), "-")</f>
        <v/>
      </c>
      <c r="M41" t="n">
        <v>3</v>
      </c>
      <c r="O41" s="2" t="inlineStr">
        <is>
          <t>09:45</t>
        </is>
      </c>
      <c r="P41" s="2" t="inlineStr">
        <is>
          <t>12:00</t>
        </is>
      </c>
      <c r="Q41" t="inlineStr">
        <is>
          <t>資料作成（内部向け）,会員退会検証</t>
        </is>
      </c>
    </row>
    <row r="42">
      <c r="A42" t="inlineStr">
        <is>
          <t>景山 朋美</t>
        </is>
      </c>
      <c r="B42" t="inlineStr">
        <is>
          <t>SMMs001:島村楽器サポート</t>
        </is>
      </c>
      <c r="D42">
        <f>L42</f>
        <v/>
      </c>
      <c r="E42">
        <f>SUMIFS(J:J, G:G, A42, H:H, B42, L:L, L42)</f>
        <v/>
      </c>
      <c r="F42" t="inlineStr">
        <is>
          <t>37</t>
        </is>
      </c>
      <c r="G42" t="inlineStr">
        <is>
          <t>景山 朋美</t>
        </is>
      </c>
      <c r="H42" t="inlineStr">
        <is>
          <t>SMMs001:島村楽器サポート</t>
        </is>
      </c>
      <c r="I42" s="1" t="n">
        <v>46001</v>
      </c>
      <c r="J42" t="n">
        <v>5</v>
      </c>
      <c r="K42">
        <f>IFERROR(MID(Q42, FIND(",", Q42) + 1, LEN(Q42) - FIND(",", Q42)), Q42)</f>
        <v/>
      </c>
      <c r="L42">
        <f>IFERROR(LEFT(Q42, FIND(",", Q42) - 1), "-")</f>
        <v/>
      </c>
      <c r="M42" t="n">
        <v>3</v>
      </c>
      <c r="O42" s="2" t="inlineStr">
        <is>
          <t>13:00</t>
        </is>
      </c>
      <c r="P42" s="2" t="inlineStr">
        <is>
          <t>18:00</t>
        </is>
      </c>
      <c r="Q42" t="inlineStr">
        <is>
          <t>資料作成（内部向け）,会員退会検証</t>
        </is>
      </c>
    </row>
    <row r="43">
      <c r="A43" t="inlineStr">
        <is>
          <t>景山 朋美</t>
        </is>
      </c>
      <c r="B43" t="inlineStr">
        <is>
          <t>SMMs001:島村楽器サポート</t>
        </is>
      </c>
      <c r="D43">
        <f>L43</f>
        <v/>
      </c>
      <c r="E43">
        <f>SUMIFS(J:J, G:G, A43, H:H, B43, L:L, L43)</f>
        <v/>
      </c>
      <c r="F43" t="inlineStr">
        <is>
          <t>37</t>
        </is>
      </c>
      <c r="G43" t="inlineStr">
        <is>
          <t>景山 朋美</t>
        </is>
      </c>
      <c r="H43" t="inlineStr">
        <is>
          <t>SMMs001:島村楽器サポート</t>
        </is>
      </c>
      <c r="I43" s="1" t="n">
        <v>46002</v>
      </c>
      <c r="J43" t="n">
        <v>1</v>
      </c>
      <c r="K43">
        <f>IFERROR(MID(Q43, FIND(",", Q43) + 1, LEN(Q43) - FIND(",", Q43)), Q43)</f>
        <v/>
      </c>
      <c r="L43">
        <f>IFERROR(LEFT(Q43, FIND(",", Q43) - 1), "-")</f>
        <v/>
      </c>
      <c r="M43" t="n">
        <v>3</v>
      </c>
      <c r="O43" s="2" t="inlineStr">
        <is>
          <t>11:00</t>
        </is>
      </c>
      <c r="P43" s="2" t="inlineStr">
        <is>
          <t>12:00</t>
        </is>
      </c>
      <c r="Q43" t="inlineStr">
        <is>
          <t>資料作成（内部向け）,会員退会検証</t>
        </is>
      </c>
    </row>
    <row r="44">
      <c r="A44" t="inlineStr">
        <is>
          <t>景山 朋美</t>
        </is>
      </c>
      <c r="B44" t="inlineStr">
        <is>
          <t>SMMs001:島村楽器サポート</t>
        </is>
      </c>
      <c r="D44">
        <f>L44</f>
        <v/>
      </c>
      <c r="E44">
        <f>SUMIFS(J:J, G:G, A44, H:H, B44, L:L, L44)</f>
        <v/>
      </c>
      <c r="F44" t="inlineStr">
        <is>
          <t>37</t>
        </is>
      </c>
      <c r="G44" t="inlineStr">
        <is>
          <t>景山 朋美</t>
        </is>
      </c>
      <c r="H44" t="inlineStr">
        <is>
          <t>SMMs001:島村楽器サポート</t>
        </is>
      </c>
      <c r="I44" s="1" t="n">
        <v>46002</v>
      </c>
      <c r="J44" t="n">
        <v>5</v>
      </c>
      <c r="K44">
        <f>IFERROR(MID(Q44, FIND(",", Q44) + 1, LEN(Q44) - FIND(",", Q44)), Q44)</f>
        <v/>
      </c>
      <c r="L44">
        <f>IFERROR(LEFT(Q44, FIND(",", Q44) - 1), "-")</f>
        <v/>
      </c>
      <c r="M44" t="n">
        <v>3</v>
      </c>
      <c r="O44" s="2" t="inlineStr">
        <is>
          <t>13:00</t>
        </is>
      </c>
      <c r="P44" s="2" t="inlineStr">
        <is>
          <t>18:00</t>
        </is>
      </c>
      <c r="Q44" t="inlineStr">
        <is>
          <t>資料作成（内部向け）,会員退会検証</t>
        </is>
      </c>
    </row>
    <row r="45">
      <c r="A45" t="inlineStr">
        <is>
          <t>景山 朋美</t>
        </is>
      </c>
      <c r="B45" t="inlineStr">
        <is>
          <t>SMMs001:島村楽器サポート</t>
        </is>
      </c>
      <c r="D45">
        <f>L45</f>
        <v/>
      </c>
      <c r="E45">
        <f>SUMIFS(J:J, G:G, A45, H:H, B45, L:L, L45)</f>
        <v/>
      </c>
      <c r="F45" t="inlineStr">
        <is>
          <t>37</t>
        </is>
      </c>
      <c r="G45" t="inlineStr">
        <is>
          <t>景山 朋美</t>
        </is>
      </c>
      <c r="H45" t="inlineStr">
        <is>
          <t>SMMs001:島村楽器サポート</t>
        </is>
      </c>
      <c r="I45" s="1" t="n">
        <v>46003</v>
      </c>
      <c r="J45" t="n">
        <v>2.25</v>
      </c>
      <c r="K45">
        <f>IFERROR(MID(Q45, FIND(",", Q45) + 1, LEN(Q45) - FIND(",", Q45)), Q45)</f>
        <v/>
      </c>
      <c r="L45">
        <f>IFERROR(LEFT(Q45, FIND(",", Q45) - 1), "-")</f>
        <v/>
      </c>
      <c r="M45" t="n">
        <v>3</v>
      </c>
      <c r="O45" s="2" t="inlineStr">
        <is>
          <t>09:45</t>
        </is>
      </c>
      <c r="P45" s="2" t="inlineStr">
        <is>
          <t>12:00</t>
        </is>
      </c>
      <c r="Q45" t="inlineStr">
        <is>
          <t>資料作成（内部向け）,会員退会検証</t>
        </is>
      </c>
    </row>
    <row r="46">
      <c r="A46" t="inlineStr">
        <is>
          <t>景山 朋美</t>
        </is>
      </c>
      <c r="B46" t="inlineStr">
        <is>
          <t>SMMs001:島村楽器サポート</t>
        </is>
      </c>
      <c r="D46">
        <f>L46</f>
        <v/>
      </c>
      <c r="E46">
        <f>SUMIFS(J:J, G:G, A46, H:H, B46, L:L, L46)</f>
        <v/>
      </c>
      <c r="F46" t="inlineStr">
        <is>
          <t>37</t>
        </is>
      </c>
      <c r="G46" t="inlineStr">
        <is>
          <t>景山 朋美</t>
        </is>
      </c>
      <c r="H46" t="inlineStr">
        <is>
          <t>SMMs001:島村楽器サポート</t>
        </is>
      </c>
      <c r="I46" s="1" t="n">
        <v>46007</v>
      </c>
      <c r="J46" t="n">
        <v>2.25</v>
      </c>
      <c r="K46">
        <f>IFERROR(MID(Q46, FIND(",", Q46) + 1, LEN(Q46) - FIND(",", Q46)), Q46)</f>
        <v/>
      </c>
      <c r="L46">
        <f>IFERROR(LEFT(Q46, FIND(",", Q46) - 1), "-")</f>
        <v/>
      </c>
      <c r="M46" t="n">
        <v>3</v>
      </c>
      <c r="O46" s="2" t="inlineStr">
        <is>
          <t>09:45</t>
        </is>
      </c>
      <c r="P46" s="2" t="inlineStr">
        <is>
          <t>12:00</t>
        </is>
      </c>
      <c r="Q46" t="inlineStr">
        <is>
          <t>資料作成（内部向け）,島村退会</t>
        </is>
      </c>
    </row>
    <row r="47">
      <c r="A47" t="inlineStr">
        <is>
          <t>景山 朋美</t>
        </is>
      </c>
      <c r="B47" t="inlineStr">
        <is>
          <t>SMMs001:島村楽器サポート</t>
        </is>
      </c>
      <c r="D47">
        <f>L47</f>
        <v/>
      </c>
      <c r="E47">
        <f>SUMIFS(J:J, G:G, A47, H:H, B47, L:L, L47)</f>
        <v/>
      </c>
      <c r="F47" t="inlineStr">
        <is>
          <t>37</t>
        </is>
      </c>
      <c r="G47" t="inlineStr">
        <is>
          <t>景山 朋美</t>
        </is>
      </c>
      <c r="H47" t="inlineStr">
        <is>
          <t>SMMs001:島村楽器サポート</t>
        </is>
      </c>
      <c r="I47" s="1" t="n">
        <v>46008</v>
      </c>
      <c r="J47" t="n">
        <v>2.25</v>
      </c>
      <c r="K47">
        <f>IFERROR(MID(Q47, FIND(",", Q47) + 1, LEN(Q47) - FIND(",", Q47)), Q47)</f>
        <v/>
      </c>
      <c r="L47">
        <f>IFERROR(LEFT(Q47, FIND(",", Q47) - 1), "-")</f>
        <v/>
      </c>
      <c r="M47" t="n">
        <v>3</v>
      </c>
      <c r="O47" s="2" t="inlineStr">
        <is>
          <t>09:45</t>
        </is>
      </c>
      <c r="P47" s="2" t="inlineStr">
        <is>
          <t>12:00</t>
        </is>
      </c>
      <c r="Q47" t="inlineStr">
        <is>
          <t>資料作成（内部向け）,退会検証</t>
        </is>
      </c>
    </row>
    <row r="48">
      <c r="A48" t="inlineStr">
        <is>
          <t>景山 朋美</t>
        </is>
      </c>
      <c r="B48" t="inlineStr">
        <is>
          <t>SMMs001:島村楽器サポート</t>
        </is>
      </c>
      <c r="D48">
        <f>L48</f>
        <v/>
      </c>
      <c r="E48">
        <f>SUMIFS(J:J, G:G, A48, H:H, B48, L:L, L48)</f>
        <v/>
      </c>
      <c r="F48" t="inlineStr">
        <is>
          <t>37</t>
        </is>
      </c>
      <c r="G48" t="inlineStr">
        <is>
          <t>景山 朋美</t>
        </is>
      </c>
      <c r="H48" t="inlineStr">
        <is>
          <t>SMMs001:島村楽器サポート</t>
        </is>
      </c>
      <c r="I48" s="1" t="n">
        <v>46013</v>
      </c>
      <c r="J48" t="n">
        <v>1</v>
      </c>
      <c r="K48">
        <f>IFERROR(MID(Q48, FIND(",", Q48) + 1, LEN(Q48) - FIND(",", Q48)), Q48)</f>
        <v/>
      </c>
      <c r="L48">
        <f>IFERROR(LEFT(Q48, FIND(",", Q48) - 1), "-")</f>
        <v/>
      </c>
      <c r="M48" t="n">
        <v>3</v>
      </c>
      <c r="O48" s="2" t="inlineStr">
        <is>
          <t>17:00</t>
        </is>
      </c>
      <c r="P48" s="2" t="inlineStr">
        <is>
          <t>18:00</t>
        </is>
      </c>
      <c r="Q48" t="inlineStr">
        <is>
          <t>資料作成（外部向け）,MTG後処理</t>
        </is>
      </c>
    </row>
    <row r="49">
      <c r="A49" t="inlineStr">
        <is>
          <t>景山 朋美</t>
        </is>
      </c>
      <c r="B49" t="inlineStr">
        <is>
          <t>SMMs001:島村楽器サポート</t>
        </is>
      </c>
      <c r="D49">
        <f>L49</f>
        <v/>
      </c>
      <c r="E49">
        <f>SUMIFS(J:J, G:G, A49, H:H, B49, L:L, L49)</f>
        <v/>
      </c>
      <c r="F49" t="inlineStr">
        <is>
          <t>37</t>
        </is>
      </c>
      <c r="G49" t="inlineStr">
        <is>
          <t>景山 朋美</t>
        </is>
      </c>
      <c r="H49" t="inlineStr">
        <is>
          <t>SMMs001:島村楽器サポート</t>
        </is>
      </c>
      <c r="I49" s="1" t="n">
        <v>46009</v>
      </c>
      <c r="J49" t="n">
        <v>2.5</v>
      </c>
      <c r="K49">
        <f>IFERROR(MID(Q49, FIND(",", Q49) + 1, LEN(Q49) - FIND(",", Q49)), Q49)</f>
        <v/>
      </c>
      <c r="L49">
        <f>IFERROR(LEFT(Q49, FIND(",", Q49) - 1), "-")</f>
        <v/>
      </c>
      <c r="M49" t="n">
        <v>3</v>
      </c>
      <c r="O49" s="2" t="inlineStr">
        <is>
          <t>13:00</t>
        </is>
      </c>
      <c r="P49" s="2" t="inlineStr">
        <is>
          <t>15:30</t>
        </is>
      </c>
      <c r="Q49" t="inlineStr">
        <is>
          <t>資料作成（外部向け）,MySQL8.4 VerUP対応</t>
        </is>
      </c>
    </row>
    <row r="50">
      <c r="A50" t="inlineStr">
        <is>
          <t>景山 朋美</t>
        </is>
      </c>
      <c r="B50" t="inlineStr">
        <is>
          <t>SMMs001:島村楽器サポート</t>
        </is>
      </c>
      <c r="D50">
        <f>L50</f>
        <v/>
      </c>
      <c r="E50">
        <f>SUMIFS(J:J, G:G, A50, H:H, B50, L:L, L50)</f>
        <v/>
      </c>
      <c r="F50" t="inlineStr">
        <is>
          <t>37</t>
        </is>
      </c>
      <c r="G50" t="inlineStr">
        <is>
          <t>景山 朋美</t>
        </is>
      </c>
      <c r="H50" t="inlineStr">
        <is>
          <t>SMMs001:島村楽器サポート</t>
        </is>
      </c>
      <c r="I50" s="1" t="n">
        <v>46008</v>
      </c>
      <c r="J50" t="n">
        <v>2</v>
      </c>
      <c r="K50">
        <f>IFERROR(MID(Q50, FIND(",", Q50) + 1, LEN(Q50) - FIND(",", Q50)), Q50)</f>
        <v/>
      </c>
      <c r="L50">
        <f>IFERROR(LEFT(Q50, FIND(",", Q50) - 1), "-")</f>
        <v/>
      </c>
      <c r="M50" t="n">
        <v>3</v>
      </c>
      <c r="O50" s="2" t="inlineStr">
        <is>
          <t>13:00</t>
        </is>
      </c>
      <c r="P50" s="2" t="inlineStr">
        <is>
          <t>15:00</t>
        </is>
      </c>
      <c r="Q50" t="inlineStr">
        <is>
          <t>資料作成（外部向け）,島村環境（準備の絵描き）</t>
        </is>
      </c>
    </row>
    <row r="51">
      <c r="A51" t="inlineStr">
        <is>
          <t>景山 朋美</t>
        </is>
      </c>
      <c r="B51" t="inlineStr">
        <is>
          <t>SMMs001:島村楽器サポート</t>
        </is>
      </c>
      <c r="D51">
        <f>L51</f>
        <v/>
      </c>
      <c r="E51">
        <f>SUMIFS(J:J, G:G, A51, H:H, B51, L:L, L51)</f>
        <v/>
      </c>
      <c r="F51" t="inlineStr">
        <is>
          <t>37</t>
        </is>
      </c>
      <c r="G51" t="inlineStr">
        <is>
          <t>景山 朋美</t>
        </is>
      </c>
      <c r="H51" t="inlineStr">
        <is>
          <t>SMMs001:島村楽器サポート</t>
        </is>
      </c>
      <c r="I51" s="1" t="n">
        <v>46009</v>
      </c>
      <c r="J51" t="n">
        <v>0.75</v>
      </c>
      <c r="K51">
        <f>IFERROR(MID(Q51, FIND(",", Q51) + 1, LEN(Q51) - FIND(",", Q51)), Q51)</f>
        <v/>
      </c>
      <c r="L51">
        <f>IFERROR(LEFT(Q51, FIND(",", Q51) - 1), "-")</f>
        <v/>
      </c>
      <c r="M51" t="n">
        <v>3</v>
      </c>
      <c r="O51" s="2" t="inlineStr">
        <is>
          <t>09:45</t>
        </is>
      </c>
      <c r="P51" s="2" t="inlineStr">
        <is>
          <t>10:30</t>
        </is>
      </c>
      <c r="Q51" t="inlineStr">
        <is>
          <t>進捗管理,(島村)状況報告</t>
        </is>
      </c>
    </row>
    <row r="52">
      <c r="A52" t="inlineStr">
        <is>
          <t>景山 朋美</t>
        </is>
      </c>
      <c r="B52" t="inlineStr">
        <is>
          <t>SMMs001:島村楽器サポート</t>
        </is>
      </c>
      <c r="D52">
        <f>L52</f>
        <v/>
      </c>
      <c r="E52">
        <f>SUMIFS(J:J, G:G, A52, H:H, B52, L:L, L52)</f>
        <v/>
      </c>
      <c r="F52" t="inlineStr">
        <is>
          <t>37</t>
        </is>
      </c>
      <c r="G52" t="inlineStr">
        <is>
          <t>景山 朋美</t>
        </is>
      </c>
      <c r="H52" t="inlineStr">
        <is>
          <t>SMMs001:島村楽器サポート</t>
        </is>
      </c>
      <c r="I52" s="1" t="n">
        <v>45993</v>
      </c>
      <c r="J52" t="n">
        <v>1</v>
      </c>
      <c r="K52">
        <f>IFERROR(MID(Q52, FIND(",", Q52) + 1, LEN(Q52) - FIND(",", Q52)), Q52)</f>
        <v/>
      </c>
      <c r="L52">
        <f>IFERROR(LEFT(Q52, FIND(",", Q52) - 1), "-")</f>
        <v/>
      </c>
      <c r="M52" t="n">
        <v>3</v>
      </c>
      <c r="O52" s="2" t="inlineStr">
        <is>
          <t>13:00</t>
        </is>
      </c>
      <c r="P52" s="2" t="inlineStr">
        <is>
          <t>14:00</t>
        </is>
      </c>
      <c r="Q52" t="inlineStr">
        <is>
          <t>進捗管理,MySQLバージョンアップ状況整理</t>
        </is>
      </c>
    </row>
    <row r="53">
      <c r="A53" t="inlineStr">
        <is>
          <t>景山 朋美</t>
        </is>
      </c>
      <c r="B53" t="inlineStr">
        <is>
          <t>TCNZ001:社内業務等</t>
        </is>
      </c>
      <c r="C53">
        <f>SUMIFS(J:J, G:G, A53, H:H, B53)</f>
        <v/>
      </c>
      <c r="D53">
        <f>L53</f>
        <v/>
      </c>
      <c r="E53">
        <f>SUMIFS(J:J, G:G, A53, H:H, B53, L:L, L53)</f>
        <v/>
      </c>
      <c r="F53" t="inlineStr">
        <is>
          <t>37</t>
        </is>
      </c>
      <c r="G53" t="inlineStr">
        <is>
          <t>景山 朋美</t>
        </is>
      </c>
      <c r="H53" t="inlineStr">
        <is>
          <t>TCNZ001:社内業務等</t>
        </is>
      </c>
      <c r="I53" s="1" t="n">
        <v>46013</v>
      </c>
      <c r="J53" t="n">
        <v>1.5</v>
      </c>
      <c r="K53">
        <f>IFERROR(MID(Q53, FIND(",", Q53) + 1, LEN(Q53) - FIND(",", Q53)), Q53)</f>
        <v/>
      </c>
      <c r="L53">
        <f>IFERROR(LEFT(Q53, FIND(",", Q53) - 1), "-")</f>
        <v/>
      </c>
      <c r="M53" t="n">
        <v>5</v>
      </c>
      <c r="O53" s="2" t="inlineStr">
        <is>
          <t>14:30</t>
        </is>
      </c>
      <c r="P53" s="2" t="inlineStr">
        <is>
          <t>16:00</t>
        </is>
      </c>
      <c r="Q53" t="inlineStr">
        <is>
          <t xml:space="preserve"> AI勉強会派生_GASの回（初心者向け）続き</t>
        </is>
      </c>
    </row>
    <row r="54">
      <c r="A54" t="inlineStr">
        <is>
          <t>景山 朋美</t>
        </is>
      </c>
      <c r="B54" t="inlineStr">
        <is>
          <t>TCNZ001:社内業務等</t>
        </is>
      </c>
      <c r="D54">
        <f>L54</f>
        <v/>
      </c>
      <c r="E54">
        <f>SUMIFS(J:J, G:G, A54, H:H, B54, L:L, L54)</f>
        <v/>
      </c>
      <c r="F54" t="inlineStr">
        <is>
          <t>37</t>
        </is>
      </c>
      <c r="G54" t="inlineStr">
        <is>
          <t>景山 朋美</t>
        </is>
      </c>
      <c r="H54" t="inlineStr">
        <is>
          <t>TCNZ001:社内業務等</t>
        </is>
      </c>
      <c r="I54" s="1" t="n">
        <v>45992</v>
      </c>
      <c r="J54" t="n">
        <v>1</v>
      </c>
      <c r="K54">
        <f>IFERROR(MID(Q54, FIND(",", Q54) + 1, LEN(Q54) - FIND(",", Q54)), Q54)</f>
        <v/>
      </c>
      <c r="L54">
        <f>IFERROR(LEFT(Q54, FIND(",", Q54) - 1), "-")</f>
        <v/>
      </c>
      <c r="M54" t="n">
        <v>5</v>
      </c>
      <c r="O54" s="2" t="inlineStr">
        <is>
          <t>11:00</t>
        </is>
      </c>
      <c r="P54" s="2" t="inlineStr">
        <is>
          <t>12:00</t>
        </is>
      </c>
      <c r="Q54" t="inlineStr">
        <is>
          <t xml:space="preserve"> 資料作成（内部向け）,会員退会の検証</t>
        </is>
      </c>
    </row>
    <row r="55">
      <c r="A55" t="inlineStr">
        <is>
          <t>景山 朋美</t>
        </is>
      </c>
      <c r="B55" t="inlineStr">
        <is>
          <t>TCNZ001:社内業務等</t>
        </is>
      </c>
      <c r="D55">
        <f>L55</f>
        <v/>
      </c>
      <c r="E55">
        <f>SUMIFS(J:J, G:G, A55, H:H, B55, L:L, L55)</f>
        <v/>
      </c>
      <c r="F55" t="inlineStr">
        <is>
          <t>37</t>
        </is>
      </c>
      <c r="G55" t="inlineStr">
        <is>
          <t>景山 朋美</t>
        </is>
      </c>
      <c r="H55" t="inlineStr">
        <is>
          <t>TCNZ001:社内業務等</t>
        </is>
      </c>
      <c r="I55" s="1" t="n">
        <v>45992</v>
      </c>
      <c r="J55" t="n">
        <v>1.25</v>
      </c>
      <c r="K55">
        <f>IFERROR(MID(Q55, FIND(",", Q55) + 1, LEN(Q55) - FIND(",", Q55)), Q55)</f>
        <v/>
      </c>
      <c r="L55">
        <f>IFERROR(LEFT(Q55, FIND(",", Q55) - 1), "-")</f>
        <v/>
      </c>
      <c r="M55" t="n">
        <v>5</v>
      </c>
      <c r="O55" s="2" t="inlineStr">
        <is>
          <t>09:45</t>
        </is>
      </c>
      <c r="P55" s="2" t="inlineStr">
        <is>
          <t>11:00</t>
        </is>
      </c>
      <c r="Q55" t="inlineStr">
        <is>
          <t>AI勉強会後処理</t>
        </is>
      </c>
    </row>
    <row r="56">
      <c r="A56" t="inlineStr">
        <is>
          <t>景山 朋美</t>
        </is>
      </c>
      <c r="B56" t="inlineStr">
        <is>
          <t>TCNZ001:社内業務等</t>
        </is>
      </c>
      <c r="D56">
        <f>L56</f>
        <v/>
      </c>
      <c r="E56">
        <f>SUMIFS(J:J, G:G, A56, H:H, B56, L:L, L56)</f>
        <v/>
      </c>
      <c r="F56" t="inlineStr">
        <is>
          <t>37</t>
        </is>
      </c>
      <c r="G56" t="inlineStr">
        <is>
          <t>景山 朋美</t>
        </is>
      </c>
      <c r="H56" t="inlineStr">
        <is>
          <t>TCNZ001:社内業務等</t>
        </is>
      </c>
      <c r="I56" s="1" t="n">
        <v>45995</v>
      </c>
      <c r="J56" t="n">
        <v>1.5</v>
      </c>
      <c r="K56">
        <f>IFERROR(MID(Q56, FIND(",", Q56) + 1, LEN(Q56) - FIND(",", Q56)), Q56)</f>
        <v/>
      </c>
      <c r="L56">
        <f>IFERROR(LEFT(Q56, FIND(",", Q56) - 1), "-")</f>
        <v/>
      </c>
      <c r="M56" t="n">
        <v>5</v>
      </c>
      <c r="O56" s="2" t="inlineStr">
        <is>
          <t>10:30</t>
        </is>
      </c>
      <c r="P56" s="2" t="inlineStr">
        <is>
          <t>12:00</t>
        </is>
      </c>
      <c r="Q56" t="inlineStr">
        <is>
          <t>Toolメンテ</t>
        </is>
      </c>
    </row>
    <row r="57">
      <c r="A57" t="inlineStr">
        <is>
          <t>景山 朋美</t>
        </is>
      </c>
      <c r="B57" t="inlineStr">
        <is>
          <t>TCNZ001:社内業務等</t>
        </is>
      </c>
      <c r="D57">
        <f>L57</f>
        <v/>
      </c>
      <c r="E57">
        <f>SUMIFS(J:J, G:G, A57, H:H, B57, L:L, L57)</f>
        <v/>
      </c>
      <c r="F57" t="inlineStr">
        <is>
          <t>37</t>
        </is>
      </c>
      <c r="G57" t="inlineStr">
        <is>
          <t>景山 朋美</t>
        </is>
      </c>
      <c r="H57" t="inlineStr">
        <is>
          <t>TCNZ001:社内業務等</t>
        </is>
      </c>
      <c r="I57" s="1" t="n">
        <v>45992</v>
      </c>
      <c r="J57" t="n">
        <v>0.25</v>
      </c>
      <c r="K57">
        <f>IFERROR(MID(Q57, FIND(",", Q57) + 1, LEN(Q57) - FIND(",", Q57)), Q57)</f>
        <v/>
      </c>
      <c r="L57">
        <f>IFERROR(LEFT(Q57, FIND(",", Q57) - 1), "-")</f>
        <v/>
      </c>
      <c r="M57" t="n">
        <v>5</v>
      </c>
      <c r="O57" s="2" t="inlineStr">
        <is>
          <t>09:30</t>
        </is>
      </c>
      <c r="P57" s="2" t="inlineStr">
        <is>
          <t>09:45</t>
        </is>
      </c>
      <c r="Q57" t="inlineStr">
        <is>
          <t>【オンラインMTG】朝会</t>
        </is>
      </c>
    </row>
    <row r="58">
      <c r="A58" t="inlineStr">
        <is>
          <t>景山 朋美</t>
        </is>
      </c>
      <c r="B58" t="inlineStr">
        <is>
          <t>TCNZ001:社内業務等</t>
        </is>
      </c>
      <c r="D58">
        <f>L58</f>
        <v/>
      </c>
      <c r="E58">
        <f>SUMIFS(J:J, G:G, A58, H:H, B58, L:L, L58)</f>
        <v/>
      </c>
      <c r="F58" t="inlineStr">
        <is>
          <t>37</t>
        </is>
      </c>
      <c r="G58" t="inlineStr">
        <is>
          <t>景山 朋美</t>
        </is>
      </c>
      <c r="H58" t="inlineStr">
        <is>
          <t>TCNZ001:社内業務等</t>
        </is>
      </c>
      <c r="I58" s="1" t="n">
        <v>45993</v>
      </c>
      <c r="J58" t="n">
        <v>0.25</v>
      </c>
      <c r="K58">
        <f>IFERROR(MID(Q58, FIND(",", Q58) + 1, LEN(Q58) - FIND(",", Q58)), Q58)</f>
        <v/>
      </c>
      <c r="L58">
        <f>IFERROR(LEFT(Q58, FIND(",", Q58) - 1), "-")</f>
        <v/>
      </c>
      <c r="M58" t="n">
        <v>5</v>
      </c>
      <c r="O58" s="2" t="inlineStr">
        <is>
          <t>09:30</t>
        </is>
      </c>
      <c r="P58" s="2" t="inlineStr">
        <is>
          <t>09:45</t>
        </is>
      </c>
      <c r="Q58" t="inlineStr">
        <is>
          <t>【オンラインMTG】朝会</t>
        </is>
      </c>
    </row>
    <row r="59">
      <c r="A59" t="inlineStr">
        <is>
          <t>景山 朋美</t>
        </is>
      </c>
      <c r="B59" t="inlineStr">
        <is>
          <t>TCNZ001:社内業務等</t>
        </is>
      </c>
      <c r="D59">
        <f>L59</f>
        <v/>
      </c>
      <c r="E59">
        <f>SUMIFS(J:J, G:G, A59, H:H, B59, L:L, L59)</f>
        <v/>
      </c>
      <c r="F59" t="inlineStr">
        <is>
          <t>37</t>
        </is>
      </c>
      <c r="G59" t="inlineStr">
        <is>
          <t>景山 朋美</t>
        </is>
      </c>
      <c r="H59" t="inlineStr">
        <is>
          <t>TCNZ001:社内業務等</t>
        </is>
      </c>
      <c r="I59" s="1" t="n">
        <v>45994</v>
      </c>
      <c r="J59" t="n">
        <v>0.25</v>
      </c>
      <c r="K59">
        <f>IFERROR(MID(Q59, FIND(",", Q59) + 1, LEN(Q59) - FIND(",", Q59)), Q59)</f>
        <v/>
      </c>
      <c r="L59">
        <f>IFERROR(LEFT(Q59, FIND(",", Q59) - 1), "-")</f>
        <v/>
      </c>
      <c r="M59" t="n">
        <v>5</v>
      </c>
      <c r="O59" s="2" t="inlineStr">
        <is>
          <t>09:30</t>
        </is>
      </c>
      <c r="P59" s="2" t="inlineStr">
        <is>
          <t>09:45</t>
        </is>
      </c>
      <c r="Q59" t="inlineStr">
        <is>
          <t>【オンラインMTG】朝会</t>
        </is>
      </c>
    </row>
    <row r="60">
      <c r="A60" t="inlineStr">
        <is>
          <t>景山 朋美</t>
        </is>
      </c>
      <c r="B60" t="inlineStr">
        <is>
          <t>TCNZ001:社内業務等</t>
        </is>
      </c>
      <c r="D60">
        <f>L60</f>
        <v/>
      </c>
      <c r="E60">
        <f>SUMIFS(J:J, G:G, A60, H:H, B60, L:L, L60)</f>
        <v/>
      </c>
      <c r="F60" t="inlineStr">
        <is>
          <t>37</t>
        </is>
      </c>
      <c r="G60" t="inlineStr">
        <is>
          <t>景山 朋美</t>
        </is>
      </c>
      <c r="H60" t="inlineStr">
        <is>
          <t>TCNZ001:社内業務等</t>
        </is>
      </c>
      <c r="I60" s="1" t="n">
        <v>45995</v>
      </c>
      <c r="J60" t="n">
        <v>0.25</v>
      </c>
      <c r="K60">
        <f>IFERROR(MID(Q60, FIND(",", Q60) + 1, LEN(Q60) - FIND(",", Q60)), Q60)</f>
        <v/>
      </c>
      <c r="L60">
        <f>IFERROR(LEFT(Q60, FIND(",", Q60) - 1), "-")</f>
        <v/>
      </c>
      <c r="M60" t="n">
        <v>5</v>
      </c>
      <c r="O60" s="2" t="inlineStr">
        <is>
          <t>09:30</t>
        </is>
      </c>
      <c r="P60" s="2" t="inlineStr">
        <is>
          <t>09:45</t>
        </is>
      </c>
      <c r="Q60" t="inlineStr">
        <is>
          <t>【オンラインMTG】朝会</t>
        </is>
      </c>
    </row>
    <row r="61">
      <c r="A61" t="inlineStr">
        <is>
          <t>景山 朋美</t>
        </is>
      </c>
      <c r="B61" t="inlineStr">
        <is>
          <t>TCNZ001:社内業務等</t>
        </is>
      </c>
      <c r="D61">
        <f>L61</f>
        <v/>
      </c>
      <c r="E61">
        <f>SUMIFS(J:J, G:G, A61, H:H, B61, L:L, L61)</f>
        <v/>
      </c>
      <c r="F61" t="inlineStr">
        <is>
          <t>37</t>
        </is>
      </c>
      <c r="G61" t="inlineStr">
        <is>
          <t>景山 朋美</t>
        </is>
      </c>
      <c r="H61" t="inlineStr">
        <is>
          <t>TCNZ001:社内業務等</t>
        </is>
      </c>
      <c r="I61" s="1" t="n">
        <v>45996</v>
      </c>
      <c r="J61" t="n">
        <v>0.25</v>
      </c>
      <c r="K61">
        <f>IFERROR(MID(Q61, FIND(",", Q61) + 1, LEN(Q61) - FIND(",", Q61)), Q61)</f>
        <v/>
      </c>
      <c r="L61">
        <f>IFERROR(LEFT(Q61, FIND(",", Q61) - 1), "-")</f>
        <v/>
      </c>
      <c r="M61" t="n">
        <v>5</v>
      </c>
      <c r="O61" s="2" t="inlineStr">
        <is>
          <t>09:30</t>
        </is>
      </c>
      <c r="P61" s="2" t="inlineStr">
        <is>
          <t>09:45</t>
        </is>
      </c>
      <c r="Q61" t="inlineStr">
        <is>
          <t>【オンラインMTG】朝会</t>
        </is>
      </c>
    </row>
    <row r="62">
      <c r="A62" t="inlineStr">
        <is>
          <t>景山 朋美</t>
        </is>
      </c>
      <c r="B62" t="inlineStr">
        <is>
          <t>TCNZ001:社内業務等</t>
        </is>
      </c>
      <c r="D62">
        <f>L62</f>
        <v/>
      </c>
      <c r="E62">
        <f>SUMIFS(J:J, G:G, A62, H:H, B62, L:L, L62)</f>
        <v/>
      </c>
      <c r="F62" t="inlineStr">
        <is>
          <t>37</t>
        </is>
      </c>
      <c r="G62" t="inlineStr">
        <is>
          <t>景山 朋美</t>
        </is>
      </c>
      <c r="H62" t="inlineStr">
        <is>
          <t>TCNZ001:社内業務等</t>
        </is>
      </c>
      <c r="I62" s="1" t="n">
        <v>45999</v>
      </c>
      <c r="J62" t="n">
        <v>0.25</v>
      </c>
      <c r="K62">
        <f>IFERROR(MID(Q62, FIND(",", Q62) + 1, LEN(Q62) - FIND(",", Q62)), Q62)</f>
        <v/>
      </c>
      <c r="L62">
        <f>IFERROR(LEFT(Q62, FIND(",", Q62) - 1), "-")</f>
        <v/>
      </c>
      <c r="M62" t="n">
        <v>5</v>
      </c>
      <c r="O62" s="2" t="inlineStr">
        <is>
          <t>09:30</t>
        </is>
      </c>
      <c r="P62" s="2" t="inlineStr">
        <is>
          <t>09:45</t>
        </is>
      </c>
      <c r="Q62" t="inlineStr">
        <is>
          <t>【オンラインMTG】朝会</t>
        </is>
      </c>
    </row>
    <row r="63">
      <c r="A63" t="inlineStr">
        <is>
          <t>景山 朋美</t>
        </is>
      </c>
      <c r="B63" t="inlineStr">
        <is>
          <t>TCNZ001:社内業務等</t>
        </is>
      </c>
      <c r="D63">
        <f>L63</f>
        <v/>
      </c>
      <c r="E63">
        <f>SUMIFS(J:J, G:G, A63, H:H, B63, L:L, L63)</f>
        <v/>
      </c>
      <c r="F63" t="inlineStr">
        <is>
          <t>37</t>
        </is>
      </c>
      <c r="G63" t="inlineStr">
        <is>
          <t>景山 朋美</t>
        </is>
      </c>
      <c r="H63" t="inlineStr">
        <is>
          <t>TCNZ001:社内業務等</t>
        </is>
      </c>
      <c r="I63" s="1" t="n">
        <v>46000</v>
      </c>
      <c r="J63" t="n">
        <v>0.25</v>
      </c>
      <c r="K63">
        <f>IFERROR(MID(Q63, FIND(",", Q63) + 1, LEN(Q63) - FIND(",", Q63)), Q63)</f>
        <v/>
      </c>
      <c r="L63">
        <f>IFERROR(LEFT(Q63, FIND(",", Q63) - 1), "-")</f>
        <v/>
      </c>
      <c r="M63" t="n">
        <v>5</v>
      </c>
      <c r="O63" s="2" t="inlineStr">
        <is>
          <t>09:30</t>
        </is>
      </c>
      <c r="P63" s="2" t="inlineStr">
        <is>
          <t>09:45</t>
        </is>
      </c>
      <c r="Q63" t="inlineStr">
        <is>
          <t>【オンラインMTG】朝会</t>
        </is>
      </c>
    </row>
    <row r="64">
      <c r="A64" t="inlineStr">
        <is>
          <t>景山 朋美</t>
        </is>
      </c>
      <c r="B64" t="inlineStr">
        <is>
          <t>TCNZ001:社内業務等</t>
        </is>
      </c>
      <c r="D64">
        <f>L64</f>
        <v/>
      </c>
      <c r="E64">
        <f>SUMIFS(J:J, G:G, A64, H:H, B64, L:L, L64)</f>
        <v/>
      </c>
      <c r="F64" t="inlineStr">
        <is>
          <t>37</t>
        </is>
      </c>
      <c r="G64" t="inlineStr">
        <is>
          <t>景山 朋美</t>
        </is>
      </c>
      <c r="H64" t="inlineStr">
        <is>
          <t>TCNZ001:社内業務等</t>
        </is>
      </c>
      <c r="I64" s="1" t="n">
        <v>46001</v>
      </c>
      <c r="J64" t="n">
        <v>0.25</v>
      </c>
      <c r="K64">
        <f>IFERROR(MID(Q64, FIND(",", Q64) + 1, LEN(Q64) - FIND(",", Q64)), Q64)</f>
        <v/>
      </c>
      <c r="L64">
        <f>IFERROR(LEFT(Q64, FIND(",", Q64) - 1), "-")</f>
        <v/>
      </c>
      <c r="M64" t="n">
        <v>5</v>
      </c>
      <c r="O64" s="2" t="inlineStr">
        <is>
          <t>09:30</t>
        </is>
      </c>
      <c r="P64" s="2" t="inlineStr">
        <is>
          <t>09:45</t>
        </is>
      </c>
      <c r="Q64" t="inlineStr">
        <is>
          <t>【オンラインMTG】朝会</t>
        </is>
      </c>
    </row>
    <row r="65">
      <c r="A65" t="inlineStr">
        <is>
          <t>景山 朋美</t>
        </is>
      </c>
      <c r="B65" t="inlineStr">
        <is>
          <t>TCNZ001:社内業務等</t>
        </is>
      </c>
      <c r="D65">
        <f>L65</f>
        <v/>
      </c>
      <c r="E65">
        <f>SUMIFS(J:J, G:G, A65, H:H, B65, L:L, L65)</f>
        <v/>
      </c>
      <c r="F65" t="inlineStr">
        <is>
          <t>37</t>
        </is>
      </c>
      <c r="G65" t="inlineStr">
        <is>
          <t>景山 朋美</t>
        </is>
      </c>
      <c r="H65" t="inlineStr">
        <is>
          <t>TCNZ001:社内業務等</t>
        </is>
      </c>
      <c r="I65" s="1" t="n">
        <v>46002</v>
      </c>
      <c r="J65" t="n">
        <v>0.25</v>
      </c>
      <c r="K65">
        <f>IFERROR(MID(Q65, FIND(",", Q65) + 1, LEN(Q65) - FIND(",", Q65)), Q65)</f>
        <v/>
      </c>
      <c r="L65">
        <f>IFERROR(LEFT(Q65, FIND(",", Q65) - 1), "-")</f>
        <v/>
      </c>
      <c r="M65" t="n">
        <v>5</v>
      </c>
      <c r="O65" s="2" t="inlineStr">
        <is>
          <t>09:30</t>
        </is>
      </c>
      <c r="P65" s="2" t="inlineStr">
        <is>
          <t>09:45</t>
        </is>
      </c>
      <c r="Q65" t="inlineStr">
        <is>
          <t>【オンラインMTG】朝会</t>
        </is>
      </c>
    </row>
    <row r="66">
      <c r="A66" t="inlineStr">
        <is>
          <t>景山 朋美</t>
        </is>
      </c>
      <c r="B66" t="inlineStr">
        <is>
          <t>TCNZ001:社内業務等</t>
        </is>
      </c>
      <c r="D66">
        <f>L66</f>
        <v/>
      </c>
      <c r="E66">
        <f>SUMIFS(J:J, G:G, A66, H:H, B66, L:L, L66)</f>
        <v/>
      </c>
      <c r="F66" t="inlineStr">
        <is>
          <t>37</t>
        </is>
      </c>
      <c r="G66" t="inlineStr">
        <is>
          <t>景山 朋美</t>
        </is>
      </c>
      <c r="H66" t="inlineStr">
        <is>
          <t>TCNZ001:社内業務等</t>
        </is>
      </c>
      <c r="I66" s="1" t="n">
        <v>46007</v>
      </c>
      <c r="J66" t="n">
        <v>0.25</v>
      </c>
      <c r="K66">
        <f>IFERROR(MID(Q66, FIND(",", Q66) + 1, LEN(Q66) - FIND(",", Q66)), Q66)</f>
        <v/>
      </c>
      <c r="L66">
        <f>IFERROR(LEFT(Q66, FIND(",", Q66) - 1), "-")</f>
        <v/>
      </c>
      <c r="M66" t="n">
        <v>5</v>
      </c>
      <c r="O66" s="2" t="inlineStr">
        <is>
          <t>09:30</t>
        </is>
      </c>
      <c r="P66" s="2" t="inlineStr">
        <is>
          <t>09:45</t>
        </is>
      </c>
      <c r="Q66" t="inlineStr">
        <is>
          <t>【オンラインMTG】朝会</t>
        </is>
      </c>
    </row>
    <row r="67">
      <c r="A67" t="inlineStr">
        <is>
          <t>景山 朋美</t>
        </is>
      </c>
      <c r="B67" t="inlineStr">
        <is>
          <t>TCNZ001:社内業務等</t>
        </is>
      </c>
      <c r="D67">
        <f>L67</f>
        <v/>
      </c>
      <c r="E67">
        <f>SUMIFS(J:J, G:G, A67, H:H, B67, L:L, L67)</f>
        <v/>
      </c>
      <c r="F67" t="inlineStr">
        <is>
          <t>37</t>
        </is>
      </c>
      <c r="G67" t="inlineStr">
        <is>
          <t>景山 朋美</t>
        </is>
      </c>
      <c r="H67" t="inlineStr">
        <is>
          <t>TCNZ001:社内業務等</t>
        </is>
      </c>
      <c r="I67" s="1" t="n">
        <v>46008</v>
      </c>
      <c r="J67" t="n">
        <v>0.25</v>
      </c>
      <c r="K67">
        <f>IFERROR(MID(Q67, FIND(",", Q67) + 1, LEN(Q67) - FIND(",", Q67)), Q67)</f>
        <v/>
      </c>
      <c r="L67">
        <f>IFERROR(LEFT(Q67, FIND(",", Q67) - 1), "-")</f>
        <v/>
      </c>
      <c r="M67" t="n">
        <v>5</v>
      </c>
      <c r="O67" s="2" t="inlineStr">
        <is>
          <t>09:30</t>
        </is>
      </c>
      <c r="P67" s="2" t="inlineStr">
        <is>
          <t>09:45</t>
        </is>
      </c>
      <c r="Q67" t="inlineStr">
        <is>
          <t>【オンラインMTG】朝会</t>
        </is>
      </c>
    </row>
    <row r="68">
      <c r="A68" t="inlineStr">
        <is>
          <t>景山 朋美</t>
        </is>
      </c>
      <c r="B68" t="inlineStr">
        <is>
          <t>TCNZ001:社内業務等</t>
        </is>
      </c>
      <c r="D68">
        <f>L68</f>
        <v/>
      </c>
      <c r="E68">
        <f>SUMIFS(J:J, G:G, A68, H:H, B68, L:L, L68)</f>
        <v/>
      </c>
      <c r="F68" t="inlineStr">
        <is>
          <t>37</t>
        </is>
      </c>
      <c r="G68" t="inlineStr">
        <is>
          <t>景山 朋美</t>
        </is>
      </c>
      <c r="H68" t="inlineStr">
        <is>
          <t>TCNZ001:社内業務等</t>
        </is>
      </c>
      <c r="I68" s="1" t="n">
        <v>46009</v>
      </c>
      <c r="J68" t="n">
        <v>0.25</v>
      </c>
      <c r="K68">
        <f>IFERROR(MID(Q68, FIND(",", Q68) + 1, LEN(Q68) - FIND(",", Q68)), Q68)</f>
        <v/>
      </c>
      <c r="L68">
        <f>IFERROR(LEFT(Q68, FIND(",", Q68) - 1), "-")</f>
        <v/>
      </c>
      <c r="M68" t="n">
        <v>5</v>
      </c>
      <c r="O68" s="2" t="inlineStr">
        <is>
          <t>09:30</t>
        </is>
      </c>
      <c r="P68" s="2" t="inlineStr">
        <is>
          <t>09:45</t>
        </is>
      </c>
      <c r="Q68" t="inlineStr">
        <is>
          <t>【オンラインMTG】朝会</t>
        </is>
      </c>
    </row>
    <row r="69">
      <c r="A69" t="inlineStr">
        <is>
          <t>景山 朋美</t>
        </is>
      </c>
      <c r="B69" t="inlineStr">
        <is>
          <t>TCNZ001:社内業務等</t>
        </is>
      </c>
      <c r="D69">
        <f>L69</f>
        <v/>
      </c>
      <c r="E69">
        <f>SUMIFS(J:J, G:G, A69, H:H, B69, L:L, L69)</f>
        <v/>
      </c>
      <c r="F69" t="inlineStr">
        <is>
          <t>37</t>
        </is>
      </c>
      <c r="G69" t="inlineStr">
        <is>
          <t>景山 朋美</t>
        </is>
      </c>
      <c r="H69" t="inlineStr">
        <is>
          <t>TCNZ001:社内業務等</t>
        </is>
      </c>
      <c r="I69" s="1" t="n">
        <v>46010</v>
      </c>
      <c r="J69" t="n">
        <v>0.25</v>
      </c>
      <c r="K69">
        <f>IFERROR(MID(Q69, FIND(",", Q69) + 1, LEN(Q69) - FIND(",", Q69)), Q69)</f>
        <v/>
      </c>
      <c r="L69">
        <f>IFERROR(LEFT(Q69, FIND(",", Q69) - 1), "-")</f>
        <v/>
      </c>
      <c r="M69" t="n">
        <v>5</v>
      </c>
      <c r="O69" s="2" t="inlineStr">
        <is>
          <t>09:30</t>
        </is>
      </c>
      <c r="P69" s="2" t="inlineStr">
        <is>
          <t>09:45</t>
        </is>
      </c>
      <c r="Q69" t="inlineStr">
        <is>
          <t>【オンラインMTG】朝会</t>
        </is>
      </c>
    </row>
    <row r="70">
      <c r="A70" t="inlineStr">
        <is>
          <t>景山 朋美</t>
        </is>
      </c>
      <c r="B70" t="inlineStr">
        <is>
          <t>TCNZ001:社内業務等</t>
        </is>
      </c>
      <c r="D70">
        <f>L70</f>
        <v/>
      </c>
      <c r="E70">
        <f>SUMIFS(J:J, G:G, A70, H:H, B70, L:L, L70)</f>
        <v/>
      </c>
      <c r="F70" t="inlineStr">
        <is>
          <t>37</t>
        </is>
      </c>
      <c r="G70" t="inlineStr">
        <is>
          <t>景山 朋美</t>
        </is>
      </c>
      <c r="H70" t="inlineStr">
        <is>
          <t>TCNZ001:社内業務等</t>
        </is>
      </c>
      <c r="I70" s="1" t="n">
        <v>46013</v>
      </c>
      <c r="J70" t="n">
        <v>0.25</v>
      </c>
      <c r="K70">
        <f>IFERROR(MID(Q70, FIND(",", Q70) + 1, LEN(Q70) - FIND(",", Q70)), Q70)</f>
        <v/>
      </c>
      <c r="L70">
        <f>IFERROR(LEFT(Q70, FIND(",", Q70) - 1), "-")</f>
        <v/>
      </c>
      <c r="M70" t="n">
        <v>5</v>
      </c>
      <c r="O70" s="2" t="inlineStr">
        <is>
          <t>09:30</t>
        </is>
      </c>
      <c r="P70" s="2" t="inlineStr">
        <is>
          <t>09:45</t>
        </is>
      </c>
      <c r="Q70" t="inlineStr">
        <is>
          <t>【オンラインMTG】朝会</t>
        </is>
      </c>
    </row>
    <row r="71">
      <c r="A71" t="inlineStr">
        <is>
          <t>景山 朋美</t>
        </is>
      </c>
      <c r="B71" t="inlineStr">
        <is>
          <t>TCNZ001:社内業務等</t>
        </is>
      </c>
      <c r="D71">
        <f>L71</f>
        <v/>
      </c>
      <c r="E71">
        <f>SUMIFS(J:J, G:G, A71, H:H, B71, L:L, L71)</f>
        <v/>
      </c>
      <c r="F71" t="inlineStr">
        <is>
          <t>37</t>
        </is>
      </c>
      <c r="G71" t="inlineStr">
        <is>
          <t>景山 朋美</t>
        </is>
      </c>
      <c r="H71" t="inlineStr">
        <is>
          <t>TCNZ001:社内業務等</t>
        </is>
      </c>
      <c r="I71" s="1" t="n">
        <v>46014</v>
      </c>
      <c r="J71" t="n">
        <v>0.25</v>
      </c>
      <c r="K71">
        <f>IFERROR(MID(Q71, FIND(",", Q71) + 1, LEN(Q71) - FIND(",", Q71)), Q71)</f>
        <v/>
      </c>
      <c r="L71">
        <f>IFERROR(LEFT(Q71, FIND(",", Q71) - 1), "-")</f>
        <v/>
      </c>
      <c r="M71" t="n">
        <v>5</v>
      </c>
      <c r="O71" s="2" t="inlineStr">
        <is>
          <t>09:30</t>
        </is>
      </c>
      <c r="P71" s="2" t="inlineStr">
        <is>
          <t>09:45</t>
        </is>
      </c>
      <c r="Q71" t="inlineStr">
        <is>
          <t>【オンラインMTG】朝会</t>
        </is>
      </c>
    </row>
    <row r="72">
      <c r="A72" t="inlineStr">
        <is>
          <t>景山 朋美</t>
        </is>
      </c>
      <c r="B72" t="inlineStr">
        <is>
          <t>TCNZ001:社内業務等</t>
        </is>
      </c>
      <c r="D72">
        <f>L72</f>
        <v/>
      </c>
      <c r="E72">
        <f>SUMIFS(J:J, G:G, A72, H:H, B72, L:L, L72)</f>
        <v/>
      </c>
      <c r="F72" t="inlineStr">
        <is>
          <t>37</t>
        </is>
      </c>
      <c r="G72" t="inlineStr">
        <is>
          <t>景山 朋美</t>
        </is>
      </c>
      <c r="H72" t="inlineStr">
        <is>
          <t>TCNZ001:社内業務等</t>
        </is>
      </c>
      <c r="I72" s="1" t="n">
        <v>46015</v>
      </c>
      <c r="J72" t="n">
        <v>0.25</v>
      </c>
      <c r="K72">
        <f>IFERROR(MID(Q72, FIND(",", Q72) + 1, LEN(Q72) - FIND(",", Q72)), Q72)</f>
        <v/>
      </c>
      <c r="L72">
        <f>IFERROR(LEFT(Q72, FIND(",", Q72) - 1), "-")</f>
        <v/>
      </c>
      <c r="M72" t="n">
        <v>5</v>
      </c>
      <c r="O72" s="2" t="inlineStr">
        <is>
          <t>09:30</t>
        </is>
      </c>
      <c r="P72" s="2" t="inlineStr">
        <is>
          <t>09:45</t>
        </is>
      </c>
      <c r="Q72" t="inlineStr">
        <is>
          <t>【オンラインMTG】朝会</t>
        </is>
      </c>
    </row>
    <row r="73">
      <c r="A73" t="inlineStr">
        <is>
          <t>景山 朋美</t>
        </is>
      </c>
      <c r="B73" t="inlineStr">
        <is>
          <t>TCNZ001:社内業務等</t>
        </is>
      </c>
      <c r="D73">
        <f>L73</f>
        <v/>
      </c>
      <c r="E73">
        <f>SUMIFS(J:J, G:G, A73, H:H, B73, L:L, L73)</f>
        <v/>
      </c>
      <c r="F73" t="inlineStr">
        <is>
          <t>37</t>
        </is>
      </c>
      <c r="G73" t="inlineStr">
        <is>
          <t>景山 朋美</t>
        </is>
      </c>
      <c r="H73" t="inlineStr">
        <is>
          <t>TCNZ001:社内業務等</t>
        </is>
      </c>
      <c r="I73" s="1" t="n">
        <v>46009</v>
      </c>
      <c r="J73" t="n">
        <v>0.5</v>
      </c>
      <c r="K73">
        <f>IFERROR(MID(Q73, FIND(",", Q73) + 1, LEN(Q73) - FIND(",", Q73)), Q73)</f>
        <v/>
      </c>
      <c r="L73">
        <f>IFERROR(LEFT(Q73, FIND(",", Q73) - 1), "-")</f>
        <v/>
      </c>
      <c r="M73" t="n">
        <v>5</v>
      </c>
      <c r="O73" s="2" t="inlineStr">
        <is>
          <t>16:00</t>
        </is>
      </c>
      <c r="P73" s="2" t="inlineStr">
        <is>
          <t>16:30</t>
        </is>
      </c>
      <c r="Q73" t="inlineStr">
        <is>
          <t>【面談】景山</t>
        </is>
      </c>
    </row>
    <row r="74">
      <c r="A74" t="inlineStr">
        <is>
          <t>景山 朋美</t>
        </is>
      </c>
      <c r="B74" t="inlineStr">
        <is>
          <t>TCNZ001:社内業務等</t>
        </is>
      </c>
      <c r="D74">
        <f>L74</f>
        <v/>
      </c>
      <c r="E74">
        <f>SUMIFS(J:J, G:G, A74, H:H, B74, L:L, L74)</f>
        <v/>
      </c>
      <c r="F74" t="inlineStr">
        <is>
          <t>37</t>
        </is>
      </c>
      <c r="G74" t="inlineStr">
        <is>
          <t>景山 朋美</t>
        </is>
      </c>
      <c r="H74" t="inlineStr">
        <is>
          <t>TCNZ001:社内業務等</t>
        </is>
      </c>
      <c r="I74" s="1" t="n">
        <v>46003</v>
      </c>
      <c r="J74" t="n">
        <v>1.5</v>
      </c>
      <c r="K74">
        <f>IFERROR(MID(Q74, FIND(",", Q74) + 1, LEN(Q74) - FIND(",", Q74)), Q74)</f>
        <v/>
      </c>
      <c r="L74">
        <f>IFERROR(LEFT(Q74, FIND(",", Q74) - 1), "-")</f>
        <v/>
      </c>
      <c r="M74" t="n">
        <v>5</v>
      </c>
      <c r="O74" s="2" t="inlineStr">
        <is>
          <t>17:30</t>
        </is>
      </c>
      <c r="P74" s="2" t="inlineStr">
        <is>
          <t>19:00</t>
        </is>
      </c>
      <c r="Q74" t="inlineStr">
        <is>
          <t>サポートMTG内容整理</t>
        </is>
      </c>
    </row>
    <row r="75">
      <c r="A75" t="inlineStr">
        <is>
          <t>景山 朋美</t>
        </is>
      </c>
      <c r="B75" t="inlineStr">
        <is>
          <t>TCNZ001:社内業務等</t>
        </is>
      </c>
      <c r="D75">
        <f>L75</f>
        <v/>
      </c>
      <c r="E75">
        <f>SUMIFS(J:J, G:G, A75, H:H, B75, L:L, L75)</f>
        <v/>
      </c>
      <c r="F75" t="inlineStr">
        <is>
          <t>37</t>
        </is>
      </c>
      <c r="G75" t="inlineStr">
        <is>
          <t>景山 朋美</t>
        </is>
      </c>
      <c r="H75" t="inlineStr">
        <is>
          <t>TCNZ001:社内業務等</t>
        </is>
      </c>
      <c r="I75" s="1" t="n">
        <v>46003</v>
      </c>
      <c r="J75" t="n">
        <v>0.5</v>
      </c>
      <c r="K75">
        <f>IFERROR(MID(Q75, FIND(",", Q75) + 1, LEN(Q75) - FIND(",", Q75)), Q75)</f>
        <v/>
      </c>
      <c r="L75">
        <f>IFERROR(LEFT(Q75, FIND(",", Q75) - 1), "-")</f>
        <v/>
      </c>
      <c r="M75" t="n">
        <v>5</v>
      </c>
      <c r="O75" s="2" t="inlineStr">
        <is>
          <t>15:00</t>
        </is>
      </c>
      <c r="P75" s="2" t="inlineStr">
        <is>
          <t>15:30</t>
        </is>
      </c>
      <c r="Q75" t="inlineStr">
        <is>
          <t>サポート全体MTG</t>
        </is>
      </c>
    </row>
    <row r="76">
      <c r="A76" t="inlineStr">
        <is>
          <t>景山 朋美</t>
        </is>
      </c>
      <c r="B76" t="inlineStr">
        <is>
          <t>TCNZ001:社内業務等</t>
        </is>
      </c>
      <c r="D76">
        <f>L76</f>
        <v/>
      </c>
      <c r="E76">
        <f>SUMIFS(J:J, G:G, A76, H:H, B76, L:L, L76)</f>
        <v/>
      </c>
      <c r="F76" t="inlineStr">
        <is>
          <t>37</t>
        </is>
      </c>
      <c r="G76" t="inlineStr">
        <is>
          <t>景山 朋美</t>
        </is>
      </c>
      <c r="H76" t="inlineStr">
        <is>
          <t>TCNZ001:社内業務等</t>
        </is>
      </c>
      <c r="I76" s="1" t="n">
        <v>46010</v>
      </c>
      <c r="J76" t="n">
        <v>2</v>
      </c>
      <c r="K76">
        <f>IFERROR(MID(Q76, FIND(",", Q76) + 1, LEN(Q76) - FIND(",", Q76)), Q76)</f>
        <v/>
      </c>
      <c r="L76">
        <f>IFERROR(LEFT(Q76, FIND(",", Q76) - 1), "-")</f>
        <v/>
      </c>
      <c r="M76" t="n">
        <v>5</v>
      </c>
      <c r="O76" s="2" t="inlineStr">
        <is>
          <t>13:00</t>
        </is>
      </c>
      <c r="P76" s="2" t="inlineStr">
        <is>
          <t>15:00</t>
        </is>
      </c>
      <c r="Q76" t="inlineStr">
        <is>
          <t>勉強会準備</t>
        </is>
      </c>
    </row>
    <row r="77">
      <c r="A77" t="inlineStr">
        <is>
          <t>景山 朋美</t>
        </is>
      </c>
      <c r="B77" t="inlineStr">
        <is>
          <t>TCNZ001:社内業務等</t>
        </is>
      </c>
      <c r="D77">
        <f>L77</f>
        <v/>
      </c>
      <c r="E77">
        <f>SUMIFS(J:J, G:G, A77, H:H, B77, L:L, L77)</f>
        <v/>
      </c>
      <c r="F77" t="inlineStr">
        <is>
          <t>37</t>
        </is>
      </c>
      <c r="G77" t="inlineStr">
        <is>
          <t>景山 朋美</t>
        </is>
      </c>
      <c r="H77" t="inlineStr">
        <is>
          <t>TCNZ001:社内業務等</t>
        </is>
      </c>
      <c r="I77" s="1" t="n">
        <v>46013</v>
      </c>
      <c r="J77" t="n">
        <v>1.5</v>
      </c>
      <c r="K77">
        <f>IFERROR(MID(Q77, FIND(",", Q77) + 1, LEN(Q77) - FIND(",", Q77)), Q77)</f>
        <v/>
      </c>
      <c r="L77">
        <f>IFERROR(LEFT(Q77, FIND(",", Q77) - 1), "-")</f>
        <v/>
      </c>
      <c r="M77" t="n">
        <v>5</v>
      </c>
      <c r="O77" s="2" t="inlineStr">
        <is>
          <t>13:00</t>
        </is>
      </c>
      <c r="P77" s="2" t="inlineStr">
        <is>
          <t>14:30</t>
        </is>
      </c>
      <c r="Q77" t="inlineStr">
        <is>
          <t>勉強会準備</t>
        </is>
      </c>
    </row>
    <row r="78">
      <c r="A78" t="inlineStr">
        <is>
          <t>景山 朋美</t>
        </is>
      </c>
      <c r="B78" t="inlineStr">
        <is>
          <t>TCNZ001:社内業務等</t>
        </is>
      </c>
      <c r="D78">
        <f>L78</f>
        <v/>
      </c>
      <c r="E78">
        <f>SUMIFS(J:J, G:G, A78, H:H, B78, L:L, L78)</f>
        <v/>
      </c>
      <c r="F78" t="inlineStr">
        <is>
          <t>37</t>
        </is>
      </c>
      <c r="G78" t="inlineStr">
        <is>
          <t>景山 朋美</t>
        </is>
      </c>
      <c r="H78" t="inlineStr">
        <is>
          <t>TCNZ001:社内業務等</t>
        </is>
      </c>
      <c r="I78" s="1" t="n">
        <v>45992</v>
      </c>
      <c r="J78" t="n">
        <v>0.5</v>
      </c>
      <c r="K78">
        <f>IFERROR(MID(Q78, FIND(",", Q78) + 1, LEN(Q78) - FIND(",", Q78)), Q78)</f>
        <v/>
      </c>
      <c r="L78">
        <f>IFERROR(LEFT(Q78, FIND(",", Q78) - 1), "-")</f>
        <v/>
      </c>
      <c r="M78" t="n">
        <v>5</v>
      </c>
      <c r="O78" s="2" t="inlineStr">
        <is>
          <t>09:00</t>
        </is>
      </c>
      <c r="P78" s="2" t="inlineStr">
        <is>
          <t>09:30</t>
        </is>
      </c>
      <c r="Q78" t="inlineStr">
        <is>
          <t>各種雑務</t>
        </is>
      </c>
    </row>
    <row r="79">
      <c r="A79" t="inlineStr">
        <is>
          <t>景山 朋美</t>
        </is>
      </c>
      <c r="B79" t="inlineStr">
        <is>
          <t>TCNZ001:社内業務等</t>
        </is>
      </c>
      <c r="D79">
        <f>L79</f>
        <v/>
      </c>
      <c r="E79">
        <f>SUMIFS(J:J, G:G, A79, H:H, B79, L:L, L79)</f>
        <v/>
      </c>
      <c r="F79" t="inlineStr">
        <is>
          <t>37</t>
        </is>
      </c>
      <c r="G79" t="inlineStr">
        <is>
          <t>景山 朋美</t>
        </is>
      </c>
      <c r="H79" t="inlineStr">
        <is>
          <t>TCNZ001:社内業務等</t>
        </is>
      </c>
      <c r="I79" s="1" t="n">
        <v>45993</v>
      </c>
      <c r="J79" t="n">
        <v>0.5</v>
      </c>
      <c r="K79">
        <f>IFERROR(MID(Q79, FIND(",", Q79) + 1, LEN(Q79) - FIND(",", Q79)), Q79)</f>
        <v/>
      </c>
      <c r="L79">
        <f>IFERROR(LEFT(Q79, FIND(",", Q79) - 1), "-")</f>
        <v/>
      </c>
      <c r="M79" t="n">
        <v>5</v>
      </c>
      <c r="O79" s="2" t="inlineStr">
        <is>
          <t>09:00</t>
        </is>
      </c>
      <c r="P79" s="2" t="inlineStr">
        <is>
          <t>09:30</t>
        </is>
      </c>
      <c r="Q79" t="inlineStr">
        <is>
          <t>各種雑務</t>
        </is>
      </c>
    </row>
    <row r="80">
      <c r="A80" t="inlineStr">
        <is>
          <t>景山 朋美</t>
        </is>
      </c>
      <c r="B80" t="inlineStr">
        <is>
          <t>TCNZ001:社内業務等</t>
        </is>
      </c>
      <c r="D80">
        <f>L80</f>
        <v/>
      </c>
      <c r="E80">
        <f>SUMIFS(J:J, G:G, A80, H:H, B80, L:L, L80)</f>
        <v/>
      </c>
      <c r="F80" t="inlineStr">
        <is>
          <t>37</t>
        </is>
      </c>
      <c r="G80" t="inlineStr">
        <is>
          <t>景山 朋美</t>
        </is>
      </c>
      <c r="H80" t="inlineStr">
        <is>
          <t>TCNZ001:社内業務等</t>
        </is>
      </c>
      <c r="I80" s="1" t="n">
        <v>45994</v>
      </c>
      <c r="J80" t="n">
        <v>0.5</v>
      </c>
      <c r="K80">
        <f>IFERROR(MID(Q80, FIND(",", Q80) + 1, LEN(Q80) - FIND(",", Q80)), Q80)</f>
        <v/>
      </c>
      <c r="L80">
        <f>IFERROR(LEFT(Q80, FIND(",", Q80) - 1), "-")</f>
        <v/>
      </c>
      <c r="M80" t="n">
        <v>5</v>
      </c>
      <c r="O80" s="2" t="inlineStr">
        <is>
          <t>09:00</t>
        </is>
      </c>
      <c r="P80" s="2" t="inlineStr">
        <is>
          <t>09:30</t>
        </is>
      </c>
      <c r="Q80" t="inlineStr">
        <is>
          <t>各種雑務</t>
        </is>
      </c>
    </row>
    <row r="81">
      <c r="A81" t="inlineStr">
        <is>
          <t>景山 朋美</t>
        </is>
      </c>
      <c r="B81" t="inlineStr">
        <is>
          <t>TCNZ001:社内業務等</t>
        </is>
      </c>
      <c r="D81">
        <f>L81</f>
        <v/>
      </c>
      <c r="E81">
        <f>SUMIFS(J:J, G:G, A81, H:H, B81, L:L, L81)</f>
        <v/>
      </c>
      <c r="F81" t="inlineStr">
        <is>
          <t>37</t>
        </is>
      </c>
      <c r="G81" t="inlineStr">
        <is>
          <t>景山 朋美</t>
        </is>
      </c>
      <c r="H81" t="inlineStr">
        <is>
          <t>TCNZ001:社内業務等</t>
        </is>
      </c>
      <c r="I81" s="1" t="n">
        <v>45995</v>
      </c>
      <c r="J81" t="n">
        <v>0.5</v>
      </c>
      <c r="K81">
        <f>IFERROR(MID(Q81, FIND(",", Q81) + 1, LEN(Q81) - FIND(",", Q81)), Q81)</f>
        <v/>
      </c>
      <c r="L81">
        <f>IFERROR(LEFT(Q81, FIND(",", Q81) - 1), "-")</f>
        <v/>
      </c>
      <c r="M81" t="n">
        <v>5</v>
      </c>
      <c r="O81" s="2" t="inlineStr">
        <is>
          <t>09:00</t>
        </is>
      </c>
      <c r="P81" s="2" t="inlineStr">
        <is>
          <t>09:30</t>
        </is>
      </c>
      <c r="Q81" t="inlineStr">
        <is>
          <t>各種雑務</t>
        </is>
      </c>
    </row>
    <row r="82">
      <c r="A82" t="inlineStr">
        <is>
          <t>景山 朋美</t>
        </is>
      </c>
      <c r="B82" t="inlineStr">
        <is>
          <t>TCNZ001:社内業務等</t>
        </is>
      </c>
      <c r="D82">
        <f>L82</f>
        <v/>
      </c>
      <c r="E82">
        <f>SUMIFS(J:J, G:G, A82, H:H, B82, L:L, L82)</f>
        <v/>
      </c>
      <c r="F82" t="inlineStr">
        <is>
          <t>37</t>
        </is>
      </c>
      <c r="G82" t="inlineStr">
        <is>
          <t>景山 朋美</t>
        </is>
      </c>
      <c r="H82" t="inlineStr">
        <is>
          <t>TCNZ001:社内業務等</t>
        </is>
      </c>
      <c r="I82" s="1" t="n">
        <v>45996</v>
      </c>
      <c r="J82" t="n">
        <v>0.5</v>
      </c>
      <c r="K82">
        <f>IFERROR(MID(Q82, FIND(",", Q82) + 1, LEN(Q82) - FIND(",", Q82)), Q82)</f>
        <v/>
      </c>
      <c r="L82">
        <f>IFERROR(LEFT(Q82, FIND(",", Q82) - 1), "-")</f>
        <v/>
      </c>
      <c r="M82" t="n">
        <v>5</v>
      </c>
      <c r="O82" s="2" t="inlineStr">
        <is>
          <t>09:00</t>
        </is>
      </c>
      <c r="P82" s="2" t="inlineStr">
        <is>
          <t>09:30</t>
        </is>
      </c>
      <c r="Q82" t="inlineStr">
        <is>
          <t>各種雑務</t>
        </is>
      </c>
    </row>
    <row r="83">
      <c r="A83" t="inlineStr">
        <is>
          <t>景山 朋美</t>
        </is>
      </c>
      <c r="B83" t="inlineStr">
        <is>
          <t>TCNZ001:社内業務等</t>
        </is>
      </c>
      <c r="D83">
        <f>L83</f>
        <v/>
      </c>
      <c r="E83">
        <f>SUMIFS(J:J, G:G, A83, H:H, B83, L:L, L83)</f>
        <v/>
      </c>
      <c r="F83" t="inlineStr">
        <is>
          <t>37</t>
        </is>
      </c>
      <c r="G83" t="inlineStr">
        <is>
          <t>景山 朋美</t>
        </is>
      </c>
      <c r="H83" t="inlineStr">
        <is>
          <t>TCNZ001:社内業務等</t>
        </is>
      </c>
      <c r="I83" s="1" t="n">
        <v>45999</v>
      </c>
      <c r="J83" t="n">
        <v>0.5</v>
      </c>
      <c r="K83">
        <f>IFERROR(MID(Q83, FIND(",", Q83) + 1, LEN(Q83) - FIND(",", Q83)), Q83)</f>
        <v/>
      </c>
      <c r="L83">
        <f>IFERROR(LEFT(Q83, FIND(",", Q83) - 1), "-")</f>
        <v/>
      </c>
      <c r="M83" t="n">
        <v>5</v>
      </c>
      <c r="O83" s="2" t="inlineStr">
        <is>
          <t>09:00</t>
        </is>
      </c>
      <c r="P83" s="2" t="inlineStr">
        <is>
          <t>09:30</t>
        </is>
      </c>
      <c r="Q83" t="inlineStr">
        <is>
          <t>各種雑務</t>
        </is>
      </c>
    </row>
    <row r="84">
      <c r="A84" t="inlineStr">
        <is>
          <t>景山 朋美</t>
        </is>
      </c>
      <c r="B84" t="inlineStr">
        <is>
          <t>TCNZ001:社内業務等</t>
        </is>
      </c>
      <c r="D84">
        <f>L84</f>
        <v/>
      </c>
      <c r="E84">
        <f>SUMIFS(J:J, G:G, A84, H:H, B84, L:L, L84)</f>
        <v/>
      </c>
      <c r="F84" t="inlineStr">
        <is>
          <t>37</t>
        </is>
      </c>
      <c r="G84" t="inlineStr">
        <is>
          <t>景山 朋美</t>
        </is>
      </c>
      <c r="H84" t="inlineStr">
        <is>
          <t>TCNZ001:社内業務等</t>
        </is>
      </c>
      <c r="I84" s="1" t="n">
        <v>46000</v>
      </c>
      <c r="J84" t="n">
        <v>0.5</v>
      </c>
      <c r="K84">
        <f>IFERROR(MID(Q84, FIND(",", Q84) + 1, LEN(Q84) - FIND(",", Q84)), Q84)</f>
        <v/>
      </c>
      <c r="L84">
        <f>IFERROR(LEFT(Q84, FIND(",", Q84) - 1), "-")</f>
        <v/>
      </c>
      <c r="M84" t="n">
        <v>5</v>
      </c>
      <c r="O84" s="2" t="inlineStr">
        <is>
          <t>09:00</t>
        </is>
      </c>
      <c r="P84" s="2" t="inlineStr">
        <is>
          <t>09:30</t>
        </is>
      </c>
      <c r="Q84" t="inlineStr">
        <is>
          <t>各種雑務</t>
        </is>
      </c>
    </row>
    <row r="85">
      <c r="A85" t="inlineStr">
        <is>
          <t>景山 朋美</t>
        </is>
      </c>
      <c r="B85" t="inlineStr">
        <is>
          <t>TCNZ001:社内業務等</t>
        </is>
      </c>
      <c r="D85">
        <f>L85</f>
        <v/>
      </c>
      <c r="E85">
        <f>SUMIFS(J:J, G:G, A85, H:H, B85, L:L, L85)</f>
        <v/>
      </c>
      <c r="F85" t="inlineStr">
        <is>
          <t>37</t>
        </is>
      </c>
      <c r="G85" t="inlineStr">
        <is>
          <t>景山 朋美</t>
        </is>
      </c>
      <c r="H85" t="inlineStr">
        <is>
          <t>TCNZ001:社内業務等</t>
        </is>
      </c>
      <c r="I85" s="1" t="n">
        <v>46001</v>
      </c>
      <c r="J85" t="n">
        <v>0.5</v>
      </c>
      <c r="K85">
        <f>IFERROR(MID(Q85, FIND(",", Q85) + 1, LEN(Q85) - FIND(",", Q85)), Q85)</f>
        <v/>
      </c>
      <c r="L85">
        <f>IFERROR(LEFT(Q85, FIND(",", Q85) - 1), "-")</f>
        <v/>
      </c>
      <c r="M85" t="n">
        <v>5</v>
      </c>
      <c r="O85" s="2" t="inlineStr">
        <is>
          <t>09:00</t>
        </is>
      </c>
      <c r="P85" s="2" t="inlineStr">
        <is>
          <t>09:30</t>
        </is>
      </c>
      <c r="Q85" t="inlineStr">
        <is>
          <t>各種雑務</t>
        </is>
      </c>
    </row>
    <row r="86">
      <c r="A86" t="inlineStr">
        <is>
          <t>景山 朋美</t>
        </is>
      </c>
      <c r="B86" t="inlineStr">
        <is>
          <t>TCNZ001:社内業務等</t>
        </is>
      </c>
      <c r="D86">
        <f>L86</f>
        <v/>
      </c>
      <c r="E86">
        <f>SUMIFS(J:J, G:G, A86, H:H, B86, L:L, L86)</f>
        <v/>
      </c>
      <c r="F86" t="inlineStr">
        <is>
          <t>37</t>
        </is>
      </c>
      <c r="G86" t="inlineStr">
        <is>
          <t>景山 朋美</t>
        </is>
      </c>
      <c r="H86" t="inlineStr">
        <is>
          <t>TCNZ001:社内業務等</t>
        </is>
      </c>
      <c r="I86" s="1" t="n">
        <v>46002</v>
      </c>
      <c r="J86" t="n">
        <v>0.5</v>
      </c>
      <c r="K86">
        <f>IFERROR(MID(Q86, FIND(",", Q86) + 1, LEN(Q86) - FIND(",", Q86)), Q86)</f>
        <v/>
      </c>
      <c r="L86">
        <f>IFERROR(LEFT(Q86, FIND(",", Q86) - 1), "-")</f>
        <v/>
      </c>
      <c r="M86" t="n">
        <v>5</v>
      </c>
      <c r="O86" s="2" t="inlineStr">
        <is>
          <t>09:00</t>
        </is>
      </c>
      <c r="P86" s="2" t="inlineStr">
        <is>
          <t>09:30</t>
        </is>
      </c>
      <c r="Q86" t="inlineStr">
        <is>
          <t>各種雑務</t>
        </is>
      </c>
    </row>
    <row r="87">
      <c r="A87" t="inlineStr">
        <is>
          <t>景山 朋美</t>
        </is>
      </c>
      <c r="B87" t="inlineStr">
        <is>
          <t>TCNZ001:社内業務等</t>
        </is>
      </c>
      <c r="D87">
        <f>L87</f>
        <v/>
      </c>
      <c r="E87">
        <f>SUMIFS(J:J, G:G, A87, H:H, B87, L:L, L87)</f>
        <v/>
      </c>
      <c r="F87" t="inlineStr">
        <is>
          <t>37</t>
        </is>
      </c>
      <c r="G87" t="inlineStr">
        <is>
          <t>景山 朋美</t>
        </is>
      </c>
      <c r="H87" t="inlineStr">
        <is>
          <t>TCNZ001:社内業務等</t>
        </is>
      </c>
      <c r="I87" s="1" t="n">
        <v>46003</v>
      </c>
      <c r="J87" t="n">
        <v>0.5</v>
      </c>
      <c r="K87">
        <f>IFERROR(MID(Q87, FIND(",", Q87) + 1, LEN(Q87) - FIND(",", Q87)), Q87)</f>
        <v/>
      </c>
      <c r="L87">
        <f>IFERROR(LEFT(Q87, FIND(",", Q87) - 1), "-")</f>
        <v/>
      </c>
      <c r="M87" t="n">
        <v>5</v>
      </c>
      <c r="O87" s="2" t="inlineStr">
        <is>
          <t>09:00</t>
        </is>
      </c>
      <c r="P87" s="2" t="inlineStr">
        <is>
          <t>09:30</t>
        </is>
      </c>
      <c r="Q87" t="inlineStr">
        <is>
          <t>各種雑務</t>
        </is>
      </c>
    </row>
    <row r="88">
      <c r="A88" t="inlineStr">
        <is>
          <t>景山 朋美</t>
        </is>
      </c>
      <c r="B88" t="inlineStr">
        <is>
          <t>TCNZ001:社内業務等</t>
        </is>
      </c>
      <c r="D88">
        <f>L88</f>
        <v/>
      </c>
      <c r="E88">
        <f>SUMIFS(J:J, G:G, A88, H:H, B88, L:L, L88)</f>
        <v/>
      </c>
      <c r="F88" t="inlineStr">
        <is>
          <t>37</t>
        </is>
      </c>
      <c r="G88" t="inlineStr">
        <is>
          <t>景山 朋美</t>
        </is>
      </c>
      <c r="H88" t="inlineStr">
        <is>
          <t>TCNZ001:社内業務等</t>
        </is>
      </c>
      <c r="I88" s="1" t="n">
        <v>46007</v>
      </c>
      <c r="J88" t="n">
        <v>0.5</v>
      </c>
      <c r="K88">
        <f>IFERROR(MID(Q88, FIND(",", Q88) + 1, LEN(Q88) - FIND(",", Q88)), Q88)</f>
        <v/>
      </c>
      <c r="L88">
        <f>IFERROR(LEFT(Q88, FIND(",", Q88) - 1), "-")</f>
        <v/>
      </c>
      <c r="M88" t="n">
        <v>5</v>
      </c>
      <c r="O88" s="2" t="inlineStr">
        <is>
          <t>09:00</t>
        </is>
      </c>
      <c r="P88" s="2" t="inlineStr">
        <is>
          <t>09:30</t>
        </is>
      </c>
      <c r="Q88" t="inlineStr">
        <is>
          <t>各種雑務</t>
        </is>
      </c>
    </row>
    <row r="89">
      <c r="A89" t="inlineStr">
        <is>
          <t>景山 朋美</t>
        </is>
      </c>
      <c r="B89" t="inlineStr">
        <is>
          <t>TCNZ001:社内業務等</t>
        </is>
      </c>
      <c r="D89">
        <f>L89</f>
        <v/>
      </c>
      <c r="E89">
        <f>SUMIFS(J:J, G:G, A89, H:H, B89, L:L, L89)</f>
        <v/>
      </c>
      <c r="F89" t="inlineStr">
        <is>
          <t>37</t>
        </is>
      </c>
      <c r="G89" t="inlineStr">
        <is>
          <t>景山 朋美</t>
        </is>
      </c>
      <c r="H89" t="inlineStr">
        <is>
          <t>TCNZ001:社内業務等</t>
        </is>
      </c>
      <c r="I89" s="1" t="n">
        <v>46008</v>
      </c>
      <c r="J89" t="n">
        <v>0.5</v>
      </c>
      <c r="K89">
        <f>IFERROR(MID(Q89, FIND(",", Q89) + 1, LEN(Q89) - FIND(",", Q89)), Q89)</f>
        <v/>
      </c>
      <c r="L89">
        <f>IFERROR(LEFT(Q89, FIND(",", Q89) - 1), "-")</f>
        <v/>
      </c>
      <c r="M89" t="n">
        <v>5</v>
      </c>
      <c r="O89" s="2" t="inlineStr">
        <is>
          <t>09:00</t>
        </is>
      </c>
      <c r="P89" s="2" t="inlineStr">
        <is>
          <t>09:30</t>
        </is>
      </c>
      <c r="Q89" t="inlineStr">
        <is>
          <t>各種雑務</t>
        </is>
      </c>
    </row>
    <row r="90">
      <c r="A90" t="inlineStr">
        <is>
          <t>景山 朋美</t>
        </is>
      </c>
      <c r="B90" t="inlineStr">
        <is>
          <t>TCNZ001:社内業務等</t>
        </is>
      </c>
      <c r="D90">
        <f>L90</f>
        <v/>
      </c>
      <c r="E90">
        <f>SUMIFS(J:J, G:G, A90, H:H, B90, L:L, L90)</f>
        <v/>
      </c>
      <c r="F90" t="inlineStr">
        <is>
          <t>37</t>
        </is>
      </c>
      <c r="G90" t="inlineStr">
        <is>
          <t>景山 朋美</t>
        </is>
      </c>
      <c r="H90" t="inlineStr">
        <is>
          <t>TCNZ001:社内業務等</t>
        </is>
      </c>
      <c r="I90" s="1" t="n">
        <v>46009</v>
      </c>
      <c r="J90" t="n">
        <v>0.5</v>
      </c>
      <c r="K90">
        <f>IFERROR(MID(Q90, FIND(",", Q90) + 1, LEN(Q90) - FIND(",", Q90)), Q90)</f>
        <v/>
      </c>
      <c r="L90">
        <f>IFERROR(LEFT(Q90, FIND(",", Q90) - 1), "-")</f>
        <v/>
      </c>
      <c r="M90" t="n">
        <v>5</v>
      </c>
      <c r="O90" s="2" t="inlineStr">
        <is>
          <t>09:00</t>
        </is>
      </c>
      <c r="P90" s="2" t="inlineStr">
        <is>
          <t>09:30</t>
        </is>
      </c>
      <c r="Q90" t="inlineStr">
        <is>
          <t>各種雑務</t>
        </is>
      </c>
    </row>
    <row r="91">
      <c r="A91" t="inlineStr">
        <is>
          <t>景山 朋美</t>
        </is>
      </c>
      <c r="B91" t="inlineStr">
        <is>
          <t>TCNZ001:社内業務等</t>
        </is>
      </c>
      <c r="D91">
        <f>L91</f>
        <v/>
      </c>
      <c r="E91">
        <f>SUMIFS(J:J, G:G, A91, H:H, B91, L:L, L91)</f>
        <v/>
      </c>
      <c r="F91" t="inlineStr">
        <is>
          <t>37</t>
        </is>
      </c>
      <c r="G91" t="inlineStr">
        <is>
          <t>景山 朋美</t>
        </is>
      </c>
      <c r="H91" t="inlineStr">
        <is>
          <t>TCNZ001:社内業務等</t>
        </is>
      </c>
      <c r="I91" s="1" t="n">
        <v>46010</v>
      </c>
      <c r="J91" t="n">
        <v>0.5</v>
      </c>
      <c r="K91">
        <f>IFERROR(MID(Q91, FIND(",", Q91) + 1, LEN(Q91) - FIND(",", Q91)), Q91)</f>
        <v/>
      </c>
      <c r="L91">
        <f>IFERROR(LEFT(Q91, FIND(",", Q91) - 1), "-")</f>
        <v/>
      </c>
      <c r="M91" t="n">
        <v>5</v>
      </c>
      <c r="O91" s="2" t="inlineStr">
        <is>
          <t>09:00</t>
        </is>
      </c>
      <c r="P91" s="2" t="inlineStr">
        <is>
          <t>09:30</t>
        </is>
      </c>
      <c r="Q91" t="inlineStr">
        <is>
          <t>各種雑務</t>
        </is>
      </c>
    </row>
    <row r="92">
      <c r="A92" t="inlineStr">
        <is>
          <t>景山 朋美</t>
        </is>
      </c>
      <c r="B92" t="inlineStr">
        <is>
          <t>TCNZ001:社内業務等</t>
        </is>
      </c>
      <c r="D92">
        <f>L92</f>
        <v/>
      </c>
      <c r="E92">
        <f>SUMIFS(J:J, G:G, A92, H:H, B92, L:L, L92)</f>
        <v/>
      </c>
      <c r="F92" t="inlineStr">
        <is>
          <t>37</t>
        </is>
      </c>
      <c r="G92" t="inlineStr">
        <is>
          <t>景山 朋美</t>
        </is>
      </c>
      <c r="H92" t="inlineStr">
        <is>
          <t>TCNZ001:社内業務等</t>
        </is>
      </c>
      <c r="I92" s="1" t="n">
        <v>46013</v>
      </c>
      <c r="J92" t="n">
        <v>0.5</v>
      </c>
      <c r="K92">
        <f>IFERROR(MID(Q92, FIND(",", Q92) + 1, LEN(Q92) - FIND(",", Q92)), Q92)</f>
        <v/>
      </c>
      <c r="L92">
        <f>IFERROR(LEFT(Q92, FIND(",", Q92) - 1), "-")</f>
        <v/>
      </c>
      <c r="M92" t="n">
        <v>5</v>
      </c>
      <c r="O92" s="2" t="inlineStr">
        <is>
          <t>09:00</t>
        </is>
      </c>
      <c r="P92" s="2" t="inlineStr">
        <is>
          <t>09:30</t>
        </is>
      </c>
      <c r="Q92" t="inlineStr">
        <is>
          <t>各種雑務</t>
        </is>
      </c>
    </row>
    <row r="93">
      <c r="A93" t="inlineStr">
        <is>
          <t>景山 朋美</t>
        </is>
      </c>
      <c r="B93" t="inlineStr">
        <is>
          <t>TCNZ001:社内業務等</t>
        </is>
      </c>
      <c r="D93">
        <f>L93</f>
        <v/>
      </c>
      <c r="E93">
        <f>SUMIFS(J:J, G:G, A93, H:H, B93, L:L, L93)</f>
        <v/>
      </c>
      <c r="F93" t="inlineStr">
        <is>
          <t>37</t>
        </is>
      </c>
      <c r="G93" t="inlineStr">
        <is>
          <t>景山 朋美</t>
        </is>
      </c>
      <c r="H93" t="inlineStr">
        <is>
          <t>TCNZ001:社内業務等</t>
        </is>
      </c>
      <c r="I93" s="1" t="n">
        <v>46014</v>
      </c>
      <c r="J93" t="n">
        <v>0.5</v>
      </c>
      <c r="K93">
        <f>IFERROR(MID(Q93, FIND(",", Q93) + 1, LEN(Q93) - FIND(",", Q93)), Q93)</f>
        <v/>
      </c>
      <c r="L93">
        <f>IFERROR(LEFT(Q93, FIND(",", Q93) - 1), "-")</f>
        <v/>
      </c>
      <c r="M93" t="n">
        <v>5</v>
      </c>
      <c r="O93" s="2" t="inlineStr">
        <is>
          <t>09:00</t>
        </is>
      </c>
      <c r="P93" s="2" t="inlineStr">
        <is>
          <t>09:30</t>
        </is>
      </c>
      <c r="Q93" t="inlineStr">
        <is>
          <t>各種雑務</t>
        </is>
      </c>
    </row>
    <row r="94">
      <c r="A94" t="inlineStr">
        <is>
          <t>景山 朋美</t>
        </is>
      </c>
      <c r="B94" t="inlineStr">
        <is>
          <t>TCNZ001:社内業務等</t>
        </is>
      </c>
      <c r="D94">
        <f>L94</f>
        <v/>
      </c>
      <c r="E94">
        <f>SUMIFS(J:J, G:G, A94, H:H, B94, L:L, L94)</f>
        <v/>
      </c>
      <c r="F94" t="inlineStr">
        <is>
          <t>37</t>
        </is>
      </c>
      <c r="G94" t="inlineStr">
        <is>
          <t>景山 朋美</t>
        </is>
      </c>
      <c r="H94" t="inlineStr">
        <is>
          <t>TCNZ001:社内業務等</t>
        </is>
      </c>
      <c r="I94" s="1" t="n">
        <v>46015</v>
      </c>
      <c r="J94" t="n">
        <v>0.5</v>
      </c>
      <c r="K94">
        <f>IFERROR(MID(Q94, FIND(",", Q94) + 1, LEN(Q94) - FIND(",", Q94)), Q94)</f>
        <v/>
      </c>
      <c r="L94">
        <f>IFERROR(LEFT(Q94, FIND(",", Q94) - 1), "-")</f>
        <v/>
      </c>
      <c r="M94" t="n">
        <v>5</v>
      </c>
      <c r="O94" s="2" t="inlineStr">
        <is>
          <t>09:00</t>
        </is>
      </c>
      <c r="P94" s="2" t="inlineStr">
        <is>
          <t>09:30</t>
        </is>
      </c>
      <c r="Q94" t="inlineStr">
        <is>
          <t>各種雑務</t>
        </is>
      </c>
    </row>
    <row r="95">
      <c r="A95" t="inlineStr">
        <is>
          <t>景山 朋美</t>
        </is>
      </c>
      <c r="B95" t="inlineStr">
        <is>
          <t>TCNZ001:社内業務等</t>
        </is>
      </c>
      <c r="D95">
        <f>L95</f>
        <v/>
      </c>
      <c r="E95">
        <f>SUMIFS(J:J, G:G, A95, H:H, B95, L:L, L95)</f>
        <v/>
      </c>
      <c r="F95" t="inlineStr">
        <is>
          <t>37</t>
        </is>
      </c>
      <c r="G95" t="inlineStr">
        <is>
          <t>景山 朋美</t>
        </is>
      </c>
      <c r="H95" t="inlineStr">
        <is>
          <t>TCNZ001:社内業務等</t>
        </is>
      </c>
      <c r="I95" s="1" t="n">
        <v>46016</v>
      </c>
      <c r="J95" t="n">
        <v>0.5</v>
      </c>
      <c r="K95">
        <f>IFERROR(MID(Q95, FIND(",", Q95) + 1, LEN(Q95) - FIND(",", Q95)), Q95)</f>
        <v/>
      </c>
      <c r="L95">
        <f>IFERROR(LEFT(Q95, FIND(",", Q95) - 1), "-")</f>
        <v/>
      </c>
      <c r="M95" t="n">
        <v>5</v>
      </c>
      <c r="O95" s="2" t="inlineStr">
        <is>
          <t>09:00</t>
        </is>
      </c>
      <c r="P95" s="2" t="inlineStr">
        <is>
          <t>09:30</t>
        </is>
      </c>
      <c r="Q95" t="inlineStr">
        <is>
          <t>各種雑務</t>
        </is>
      </c>
    </row>
    <row r="96">
      <c r="A96" t="inlineStr">
        <is>
          <t>景山 朋美</t>
        </is>
      </c>
      <c r="B96" t="inlineStr">
        <is>
          <t>TCNZ001:社内業務等</t>
        </is>
      </c>
      <c r="D96">
        <f>L96</f>
        <v/>
      </c>
      <c r="E96">
        <f>SUMIFS(J:J, G:G, A96, H:H, B96, L:L, L96)</f>
        <v/>
      </c>
      <c r="F96" t="inlineStr">
        <is>
          <t>37</t>
        </is>
      </c>
      <c r="G96" t="inlineStr">
        <is>
          <t>景山 朋美</t>
        </is>
      </c>
      <c r="H96" t="inlineStr">
        <is>
          <t>TCNZ001:社内業務等</t>
        </is>
      </c>
      <c r="I96" s="1" t="n">
        <v>45995</v>
      </c>
      <c r="J96" t="n">
        <v>1</v>
      </c>
      <c r="K96">
        <f>IFERROR(MID(Q96, FIND(",", Q96) + 1, LEN(Q96) - FIND(",", Q96)), Q96)</f>
        <v/>
      </c>
      <c r="L96">
        <f>IFERROR(LEFT(Q96, FIND(",", Q96) - 1), "-")</f>
        <v/>
      </c>
      <c r="M96" t="n">
        <v>5</v>
      </c>
      <c r="O96" s="2" t="inlineStr">
        <is>
          <t>17:00</t>
        </is>
      </c>
      <c r="P96" s="2" t="inlineStr">
        <is>
          <t>18:00</t>
        </is>
      </c>
      <c r="Q96" t="inlineStr">
        <is>
          <t>社内MTG（Tframe説明）</t>
        </is>
      </c>
    </row>
    <row r="97">
      <c r="A97" t="inlineStr">
        <is>
          <t>景山 朋美</t>
        </is>
      </c>
      <c r="B97" t="inlineStr">
        <is>
          <t>TCNZ001:社内業務等</t>
        </is>
      </c>
      <c r="D97">
        <f>L97</f>
        <v/>
      </c>
      <c r="E97">
        <f>SUMIFS(J:J, G:G, A97, H:H, B97, L:L, L97)</f>
        <v/>
      </c>
      <c r="F97" t="inlineStr">
        <is>
          <t>37</t>
        </is>
      </c>
      <c r="G97" t="inlineStr">
        <is>
          <t>景山 朋美</t>
        </is>
      </c>
      <c r="H97" t="inlineStr">
        <is>
          <t>TCNZ001:社内業務等</t>
        </is>
      </c>
      <c r="I97" s="1" t="n">
        <v>46007</v>
      </c>
      <c r="J97" t="n">
        <v>0.5</v>
      </c>
      <c r="K97">
        <f>IFERROR(MID(Q97, FIND(",", Q97) + 1, LEN(Q97) - FIND(",", Q97)), Q97)</f>
        <v/>
      </c>
      <c r="L97">
        <f>IFERROR(LEFT(Q97, FIND(",", Q97) - 1), "-")</f>
        <v/>
      </c>
      <c r="M97" t="n">
        <v>5</v>
      </c>
      <c r="O97" s="2" t="inlineStr">
        <is>
          <t>13:00</t>
        </is>
      </c>
      <c r="P97" s="2" t="inlineStr">
        <is>
          <t>13:30</t>
        </is>
      </c>
      <c r="Q97" t="inlineStr">
        <is>
          <t>社内MTG（三菱、島村）</t>
        </is>
      </c>
    </row>
    <row r="98">
      <c r="A98" t="inlineStr">
        <is>
          <t>景山 朋美</t>
        </is>
      </c>
      <c r="B98" t="inlineStr">
        <is>
          <t>TCNZ001:社内業務等</t>
        </is>
      </c>
      <c r="D98">
        <f>L98</f>
        <v/>
      </c>
      <c r="E98">
        <f>SUMIFS(J:J, G:G, A98, H:H, B98, L:L, L98)</f>
        <v/>
      </c>
      <c r="F98" t="inlineStr">
        <is>
          <t>37</t>
        </is>
      </c>
      <c r="G98" t="inlineStr">
        <is>
          <t>景山 朋美</t>
        </is>
      </c>
      <c r="H98" t="inlineStr">
        <is>
          <t>TCNZ001:社内業務等</t>
        </is>
      </c>
      <c r="I98" s="1" t="n">
        <v>46009</v>
      </c>
      <c r="J98" t="n">
        <v>0.5</v>
      </c>
      <c r="K98">
        <f>IFERROR(MID(Q98, FIND(",", Q98) + 1, LEN(Q98) - FIND(",", Q98)), Q98)</f>
        <v/>
      </c>
      <c r="L98">
        <f>IFERROR(LEFT(Q98, FIND(",", Q98) - 1), "-")</f>
        <v/>
      </c>
      <c r="M98" t="n">
        <v>5</v>
      </c>
      <c r="O98" s="2" t="inlineStr">
        <is>
          <t>15:30</t>
        </is>
      </c>
      <c r="P98" s="2" t="inlineStr">
        <is>
          <t>16:00</t>
        </is>
      </c>
      <c r="Q98" t="inlineStr">
        <is>
          <t>面談準備振り返り</t>
        </is>
      </c>
    </row>
    <row r="99">
      <c r="A99" t="inlineStr">
        <is>
          <t>景山 朋美</t>
        </is>
      </c>
      <c r="B99" t="inlineStr">
        <is>
          <t>TCNz004:新SMS開発</t>
        </is>
      </c>
      <c r="C99">
        <f>SUMIFS(J:J, G:G, A99, H:H, B99)</f>
        <v/>
      </c>
      <c r="D99">
        <f>L99</f>
        <v/>
      </c>
      <c r="E99">
        <f>SUMIFS(J:J, G:G, A99, H:H, B99, L:L, L99)</f>
        <v/>
      </c>
      <c r="F99" t="inlineStr">
        <is>
          <t>37</t>
        </is>
      </c>
      <c r="G99" t="inlineStr">
        <is>
          <t>景山 朋美</t>
        </is>
      </c>
      <c r="H99" t="inlineStr">
        <is>
          <t>TCNz004:新SMS開発</t>
        </is>
      </c>
      <c r="I99" s="1" t="n">
        <v>46010</v>
      </c>
      <c r="J99" t="n">
        <v>2.25</v>
      </c>
      <c r="K99">
        <f>IFERROR(MID(Q99, FIND(",", Q99) + 1, LEN(Q99) - FIND(",", Q99)), Q99)</f>
        <v/>
      </c>
      <c r="L99">
        <f>IFERROR(LEFT(Q99, FIND(",", Q99) - 1), "-")</f>
        <v/>
      </c>
      <c r="M99" t="n">
        <v>5</v>
      </c>
      <c r="O99" s="2" t="inlineStr">
        <is>
          <t>09:45</t>
        </is>
      </c>
      <c r="P99" s="2" t="inlineStr">
        <is>
          <t>12:00</t>
        </is>
      </c>
      <c r="Q99" t="inlineStr">
        <is>
          <t xml:space="preserve"> 三菱重工_資料読込</t>
        </is>
      </c>
    </row>
    <row r="100">
      <c r="A100" t="inlineStr">
        <is>
          <t>景山 朋美</t>
        </is>
      </c>
      <c r="B100" t="inlineStr">
        <is>
          <t>TCNz004:新SMS開発</t>
        </is>
      </c>
      <c r="D100">
        <f>L100</f>
        <v/>
      </c>
      <c r="E100">
        <f>SUMIFS(J:J, G:G, A100, H:H, B100, L:L, L100)</f>
        <v/>
      </c>
      <c r="F100" t="inlineStr">
        <is>
          <t>37</t>
        </is>
      </c>
      <c r="G100" t="inlineStr">
        <is>
          <t>景山 朋美</t>
        </is>
      </c>
      <c r="H100" t="inlineStr">
        <is>
          <t>TCNz004:新SMS開発</t>
        </is>
      </c>
      <c r="I100" s="1" t="n">
        <v>45994</v>
      </c>
      <c r="J100" t="n">
        <v>2</v>
      </c>
      <c r="K100">
        <f>IFERROR(MID(Q100, FIND(",", Q100) + 1, LEN(Q100) - FIND(",", Q100)), Q100)</f>
        <v/>
      </c>
      <c r="L100">
        <f>IFERROR(LEFT(Q100, FIND(",", Q100) - 1), "-")</f>
        <v/>
      </c>
      <c r="M100" t="n">
        <v>5</v>
      </c>
      <c r="O100" s="2" t="inlineStr">
        <is>
          <t>13:00</t>
        </is>
      </c>
      <c r="P100" s="2" t="inlineStr">
        <is>
          <t>15:00</t>
        </is>
      </c>
      <c r="Q100" t="inlineStr">
        <is>
          <t>Tframeの件、各種やり取り</t>
        </is>
      </c>
    </row>
    <row r="101">
      <c r="A101" t="inlineStr">
        <is>
          <t>景山 朋美</t>
        </is>
      </c>
      <c r="B101" t="inlineStr">
        <is>
          <t>TCNz004:新SMS開発</t>
        </is>
      </c>
      <c r="D101">
        <f>L101</f>
        <v/>
      </c>
      <c r="E101">
        <f>SUMIFS(J:J, G:G, A101, H:H, B101, L:L, L101)</f>
        <v/>
      </c>
      <c r="F101" t="inlineStr">
        <is>
          <t>37</t>
        </is>
      </c>
      <c r="G101" t="inlineStr">
        <is>
          <t>景山 朋美</t>
        </is>
      </c>
      <c r="H101" t="inlineStr">
        <is>
          <t>TCNz004:新SMS開発</t>
        </is>
      </c>
      <c r="I101" s="1" t="n">
        <v>45993</v>
      </c>
      <c r="J101" t="n">
        <v>4</v>
      </c>
      <c r="K101">
        <f>IFERROR(MID(Q101, FIND(",", Q101) + 1, LEN(Q101) - FIND(",", Q101)), Q101)</f>
        <v/>
      </c>
      <c r="L101">
        <f>IFERROR(LEFT(Q101, FIND(",", Q101) - 1), "-")</f>
        <v/>
      </c>
      <c r="M101" t="n">
        <v>5</v>
      </c>
      <c r="O101" s="2" t="inlineStr">
        <is>
          <t>14:00</t>
        </is>
      </c>
      <c r="P101" s="2" t="inlineStr">
        <is>
          <t>18:00</t>
        </is>
      </c>
      <c r="Q101" t="inlineStr">
        <is>
          <t>Tframeの検証</t>
        </is>
      </c>
    </row>
    <row r="102">
      <c r="A102" t="inlineStr">
        <is>
          <t>景山 朋美</t>
        </is>
      </c>
      <c r="B102" t="inlineStr">
        <is>
          <t>TCNz004:新SMS開発</t>
        </is>
      </c>
      <c r="D102">
        <f>L102</f>
        <v/>
      </c>
      <c r="E102">
        <f>SUMIFS(J:J, G:G, A102, H:H, B102, L:L, L102)</f>
        <v/>
      </c>
      <c r="F102" t="inlineStr">
        <is>
          <t>37</t>
        </is>
      </c>
      <c r="G102" t="inlineStr">
        <is>
          <t>景山 朋美</t>
        </is>
      </c>
      <c r="H102" t="inlineStr">
        <is>
          <t>TCNz004:新SMS開発</t>
        </is>
      </c>
      <c r="I102" s="1" t="n">
        <v>45994</v>
      </c>
      <c r="J102" t="n">
        <v>2.25</v>
      </c>
      <c r="K102">
        <f>IFERROR(MID(Q102, FIND(",", Q102) + 1, LEN(Q102) - FIND(",", Q102)), Q102)</f>
        <v/>
      </c>
      <c r="L102">
        <f>IFERROR(LEFT(Q102, FIND(",", Q102) - 1), "-")</f>
        <v/>
      </c>
      <c r="M102" t="n">
        <v>5</v>
      </c>
      <c r="O102" s="2" t="inlineStr">
        <is>
          <t>09:45</t>
        </is>
      </c>
      <c r="P102" s="2" t="inlineStr">
        <is>
          <t>12:00</t>
        </is>
      </c>
      <c r="Q102" t="inlineStr">
        <is>
          <t>Tframeの検証</t>
        </is>
      </c>
    </row>
    <row r="103">
      <c r="A103" t="inlineStr">
        <is>
          <t>景山 朋美</t>
        </is>
      </c>
      <c r="B103" t="inlineStr">
        <is>
          <t>TCNz004:新SMS開発</t>
        </is>
      </c>
      <c r="D103">
        <f>L103</f>
        <v/>
      </c>
      <c r="E103">
        <f>SUMIFS(J:J, G:G, A103, H:H, B103, L:L, L103)</f>
        <v/>
      </c>
      <c r="F103" t="inlineStr">
        <is>
          <t>37</t>
        </is>
      </c>
      <c r="G103" t="inlineStr">
        <is>
          <t>景山 朋美</t>
        </is>
      </c>
      <c r="H103" t="inlineStr">
        <is>
          <t>TCNz004:新SMS開発</t>
        </is>
      </c>
      <c r="I103" s="1" t="n">
        <v>45992</v>
      </c>
      <c r="J103" t="n">
        <v>1</v>
      </c>
      <c r="K103">
        <f>IFERROR(MID(Q103, FIND(",", Q103) + 1, LEN(Q103) - FIND(",", Q103)), Q103)</f>
        <v/>
      </c>
      <c r="L103">
        <f>IFERROR(LEFT(Q103, FIND(",", Q103) - 1), "-")</f>
        <v/>
      </c>
      <c r="M103" t="n">
        <v>5</v>
      </c>
      <c r="O103" s="2" t="inlineStr">
        <is>
          <t>13:00</t>
        </is>
      </c>
      <c r="P103" s="2" t="inlineStr">
        <is>
          <t>14:00</t>
        </is>
      </c>
      <c r="Q103" t="inlineStr">
        <is>
          <t>検証：Tframe</t>
        </is>
      </c>
    </row>
    <row r="104">
      <c r="O104" s="2" t="n"/>
      <c r="P104" s="2" t="n"/>
    </row>
    <row r="105">
      <c r="O105" s="2" t="n"/>
      <c r="P105" s="2" t="n"/>
    </row>
    <row r="106">
      <c r="O106" s="2" t="n"/>
      <c r="P106" s="2" t="n"/>
    </row>
    <row r="107">
      <c r="O107" s="2" t="n"/>
      <c r="P107" s="2" t="n"/>
    </row>
    <row r="108">
      <c r="O108" s="2" t="n"/>
      <c r="P108" s="2" t="n"/>
    </row>
    <row r="109">
      <c r="O109" s="2" t="n"/>
      <c r="P109" s="2" t="n"/>
    </row>
    <row r="110">
      <c r="O110" s="2" t="n"/>
      <c r="P110" s="2" t="n"/>
    </row>
    <row r="111">
      <c r="O111" s="2" t="n"/>
      <c r="P111" s="2" t="n"/>
    </row>
    <row r="112">
      <c r="O112" s="2" t="n"/>
      <c r="P112" s="2" t="n"/>
    </row>
    <row r="113">
      <c r="O113" s="2" t="n"/>
      <c r="P113" s="2" t="n"/>
    </row>
    <row r="114">
      <c r="O114" s="2" t="n"/>
      <c r="P114" s="2" t="n"/>
    </row>
    <row r="115">
      <c r="O115" s="2" t="n"/>
      <c r="P115" s="2" t="n"/>
    </row>
    <row r="116">
      <c r="O116" s="2" t="n"/>
      <c r="P116" s="2" t="n"/>
    </row>
    <row r="117">
      <c r="O117" s="2" t="n"/>
      <c r="P117" s="2" t="n"/>
    </row>
    <row r="118">
      <c r="O118" s="2" t="n"/>
      <c r="P118" s="2" t="n"/>
    </row>
    <row r="119">
      <c r="O119" s="2" t="n"/>
      <c r="P119" s="2" t="n"/>
    </row>
    <row r="120">
      <c r="O120" s="2" t="n"/>
      <c r="P120" s="2" t="n"/>
    </row>
    <row r="121">
      <c r="O121" s="2" t="n"/>
      <c r="P121" s="2" t="n"/>
    </row>
    <row r="122">
      <c r="O122" s="2" t="n"/>
      <c r="P122" s="2" t="n"/>
    </row>
    <row r="123">
      <c r="O123" s="2" t="n"/>
      <c r="P123" s="2" t="n"/>
    </row>
    <row r="124">
      <c r="O124" s="2" t="n"/>
      <c r="P124" s="2" t="n"/>
    </row>
    <row r="125">
      <c r="O125" s="2" t="n"/>
      <c r="P125" s="2" t="n"/>
    </row>
    <row r="126">
      <c r="O126" s="2" t="n"/>
      <c r="P126" s="2" t="n"/>
    </row>
    <row r="127">
      <c r="O127" s="2" t="n"/>
      <c r="P127" s="2" t="n"/>
    </row>
    <row r="128">
      <c r="O128" s="2" t="n"/>
      <c r="P128" s="2" t="n"/>
    </row>
    <row r="129">
      <c r="O129" s="2" t="n"/>
      <c r="P129" s="2" t="n"/>
    </row>
    <row r="130">
      <c r="O130" s="2" t="n"/>
      <c r="P130" s="2" t="n"/>
    </row>
    <row r="131">
      <c r="O131" s="2" t="n"/>
      <c r="P131" s="2" t="n"/>
    </row>
    <row r="132">
      <c r="O132" s="2" t="n"/>
      <c r="P132" s="2" t="n"/>
    </row>
    <row r="133">
      <c r="O133" s="2" t="n"/>
      <c r="P133" s="2" t="n"/>
    </row>
    <row r="134">
      <c r="O134" s="2" t="n"/>
      <c r="P134" s="2" t="n"/>
    </row>
    <row r="135">
      <c r="O135" s="2" t="n"/>
      <c r="P135" s="2" t="n"/>
    </row>
    <row r="136">
      <c r="O136" s="2" t="n"/>
      <c r="P136" s="2" t="n"/>
    </row>
    <row r="137">
      <c r="O137" s="2" t="n"/>
      <c r="P137" s="2" t="n"/>
    </row>
    <row r="138">
      <c r="O138" s="2" t="n"/>
      <c r="P138" s="2" t="n"/>
    </row>
    <row r="139">
      <c r="O139" s="2" t="n"/>
      <c r="P139" s="2" t="n"/>
    </row>
    <row r="140">
      <c r="O140" s="2" t="n"/>
      <c r="P140" s="2" t="n"/>
    </row>
    <row r="141">
      <c r="O141" s="2" t="n"/>
      <c r="P141" s="2" t="n"/>
    </row>
    <row r="142">
      <c r="O142" s="2" t="n"/>
      <c r="P142" s="2" t="n"/>
    </row>
    <row r="143">
      <c r="O143" s="2" t="n"/>
      <c r="P143" s="2" t="n"/>
    </row>
    <row r="144">
      <c r="O144" s="2" t="n"/>
      <c r="P144" s="2" t="n"/>
    </row>
    <row r="145">
      <c r="O145" s="2" t="n"/>
      <c r="P145" s="2" t="n"/>
    </row>
    <row r="146">
      <c r="O146" s="2" t="n"/>
      <c r="P146" s="2" t="n"/>
    </row>
    <row r="147">
      <c r="O147" s="2" t="n"/>
      <c r="P147" s="2" t="n"/>
    </row>
    <row r="148">
      <c r="O148" s="2" t="n"/>
      <c r="P148" s="2" t="n"/>
    </row>
    <row r="149">
      <c r="O149" s="2" t="n"/>
      <c r="P149" s="2" t="n"/>
    </row>
    <row r="150">
      <c r="O150" s="2" t="n"/>
      <c r="P150" s="2" t="n"/>
    </row>
    <row r="151">
      <c r="O151" s="2" t="n"/>
      <c r="P151" s="2" t="n"/>
    </row>
    <row r="152">
      <c r="O152" s="2" t="n"/>
      <c r="P152" s="2" t="n"/>
    </row>
    <row r="153">
      <c r="O153" s="2" t="n"/>
      <c r="P153" s="2" t="n"/>
    </row>
    <row r="154">
      <c r="O154" s="2" t="n"/>
      <c r="P154" s="2" t="n"/>
    </row>
    <row r="155">
      <c r="O155" s="2" t="n"/>
      <c r="P155" s="2" t="n"/>
    </row>
    <row r="156">
      <c r="O156" s="2" t="n"/>
      <c r="P156" s="2" t="n"/>
    </row>
    <row r="157">
      <c r="O157" s="2" t="n"/>
      <c r="P157" s="2" t="n"/>
    </row>
    <row r="158">
      <c r="O158" s="2" t="n"/>
      <c r="P158" s="2" t="n"/>
    </row>
    <row r="159">
      <c r="O159" s="2" t="n"/>
      <c r="P159" s="2" t="n"/>
    </row>
    <row r="160">
      <c r="O160" s="2" t="n"/>
      <c r="P160" s="2" t="n"/>
    </row>
    <row r="161">
      <c r="O161" s="2" t="n"/>
      <c r="P161" s="2" t="n"/>
    </row>
    <row r="162">
      <c r="O162" s="2" t="n"/>
      <c r="P162" s="2" t="n"/>
    </row>
    <row r="163">
      <c r="O163" s="2" t="n"/>
      <c r="P163" s="2" t="n"/>
    </row>
    <row r="164">
      <c r="O164" s="2" t="n"/>
      <c r="P164" s="2" t="n"/>
    </row>
    <row r="165">
      <c r="O165" s="2" t="n"/>
      <c r="P165" s="2" t="n"/>
    </row>
    <row r="166">
      <c r="O166" s="2" t="n"/>
      <c r="P166" s="2" t="n"/>
    </row>
    <row r="167">
      <c r="O167" s="2" t="n"/>
      <c r="P167" s="2" t="n"/>
    </row>
    <row r="168">
      <c r="O168" s="2" t="n"/>
      <c r="P168" s="2" t="n"/>
    </row>
    <row r="169">
      <c r="O169" s="2" t="n"/>
      <c r="P169" s="2" t="n"/>
    </row>
    <row r="170">
      <c r="O170" s="2" t="n"/>
      <c r="P170" s="2" t="n"/>
    </row>
    <row r="171">
      <c r="O171" s="2" t="n"/>
      <c r="P171" s="2" t="n"/>
    </row>
    <row r="172">
      <c r="O172" s="2" t="n"/>
      <c r="P172" s="2" t="n"/>
    </row>
    <row r="173">
      <c r="O173" s="2" t="n"/>
      <c r="P173" s="2" t="n"/>
    </row>
    <row r="174">
      <c r="O174" s="2" t="n"/>
      <c r="P174" s="2" t="n"/>
    </row>
    <row r="175">
      <c r="O175" s="2" t="n"/>
      <c r="P175" s="2" t="n"/>
    </row>
    <row r="176">
      <c r="O176" s="2" t="n"/>
      <c r="P176" s="2" t="n"/>
    </row>
    <row r="177">
      <c r="O177" s="2" t="n"/>
      <c r="P177" s="2" t="n"/>
    </row>
    <row r="178">
      <c r="O178" s="2" t="n"/>
      <c r="P178" s="2" t="n"/>
    </row>
    <row r="179">
      <c r="O179" s="2" t="n"/>
      <c r="P179" s="2" t="n"/>
    </row>
    <row r="180">
      <c r="O180" s="2" t="n"/>
      <c r="P180" s="2" t="n"/>
    </row>
    <row r="181">
      <c r="O181" s="2" t="n"/>
      <c r="P181" s="2" t="n"/>
    </row>
    <row r="182">
      <c r="O182" s="2" t="n"/>
      <c r="P182" s="2" t="n"/>
    </row>
    <row r="183">
      <c r="O183" s="2" t="n"/>
      <c r="P183" s="2" t="n"/>
    </row>
    <row r="184">
      <c r="O184" s="2" t="n"/>
      <c r="P184" s="2" t="n"/>
    </row>
    <row r="185">
      <c r="O185" s="2" t="n"/>
      <c r="P185" s="2" t="n"/>
    </row>
    <row r="186">
      <c r="O186" s="2" t="n"/>
      <c r="P186" s="2" t="n"/>
    </row>
    <row r="187">
      <c r="O187" s="2" t="n"/>
      <c r="P187" s="2" t="n"/>
    </row>
    <row r="188">
      <c r="O188" s="2" t="n"/>
      <c r="P188" s="2" t="n"/>
    </row>
    <row r="189">
      <c r="O189" s="2" t="n"/>
      <c r="P189" s="2" t="n"/>
    </row>
    <row r="190">
      <c r="O190" s="2" t="n"/>
      <c r="P190" s="2" t="n"/>
    </row>
    <row r="191">
      <c r="O191" s="2" t="n"/>
      <c r="P191" s="2" t="n"/>
    </row>
    <row r="192">
      <c r="O192" s="2" t="n"/>
      <c r="P192" s="2" t="n"/>
    </row>
    <row r="193">
      <c r="O193" s="2" t="n"/>
      <c r="P193" s="2" t="n"/>
    </row>
    <row r="194">
      <c r="O194" s="2" t="n"/>
      <c r="P194" s="2" t="n"/>
    </row>
    <row r="195">
      <c r="O195" s="2" t="n"/>
      <c r="P195" s="2" t="n"/>
    </row>
    <row r="196">
      <c r="O196" s="2" t="n"/>
      <c r="P196" s="2" t="n"/>
    </row>
    <row r="197">
      <c r="O197" s="2" t="n"/>
      <c r="P197" s="2" t="n"/>
    </row>
    <row r="198">
      <c r="O198" s="2" t="n"/>
      <c r="P198" s="2" t="n"/>
    </row>
    <row r="199">
      <c r="O199" s="2" t="n"/>
      <c r="P19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2025-12-25T06:37:24Z</dcterms:created>
  <dcterms:modified xsi:type="dcterms:W3CDTF">2025-12-25T06:37:24Z</dcterms:modified>
</cp:coreProperties>
</file>