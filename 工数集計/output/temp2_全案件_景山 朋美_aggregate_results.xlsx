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9999"/>
        <bgColor rgb="00009999"/>
      </patternFill>
    </fill>
    <fill>
      <patternFill patternType="solid">
        <fgColor rgb="00B8CCE4"/>
        <b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20.9" customWidth="1" min="2" max="2"/>
    <col width="9.9" customWidth="1" min="4" max="4"/>
    <col hidden="1" outlineLevel="1" width="7.700000000000001" customWidth="1" min="6" max="9"/>
    <col hidden="1" outlineLevel="1" width="13" customWidth="1" min="10" max="14"/>
    <col width="7.700000000000001" customWidth="1" min="16" max="16"/>
    <col width="7.700000000000001" customWidth="1" min="17" max="17"/>
  </cols>
  <sheetData>
    <row r="1">
      <c r="A1" s="2" t="inlineStr">
        <is>
          <t>集計_社員名</t>
        </is>
      </c>
      <c r="B1" s="2" t="inlineStr">
        <is>
          <t>集計_PJコード</t>
        </is>
      </c>
      <c r="C1" s="2" t="inlineStr">
        <is>
          <t>集計_工数(h)</t>
        </is>
      </c>
      <c r="D1" s="2" t="inlineStr">
        <is>
          <t>集計_ブロック</t>
        </is>
      </c>
      <c r="E1" s="2" t="inlineStr">
        <is>
          <t>集計_工数(h)_番外</t>
        </is>
      </c>
      <c r="F1" s="3" t="inlineStr">
        <is>
          <t>社員コード</t>
        </is>
      </c>
      <c r="G1" s="3" t="inlineStr">
        <is>
          <t>社員名</t>
        </is>
      </c>
      <c r="H1" s="3" t="inlineStr">
        <is>
          <t>PJコード</t>
        </is>
      </c>
      <c r="I1" s="3" t="inlineStr">
        <is>
          <t>開始日</t>
        </is>
      </c>
      <c r="J1" s="3" t="inlineStr">
        <is>
          <t>作業時間</t>
        </is>
      </c>
      <c r="K1" s="3" t="inlineStr">
        <is>
          <t>メモ</t>
        </is>
      </c>
      <c r="L1" s="3" t="inlineStr">
        <is>
          <t>メモ_区分</t>
        </is>
      </c>
      <c r="M1" s="3" t="inlineStr">
        <is>
          <t>メモ_詳細</t>
        </is>
      </c>
      <c r="N1" s="3" t="inlineStr">
        <is>
          <t>工程１:管理コード</t>
        </is>
      </c>
      <c r="O1" s="2" t="inlineStr">
        <is>
          <t>工程１:名称</t>
        </is>
      </c>
      <c r="P1" s="2" t="inlineStr">
        <is>
          <t>開始時間</t>
        </is>
      </c>
      <c r="Q1" t="inlineStr">
        <is>
          <t>終了時間</t>
        </is>
      </c>
    </row>
    <row r="2">
      <c r="A2" t="inlineStr">
        <is>
          <t>景山 朋美</t>
        </is>
      </c>
      <c r="B2" t="inlineStr">
        <is>
          <t>SMMN004:島村楽器:瑕疵対応</t>
        </is>
      </c>
      <c r="C2">
        <f>SUMIFS(J:J, G:G,             A2, H:H, B2)</f>
        <v/>
      </c>
      <c r="D2">
        <f>L2</f>
        <v/>
      </c>
      <c r="E2">
        <f>SUMIFS(J:J, G:G,             A2, H:H, B2, L:L, L2)</f>
        <v/>
      </c>
      <c r="F2" t="inlineStr">
        <is>
          <t>37</t>
        </is>
      </c>
      <c r="G2" t="inlineStr">
        <is>
          <t>景山 朋美</t>
        </is>
      </c>
      <c r="H2" t="inlineStr">
        <is>
          <t>SMMN004:島村楽器:瑕疵対応</t>
        </is>
      </c>
      <c r="I2" s="1" t="n">
        <v>45944</v>
      </c>
      <c r="J2" t="n">
        <v>2.5</v>
      </c>
      <c r="K2" t="inlineStr">
        <is>
          <t>Tframe設計_レビュー前確認</t>
        </is>
      </c>
      <c r="L2">
        <f>IFERROR(LEFT(K2,             FIND(",", K2) - 1), "-")</f>
        <v/>
      </c>
      <c r="M2">
        <f>IFERROR(MID(K2,             FIND(",", K2) + 1, LEN(K2) - FIND(",", K2)), K2)</f>
        <v/>
      </c>
      <c r="N2" t="n">
        <v>1</v>
      </c>
      <c r="O2" s="2" t="n"/>
      <c r="P2" s="2" t="inlineStr">
        <is>
          <t>09:30</t>
        </is>
      </c>
      <c r="Q2" t="inlineStr">
        <is>
          <t>12:00</t>
        </is>
      </c>
    </row>
    <row r="3">
      <c r="A3" t="inlineStr">
        <is>
          <t>景山 朋美</t>
        </is>
      </c>
      <c r="B3" t="inlineStr">
        <is>
          <t>SMMs001:島村楽器サポート</t>
        </is>
      </c>
      <c r="C3">
        <f>SUMIFS(J:J, G:G,             A3, H:H, B3)</f>
        <v/>
      </c>
      <c r="D3">
        <f>L3</f>
        <v/>
      </c>
      <c r="E3">
        <f>SUMIFS(J:J, G:G,             A3, H:H, B3, L:L, L3)</f>
        <v/>
      </c>
      <c r="F3" t="inlineStr">
        <is>
          <t>37</t>
        </is>
      </c>
      <c r="G3" t="inlineStr">
        <is>
          <t>景山 朋美</t>
        </is>
      </c>
      <c r="H3" t="inlineStr">
        <is>
          <t>SMMs001:島村楽器サポート</t>
        </is>
      </c>
      <c r="I3" s="1" t="n">
        <v>45933</v>
      </c>
      <c r="J3" t="n">
        <v>2.5</v>
      </c>
      <c r="K3" t="inlineStr">
        <is>
          <t xml:space="preserve"> API設計 </t>
        </is>
      </c>
      <c r="L3">
        <f>IFERROR(LEFT(K3,             FIND(",", K3) - 1), "-")</f>
        <v/>
      </c>
      <c r="M3">
        <f>IFERROR(MID(K3,             FIND(",", K3) + 1, LEN(K3) - FIND(",", K3)), K3)</f>
        <v/>
      </c>
      <c r="N3" t="n">
        <v>3</v>
      </c>
      <c r="O3" s="2" t="n"/>
      <c r="P3" s="2" t="inlineStr">
        <is>
          <t>09:30</t>
        </is>
      </c>
      <c r="Q3" t="inlineStr">
        <is>
          <t>12:00</t>
        </is>
      </c>
    </row>
    <row r="4">
      <c r="A4" t="inlineStr">
        <is>
          <t>景山 朋美</t>
        </is>
      </c>
      <c r="B4" t="inlineStr">
        <is>
          <t>SMMs001:島村楽器サポート</t>
        </is>
      </c>
      <c r="D4">
        <f>L4</f>
        <v/>
      </c>
      <c r="E4">
        <f>SUMIFS(J:J, G:G,             A4, H:H, B4, L:L, L4)</f>
        <v/>
      </c>
      <c r="F4" t="inlineStr">
        <is>
          <t>37</t>
        </is>
      </c>
      <c r="G4" t="inlineStr">
        <is>
          <t>景山 朋美</t>
        </is>
      </c>
      <c r="H4" t="inlineStr">
        <is>
          <t>SMMs001:島村楽器サポート</t>
        </is>
      </c>
      <c r="I4" s="1" t="n">
        <v>45936</v>
      </c>
      <c r="J4" t="n">
        <v>3</v>
      </c>
      <c r="K4" t="inlineStr">
        <is>
          <t xml:space="preserve"> 教育,ディレクトリ運用</t>
        </is>
      </c>
      <c r="L4">
        <f>IFERROR(LEFT(K4,             FIND(",", K4) - 1), "-")</f>
        <v/>
      </c>
      <c r="M4">
        <f>IFERROR(MID(K4,             FIND(",", K4) + 1, LEN(K4) - FIND(",", K4)), K4)</f>
        <v/>
      </c>
      <c r="N4" t="n">
        <v>3</v>
      </c>
      <c r="O4" s="2" t="n"/>
      <c r="P4" s="2" t="inlineStr">
        <is>
          <t>13:00</t>
        </is>
      </c>
      <c r="Q4" t="inlineStr">
        <is>
          <t>16:00</t>
        </is>
      </c>
    </row>
    <row r="5">
      <c r="A5" t="inlineStr">
        <is>
          <t>景山 朋美</t>
        </is>
      </c>
      <c r="B5" t="inlineStr">
        <is>
          <t>SMMs001:島村楽器サポート</t>
        </is>
      </c>
      <c r="D5">
        <f>L5</f>
        <v/>
      </c>
      <c r="E5">
        <f>SUMIFS(J:J, G:G,             A5, H:H, B5, L:L, L5)</f>
        <v/>
      </c>
      <c r="F5" t="inlineStr">
        <is>
          <t>37</t>
        </is>
      </c>
      <c r="G5" t="inlineStr">
        <is>
          <t>景山 朋美</t>
        </is>
      </c>
      <c r="H5" t="inlineStr">
        <is>
          <t>SMMs001:島村楽器サポート</t>
        </is>
      </c>
      <c r="I5" s="1" t="n">
        <v>45931</v>
      </c>
      <c r="J5" t="n">
        <v>2.5</v>
      </c>
      <c r="K5" t="inlineStr">
        <is>
          <t xml:space="preserve"> 調査,オプティズマイズテーブル</t>
        </is>
      </c>
      <c r="L5">
        <f>IFERROR(LEFT(K5,             FIND(",", K5) - 1), "-")</f>
        <v/>
      </c>
      <c r="M5">
        <f>IFERROR(MID(K5,             FIND(",", K5) + 1, LEN(K5) - FIND(",", K5)), K5)</f>
        <v/>
      </c>
      <c r="N5" t="n">
        <v>3</v>
      </c>
      <c r="O5" s="2" t="n"/>
      <c r="P5" s="2" t="inlineStr">
        <is>
          <t>09:30</t>
        </is>
      </c>
      <c r="Q5" t="inlineStr">
        <is>
          <t>12:00</t>
        </is>
      </c>
    </row>
    <row r="6">
      <c r="A6" t="inlineStr">
        <is>
          <t>景山 朋美</t>
        </is>
      </c>
      <c r="B6" t="inlineStr">
        <is>
          <t>SMMs001:島村楽器サポート</t>
        </is>
      </c>
      <c r="D6">
        <f>L6</f>
        <v/>
      </c>
      <c r="E6">
        <f>SUMIFS(J:J, G:G,             A6, H:H, B6, L:L, L6)</f>
        <v/>
      </c>
      <c r="F6" t="inlineStr">
        <is>
          <t>37</t>
        </is>
      </c>
      <c r="G6" t="inlineStr">
        <is>
          <t>景山 朋美</t>
        </is>
      </c>
      <c r="H6" t="inlineStr">
        <is>
          <t>SMMs001:島村楽器サポート</t>
        </is>
      </c>
      <c r="I6" s="1" t="n">
        <v>45931</v>
      </c>
      <c r="J6" t="n">
        <v>3</v>
      </c>
      <c r="K6" t="inlineStr">
        <is>
          <t xml:space="preserve"> 調査,オプティズマイズテーブル</t>
        </is>
      </c>
      <c r="L6">
        <f>IFERROR(LEFT(K6,             FIND(",", K6) - 1), "-")</f>
        <v/>
      </c>
      <c r="M6">
        <f>IFERROR(MID(K6,             FIND(",", K6) + 1, LEN(K6) - FIND(",", K6)), K6)</f>
        <v/>
      </c>
      <c r="N6" t="n">
        <v>3</v>
      </c>
      <c r="O6" s="2" t="n"/>
      <c r="P6" s="2" t="inlineStr">
        <is>
          <t>13:00</t>
        </is>
      </c>
      <c r="Q6" t="inlineStr">
        <is>
          <t>16:00</t>
        </is>
      </c>
    </row>
    <row r="7">
      <c r="A7" t="inlineStr">
        <is>
          <t>景山 朋美</t>
        </is>
      </c>
      <c r="B7" t="inlineStr">
        <is>
          <t>SMMs001:島村楽器サポート</t>
        </is>
      </c>
      <c r="D7">
        <f>L7</f>
        <v/>
      </c>
      <c r="E7">
        <f>SUMIFS(J:J, G:G,             A7, H:H, B7, L:L, L7)</f>
        <v/>
      </c>
      <c r="F7" t="inlineStr">
        <is>
          <t>37</t>
        </is>
      </c>
      <c r="G7" t="inlineStr">
        <is>
          <t>景山 朋美</t>
        </is>
      </c>
      <c r="H7" t="inlineStr">
        <is>
          <t>SMMs001:島村楽器サポート</t>
        </is>
      </c>
      <c r="I7" s="1" t="n">
        <v>45932</v>
      </c>
      <c r="J7" t="n">
        <v>1.5</v>
      </c>
      <c r="K7" t="inlineStr">
        <is>
          <t>API設計</t>
        </is>
      </c>
      <c r="L7">
        <f>IFERROR(LEFT(K7,             FIND(",", K7) - 1), "-")</f>
        <v/>
      </c>
      <c r="M7">
        <f>IFERROR(MID(K7,             FIND(",", K7) + 1, LEN(K7) - FIND(",", K7)), K7)</f>
        <v/>
      </c>
      <c r="N7" t="n">
        <v>3</v>
      </c>
      <c r="O7" s="2" t="n"/>
      <c r="P7" s="2" t="inlineStr">
        <is>
          <t>14:30</t>
        </is>
      </c>
      <c r="Q7" t="inlineStr">
        <is>
          <t>16:00</t>
        </is>
      </c>
    </row>
    <row r="8">
      <c r="A8" t="inlineStr">
        <is>
          <t>景山 朋美</t>
        </is>
      </c>
      <c r="B8" t="inlineStr">
        <is>
          <t>SMMs001:島村楽器サポート</t>
        </is>
      </c>
      <c r="D8">
        <f>L8</f>
        <v/>
      </c>
      <c r="E8">
        <f>SUMIFS(J:J, G:G,             A8, H:H, B8, L:L, L8)</f>
        <v/>
      </c>
      <c r="F8" t="inlineStr">
        <is>
          <t>37</t>
        </is>
      </c>
      <c r="G8" t="inlineStr">
        <is>
          <t>景山 朋美</t>
        </is>
      </c>
      <c r="H8" t="inlineStr">
        <is>
          <t>SMMs001:島村楽器サポート</t>
        </is>
      </c>
      <c r="I8" s="1" t="n">
        <v>45936</v>
      </c>
      <c r="J8" t="n">
        <v>1</v>
      </c>
      <c r="K8" t="inlineStr">
        <is>
          <t>API設計書修正</t>
        </is>
      </c>
      <c r="L8">
        <f>IFERROR(LEFT(K8,             FIND(",", K8) - 1), "-")</f>
        <v/>
      </c>
      <c r="M8">
        <f>IFERROR(MID(K8,             FIND(",", K8) + 1, LEN(K8) - FIND(",", K8)), K8)</f>
        <v/>
      </c>
      <c r="N8" t="n">
        <v>3</v>
      </c>
      <c r="O8" s="2" t="n"/>
      <c r="P8" s="2" t="inlineStr">
        <is>
          <t>17:00</t>
        </is>
      </c>
      <c r="Q8" t="inlineStr">
        <is>
          <t>18:00</t>
        </is>
      </c>
    </row>
    <row r="9">
      <c r="A9" t="inlineStr">
        <is>
          <t>景山 朋美</t>
        </is>
      </c>
      <c r="B9" t="inlineStr">
        <is>
          <t>SMMs001:島村楽器サポート</t>
        </is>
      </c>
      <c r="D9">
        <f>L9</f>
        <v/>
      </c>
      <c r="E9">
        <f>SUMIFS(J:J, G:G,             A9, H:H, B9, L:L, L9)</f>
        <v/>
      </c>
      <c r="F9" t="inlineStr">
        <is>
          <t>37</t>
        </is>
      </c>
      <c r="G9" t="inlineStr">
        <is>
          <t>景山 朋美</t>
        </is>
      </c>
      <c r="H9" t="inlineStr">
        <is>
          <t>SMMs001:島村楽器サポート</t>
        </is>
      </c>
      <c r="I9" s="1" t="n">
        <v>45950</v>
      </c>
      <c r="J9" t="n">
        <v>3</v>
      </c>
      <c r="K9" t="inlineStr">
        <is>
          <t>DB更新,OptimizeTable作業</t>
        </is>
      </c>
      <c r="L9">
        <f>IFERROR(LEFT(K9,             FIND(",", K9) - 1), "-")</f>
        <v/>
      </c>
      <c r="M9">
        <f>IFERROR(MID(K9,             FIND(",", K9) + 1, LEN(K9) - FIND(",", K9)), K9)</f>
        <v/>
      </c>
      <c r="N9" t="n">
        <v>3</v>
      </c>
      <c r="O9" s="2" t="n"/>
      <c r="P9" s="2" t="inlineStr">
        <is>
          <t>09:00</t>
        </is>
      </c>
      <c r="Q9" t="inlineStr">
        <is>
          <t>12:00</t>
        </is>
      </c>
    </row>
    <row r="10">
      <c r="A10" t="inlineStr">
        <is>
          <t>景山 朋美</t>
        </is>
      </c>
      <c r="B10" t="inlineStr">
        <is>
          <t>SMMs001:島村楽器サポート</t>
        </is>
      </c>
      <c r="D10">
        <f>L10</f>
        <v/>
      </c>
      <c r="E10">
        <f>SUMIFS(J:J, G:G,             A10, H:H, B10, L:L, L10)</f>
        <v/>
      </c>
      <c r="F10" t="inlineStr">
        <is>
          <t>37</t>
        </is>
      </c>
      <c r="G10" t="inlineStr">
        <is>
          <t>景山 朋美</t>
        </is>
      </c>
      <c r="H10" t="inlineStr">
        <is>
          <t>SMMs001:島村楽器サポート</t>
        </is>
      </c>
      <c r="I10" s="1" t="n">
        <v>45947</v>
      </c>
      <c r="J10" t="n">
        <v>2</v>
      </c>
      <c r="K10" t="inlineStr">
        <is>
          <t>DB更新,事前準備</t>
        </is>
      </c>
      <c r="L10">
        <f>IFERROR(LEFT(K10,             FIND(",", K10) - 1), "-")</f>
        <v/>
      </c>
      <c r="M10">
        <f>IFERROR(MID(K10,             FIND(",", K10) + 1, LEN(K10) - FIND(",", K10)), K10)</f>
        <v/>
      </c>
      <c r="N10" t="n">
        <v>3</v>
      </c>
      <c r="O10" s="2" t="n"/>
      <c r="P10" s="2" t="inlineStr">
        <is>
          <t>13:00</t>
        </is>
      </c>
      <c r="Q10" t="inlineStr">
        <is>
          <t>15:00</t>
        </is>
      </c>
    </row>
    <row r="11">
      <c r="A11" t="inlineStr">
        <is>
          <t>景山 朋美</t>
        </is>
      </c>
      <c r="B11" t="inlineStr">
        <is>
          <t>SMMs001:島村楽器サポート</t>
        </is>
      </c>
      <c r="D11">
        <f>L11</f>
        <v/>
      </c>
      <c r="E11">
        <f>SUMIFS(J:J, G:G,             A11, H:H, B11, L:L, L11)</f>
        <v/>
      </c>
      <c r="F11" t="inlineStr">
        <is>
          <t>37</t>
        </is>
      </c>
      <c r="G11" t="inlineStr">
        <is>
          <t>景山 朋美</t>
        </is>
      </c>
      <c r="H11" t="inlineStr">
        <is>
          <t>SMMs001:島村楽器サポート</t>
        </is>
      </c>
      <c r="I11" s="1" t="n">
        <v>45947</v>
      </c>
      <c r="J11" t="n">
        <v>2.5</v>
      </c>
      <c r="K11" t="inlineStr">
        <is>
          <t>UAT課題,課題内容整理</t>
        </is>
      </c>
      <c r="L11">
        <f>IFERROR(LEFT(K11,             FIND(",", K11) - 1), "-")</f>
        <v/>
      </c>
      <c r="M11">
        <f>IFERROR(MID(K11,             FIND(",", K11) + 1, LEN(K11) - FIND(",", K11)), K11)</f>
        <v/>
      </c>
      <c r="N11" t="n">
        <v>3</v>
      </c>
      <c r="O11" s="2" t="n"/>
      <c r="P11" s="2" t="inlineStr">
        <is>
          <t>09:30</t>
        </is>
      </c>
      <c r="Q11" t="inlineStr">
        <is>
          <t>12:00</t>
        </is>
      </c>
    </row>
    <row r="12">
      <c r="A12" t="inlineStr">
        <is>
          <t>景山 朋美</t>
        </is>
      </c>
      <c r="B12" t="inlineStr">
        <is>
          <t>SMMs001:島村楽器サポート</t>
        </is>
      </c>
      <c r="D12">
        <f>L12</f>
        <v/>
      </c>
      <c r="E12">
        <f>SUMIFS(J:J, G:G,             A12, H:H, B12, L:L, L12)</f>
        <v/>
      </c>
      <c r="F12" t="inlineStr">
        <is>
          <t>37</t>
        </is>
      </c>
      <c r="G12" t="inlineStr">
        <is>
          <t>景山 朋美</t>
        </is>
      </c>
      <c r="H12" t="inlineStr">
        <is>
          <t>SMMs001:島村楽器サポート</t>
        </is>
      </c>
      <c r="I12" s="1" t="n">
        <v>45946</v>
      </c>
      <c r="J12" t="n">
        <v>5</v>
      </c>
      <c r="K12" t="inlineStr">
        <is>
          <t>UAT課題,課題整理</t>
        </is>
      </c>
      <c r="L12">
        <f>IFERROR(LEFT(K12,             FIND(",", K12) - 1), "-")</f>
        <v/>
      </c>
      <c r="M12">
        <f>IFERROR(MID(K12,             FIND(",", K12) + 1, LEN(K12) - FIND(",", K12)), K12)</f>
        <v/>
      </c>
      <c r="N12" t="n">
        <v>3</v>
      </c>
      <c r="O12" s="2" t="n"/>
      <c r="P12" s="2" t="inlineStr">
        <is>
          <t>13:00</t>
        </is>
      </c>
      <c r="Q12" t="inlineStr">
        <is>
          <t>18:00</t>
        </is>
      </c>
    </row>
    <row r="13">
      <c r="A13" t="inlineStr">
        <is>
          <t>景山 朋美</t>
        </is>
      </c>
      <c r="B13" t="inlineStr">
        <is>
          <t>SMMs001:島村楽器サポート</t>
        </is>
      </c>
      <c r="D13">
        <f>L13</f>
        <v/>
      </c>
      <c r="E13">
        <f>SUMIFS(J:J, G:G,             A13, H:H, B13, L:L, L13)</f>
        <v/>
      </c>
      <c r="F13" t="inlineStr">
        <is>
          <t>37</t>
        </is>
      </c>
      <c r="G13" t="inlineStr">
        <is>
          <t>景山 朋美</t>
        </is>
      </c>
      <c r="H13" t="inlineStr">
        <is>
          <t>SMMs001:島村楽器サポート</t>
        </is>
      </c>
      <c r="I13" s="1" t="n">
        <v>45946</v>
      </c>
      <c r="J13" t="n">
        <v>0.5</v>
      </c>
      <c r="K13" t="inlineStr">
        <is>
          <t>教育,(島村)状況報告</t>
        </is>
      </c>
      <c r="L13">
        <f>IFERROR(LEFT(K13,             FIND(",", K13) - 1), "-")</f>
        <v/>
      </c>
      <c r="M13">
        <f>IFERROR(MID(K13,             FIND(",", K13) + 1, LEN(K13) - FIND(",", K13)), K13)</f>
        <v/>
      </c>
      <c r="N13" t="n">
        <v>3</v>
      </c>
      <c r="O13" s="2" t="n"/>
      <c r="P13" s="2" t="inlineStr">
        <is>
          <t>10:00</t>
        </is>
      </c>
      <c r="Q13" t="inlineStr">
        <is>
          <t>10:30</t>
        </is>
      </c>
    </row>
    <row r="14">
      <c r="A14" t="inlineStr">
        <is>
          <t>景山 朋美</t>
        </is>
      </c>
      <c r="B14" t="inlineStr">
        <is>
          <t>SMMs001:島村楽器サポート</t>
        </is>
      </c>
      <c r="D14">
        <f>L14</f>
        <v/>
      </c>
      <c r="E14">
        <f>SUMIFS(J:J, G:G,             A14, H:H, B14, L:L, L14)</f>
        <v/>
      </c>
      <c r="F14" t="inlineStr">
        <is>
          <t>37</t>
        </is>
      </c>
      <c r="G14" t="inlineStr">
        <is>
          <t>景山 朋美</t>
        </is>
      </c>
      <c r="H14" t="inlineStr">
        <is>
          <t>SMMs001:島村楽器サポート</t>
        </is>
      </c>
      <c r="I14" s="1" t="n">
        <v>45936</v>
      </c>
      <c r="J14" t="n">
        <v>1.5</v>
      </c>
      <c r="K14" t="inlineStr">
        <is>
          <t>教育,ディレクトリ運用</t>
        </is>
      </c>
      <c r="L14">
        <f>IFERROR(LEFT(K14,             FIND(",", K14) - 1), "-")</f>
        <v/>
      </c>
      <c r="M14">
        <f>IFERROR(MID(K14,             FIND(",", K14) + 1, LEN(K14) - FIND(",", K14)), K14)</f>
        <v/>
      </c>
      <c r="N14" t="n">
        <v>3</v>
      </c>
      <c r="O14" s="2" t="n"/>
      <c r="P14" s="2" t="inlineStr">
        <is>
          <t>10:30</t>
        </is>
      </c>
      <c r="Q14" t="inlineStr">
        <is>
          <t>12:00</t>
        </is>
      </c>
    </row>
    <row r="15">
      <c r="A15" t="inlineStr">
        <is>
          <t>景山 朋美</t>
        </is>
      </c>
      <c r="B15" t="inlineStr">
        <is>
          <t>SMMs001:島村楽器サポート</t>
        </is>
      </c>
      <c r="D15">
        <f>L15</f>
        <v/>
      </c>
      <c r="E15">
        <f>SUMIFS(J:J, G:G,             A15, H:H, B15, L:L, L15)</f>
        <v/>
      </c>
      <c r="F15" t="inlineStr">
        <is>
          <t>37</t>
        </is>
      </c>
      <c r="G15" t="inlineStr">
        <is>
          <t>景山 朋美</t>
        </is>
      </c>
      <c r="H15" t="inlineStr">
        <is>
          <t>SMMs001:島村楽器サポート</t>
        </is>
      </c>
      <c r="I15" s="1" t="n">
        <v>45946</v>
      </c>
      <c r="J15" t="n">
        <v>1.5</v>
      </c>
      <c r="K15" t="inlineStr">
        <is>
          <t>教育,レビュー関連やりとり</t>
        </is>
      </c>
      <c r="L15">
        <f>IFERROR(LEFT(K15,             FIND(",", K15) - 1), "-")</f>
        <v/>
      </c>
      <c r="M15">
        <f>IFERROR(MID(K15,             FIND(",", K15) + 1, LEN(K15) - FIND(",", K15)), K15)</f>
        <v/>
      </c>
      <c r="N15" t="n">
        <v>3</v>
      </c>
      <c r="O15" s="2" t="n"/>
      <c r="P15" s="2" t="inlineStr">
        <is>
          <t>10:30</t>
        </is>
      </c>
      <c r="Q15" t="inlineStr">
        <is>
          <t>12:00</t>
        </is>
      </c>
    </row>
    <row r="16">
      <c r="A16" t="inlineStr">
        <is>
          <t>景山 朋美</t>
        </is>
      </c>
      <c r="B16" t="inlineStr">
        <is>
          <t>SMMs001:島村楽器サポート</t>
        </is>
      </c>
      <c r="D16">
        <f>L16</f>
        <v/>
      </c>
      <c r="E16">
        <f>SUMIFS(J:J, G:G,             A16, H:H, B16, L:L, L16)</f>
        <v/>
      </c>
      <c r="F16" t="inlineStr">
        <is>
          <t>37</t>
        </is>
      </c>
      <c r="G16" t="inlineStr">
        <is>
          <t>景山 朋美</t>
        </is>
      </c>
      <c r="H16" t="inlineStr">
        <is>
          <t>SMMs001:島村楽器サポート</t>
        </is>
      </c>
      <c r="I16" s="1" t="n">
        <v>45939</v>
      </c>
      <c r="J16" t="n">
        <v>0.5</v>
      </c>
      <c r="K16" t="inlineStr">
        <is>
          <t>社内MTG,(島村)状況報告</t>
        </is>
      </c>
      <c r="L16">
        <f>IFERROR(LEFT(K16,             FIND(",", K16) - 1), "-")</f>
        <v/>
      </c>
      <c r="M16">
        <f>IFERROR(MID(K16,             FIND(",", K16) + 1, LEN(K16) - FIND(",", K16)), K16)</f>
        <v/>
      </c>
      <c r="N16" t="n">
        <v>3</v>
      </c>
      <c r="O16" s="2" t="n"/>
      <c r="P16" s="2" t="inlineStr">
        <is>
          <t>10:00</t>
        </is>
      </c>
      <c r="Q16" t="inlineStr">
        <is>
          <t>10:30</t>
        </is>
      </c>
    </row>
    <row r="17">
      <c r="A17" t="inlineStr">
        <is>
          <t>景山 朋美</t>
        </is>
      </c>
      <c r="B17" t="inlineStr">
        <is>
          <t>SMMs001:島村楽器サポート</t>
        </is>
      </c>
      <c r="D17">
        <f>L17</f>
        <v/>
      </c>
      <c r="E17">
        <f>SUMIFS(J:J, G:G,             A17, H:H, B17, L:L, L17)</f>
        <v/>
      </c>
      <c r="F17" t="inlineStr">
        <is>
          <t>37</t>
        </is>
      </c>
      <c r="G17" t="inlineStr">
        <is>
          <t>景山 朋美</t>
        </is>
      </c>
      <c r="H17" t="inlineStr">
        <is>
          <t>SMMs001:島村楽器サポート</t>
        </is>
      </c>
      <c r="I17" s="1" t="n">
        <v>45932</v>
      </c>
      <c r="J17" t="n">
        <v>1</v>
      </c>
      <c r="K17" t="inlineStr">
        <is>
          <t>調査,オプティズマイズテーブル</t>
        </is>
      </c>
      <c r="L17">
        <f>IFERROR(LEFT(K17,             FIND(",", K17) - 1), "-")</f>
        <v/>
      </c>
      <c r="M17">
        <f>IFERROR(MID(K17,             FIND(",", K17) + 1, LEN(K17) - FIND(",", K17)), K17)</f>
        <v/>
      </c>
      <c r="N17" t="n">
        <v>3</v>
      </c>
      <c r="O17" s="2" t="n"/>
      <c r="P17" s="2" t="inlineStr">
        <is>
          <t>11:00</t>
        </is>
      </c>
      <c r="Q17" t="inlineStr">
        <is>
          <t>12:00</t>
        </is>
      </c>
    </row>
    <row r="18">
      <c r="A18" t="inlineStr">
        <is>
          <t>景山 朋美</t>
        </is>
      </c>
      <c r="B18" t="inlineStr">
        <is>
          <t>SMMs001:島村楽器サポート</t>
        </is>
      </c>
      <c r="D18">
        <f>L18</f>
        <v/>
      </c>
      <c r="E18">
        <f>SUMIFS(J:J, G:G,             A18, H:H, B18, L:L, L18)</f>
        <v/>
      </c>
      <c r="F18" t="inlineStr">
        <is>
          <t>37</t>
        </is>
      </c>
      <c r="G18" t="inlineStr">
        <is>
          <t>景山 朋美</t>
        </is>
      </c>
      <c r="H18" t="inlineStr">
        <is>
          <t>SMMs001:島村楽器サポート</t>
        </is>
      </c>
      <c r="I18" s="1" t="n">
        <v>45932</v>
      </c>
      <c r="J18" t="n">
        <v>1.5</v>
      </c>
      <c r="K18" t="inlineStr">
        <is>
          <t>調査,料金（預り金ロジック整理）</t>
        </is>
      </c>
      <c r="L18">
        <f>IFERROR(LEFT(K18,             FIND(",", K18) - 1), "-")</f>
        <v/>
      </c>
      <c r="M18">
        <f>IFERROR(MID(K18,             FIND(",", K18) + 1, LEN(K18) - FIND(",", K18)), K18)</f>
        <v/>
      </c>
      <c r="N18" t="n">
        <v>3</v>
      </c>
      <c r="O18" s="2" t="n"/>
      <c r="P18" s="2" t="inlineStr">
        <is>
          <t>13:00</t>
        </is>
      </c>
      <c r="Q18" t="inlineStr">
        <is>
          <t>14:30</t>
        </is>
      </c>
    </row>
    <row r="19">
      <c r="A19" t="inlineStr">
        <is>
          <t>景山 朋美</t>
        </is>
      </c>
      <c r="B19" t="inlineStr">
        <is>
          <t>SMMs001:島村楽器サポート</t>
        </is>
      </c>
      <c r="D19">
        <f>L19</f>
        <v/>
      </c>
      <c r="E19">
        <f>SUMIFS(J:J, G:G,             A19, H:H, B19, L:L, L19)</f>
        <v/>
      </c>
      <c r="F19" t="inlineStr">
        <is>
          <t>37</t>
        </is>
      </c>
      <c r="G19" t="inlineStr">
        <is>
          <t>景山 朋美</t>
        </is>
      </c>
      <c r="H19" t="inlineStr">
        <is>
          <t>SMMs001:島村楽器サポート</t>
        </is>
      </c>
      <c r="I19" s="1" t="n">
        <v>45936</v>
      </c>
      <c r="J19" t="n">
        <v>1</v>
      </c>
      <c r="K19" t="inlineStr">
        <is>
          <t>調査,本番SQLエラー</t>
        </is>
      </c>
      <c r="L19">
        <f>IFERROR(LEFT(K19,             FIND(",", K19) - 1), "-")</f>
        <v/>
      </c>
      <c r="M19">
        <f>IFERROR(MID(K19,             FIND(",", K19) + 1, LEN(K19) - FIND(",", K19)), K19)</f>
        <v/>
      </c>
      <c r="N19" t="n">
        <v>3</v>
      </c>
      <c r="O19" s="2" t="n"/>
      <c r="P19" s="2" t="inlineStr">
        <is>
          <t>09:30</t>
        </is>
      </c>
      <c r="Q19" t="inlineStr">
        <is>
          <t>10:30</t>
        </is>
      </c>
    </row>
    <row r="20">
      <c r="A20" t="inlineStr">
        <is>
          <t>景山 朋美</t>
        </is>
      </c>
      <c r="B20" t="inlineStr">
        <is>
          <t>SMMs001:島村楽器サポート</t>
        </is>
      </c>
      <c r="D20">
        <f>L20</f>
        <v/>
      </c>
      <c r="E20">
        <f>SUMIFS(J:J, G:G,             A20, H:H, B20, L:L, L20)</f>
        <v/>
      </c>
      <c r="F20" t="inlineStr">
        <is>
          <t>37</t>
        </is>
      </c>
      <c r="G20" t="inlineStr">
        <is>
          <t>景山 朋美</t>
        </is>
      </c>
      <c r="H20" t="inlineStr">
        <is>
          <t>SMMs001:島村楽器サポート</t>
        </is>
      </c>
      <c r="I20" s="1" t="n">
        <v>45950</v>
      </c>
      <c r="J20" t="n">
        <v>1.5</v>
      </c>
      <c r="K20" t="inlineStr">
        <is>
          <t>調査,本番環境で発生したSQLエラーの正体</t>
        </is>
      </c>
      <c r="L20">
        <f>IFERROR(LEFT(K20,             FIND(",", K20) - 1), "-")</f>
        <v/>
      </c>
      <c r="M20">
        <f>IFERROR(MID(K20,             FIND(",", K20) + 1, LEN(K20) - FIND(",", K20)), K20)</f>
        <v/>
      </c>
      <c r="N20" t="n">
        <v>3</v>
      </c>
      <c r="O20" s="2" t="n"/>
      <c r="P20" s="2" t="inlineStr">
        <is>
          <t>15:00</t>
        </is>
      </c>
      <c r="Q20" t="inlineStr">
        <is>
          <t>16:30</t>
        </is>
      </c>
    </row>
    <row r="21">
      <c r="A21" t="inlineStr">
        <is>
          <t>景山 朋美</t>
        </is>
      </c>
      <c r="B21" t="inlineStr">
        <is>
          <t>SMMs001:島村楽器サポート</t>
        </is>
      </c>
      <c r="D21">
        <f>L21</f>
        <v/>
      </c>
      <c r="E21">
        <f>SUMIFS(J:J, G:G,             A21, H:H, B21, L:L, L21)</f>
        <v/>
      </c>
      <c r="F21" t="inlineStr">
        <is>
          <t>37</t>
        </is>
      </c>
      <c r="G21" t="inlineStr">
        <is>
          <t>景山 朋美</t>
        </is>
      </c>
      <c r="H21" t="inlineStr">
        <is>
          <t>SMMs001:島村楽器サポート</t>
        </is>
      </c>
      <c r="I21" s="1" t="n">
        <v>45944</v>
      </c>
      <c r="J21" t="n">
        <v>2</v>
      </c>
      <c r="K21" t="inlineStr">
        <is>
          <t>資料作成（内部向け）,CRUD図</t>
        </is>
      </c>
      <c r="L21">
        <f>IFERROR(LEFT(K21,             FIND(",", K21) - 1), "-")</f>
        <v/>
      </c>
      <c r="M21">
        <f>IFERROR(MID(K21,             FIND(",", K21) + 1, LEN(K21) - FIND(",", K21)), K21)</f>
        <v/>
      </c>
      <c r="N21" t="n">
        <v>3</v>
      </c>
      <c r="O21" s="2" t="n"/>
      <c r="P21" s="2" t="inlineStr">
        <is>
          <t>16:00</t>
        </is>
      </c>
      <c r="Q21" t="inlineStr">
        <is>
          <t>18:00</t>
        </is>
      </c>
    </row>
    <row r="22">
      <c r="A22" t="inlineStr">
        <is>
          <t>景山 朋美</t>
        </is>
      </c>
      <c r="B22" t="inlineStr">
        <is>
          <t>SMMs001:島村楽器サポート</t>
        </is>
      </c>
      <c r="D22">
        <f>L22</f>
        <v/>
      </c>
      <c r="E22">
        <f>SUMIFS(J:J, G:G,             A22, H:H, B22, L:L, L22)</f>
        <v/>
      </c>
      <c r="F22" t="inlineStr">
        <is>
          <t>37</t>
        </is>
      </c>
      <c r="G22" t="inlineStr">
        <is>
          <t>景山 朋美</t>
        </is>
      </c>
      <c r="H22" t="inlineStr">
        <is>
          <t>SMMs001:島村楽器サポート</t>
        </is>
      </c>
      <c r="I22" s="1" t="n">
        <v>45937</v>
      </c>
      <c r="J22" t="n">
        <v>2</v>
      </c>
      <c r="K22" t="inlineStr">
        <is>
          <t>資料作成（内部向け）,CRUD図の更新</t>
        </is>
      </c>
      <c r="L22">
        <f>IFERROR(LEFT(K22,             FIND(",", K22) - 1), "-")</f>
        <v/>
      </c>
      <c r="M22">
        <f>IFERROR(MID(K22,             FIND(",", K22) + 1, LEN(K22) - FIND(",", K22)), K22)</f>
        <v/>
      </c>
      <c r="N22" t="n">
        <v>3</v>
      </c>
      <c r="O22" s="2" t="n"/>
      <c r="P22" s="2" t="inlineStr">
        <is>
          <t>13:00</t>
        </is>
      </c>
      <c r="Q22" t="inlineStr">
        <is>
          <t>15:00</t>
        </is>
      </c>
    </row>
    <row r="23">
      <c r="A23" t="inlineStr">
        <is>
          <t>景山 朋美</t>
        </is>
      </c>
      <c r="B23" t="inlineStr">
        <is>
          <t>SMMs001:島村楽器サポート</t>
        </is>
      </c>
      <c r="D23">
        <f>L23</f>
        <v/>
      </c>
      <c r="E23">
        <f>SUMIFS(J:J, G:G,             A23, H:H, B23, L:L, L23)</f>
        <v/>
      </c>
      <c r="F23" t="inlineStr">
        <is>
          <t>37</t>
        </is>
      </c>
      <c r="G23" t="inlineStr">
        <is>
          <t>景山 朋美</t>
        </is>
      </c>
      <c r="H23" t="inlineStr">
        <is>
          <t>SMMs001:島村楽器サポート</t>
        </is>
      </c>
      <c r="I23" s="1" t="n">
        <v>45932</v>
      </c>
      <c r="J23" t="n">
        <v>1</v>
      </c>
      <c r="K23" t="inlineStr">
        <is>
          <t>進捗管理,(島村)状況報告</t>
        </is>
      </c>
      <c r="L23">
        <f>IFERROR(LEFT(K23,             FIND(",", K23) - 1), "-")</f>
        <v/>
      </c>
      <c r="M23">
        <f>IFERROR(MID(K23,             FIND(",", K23) + 1, LEN(K23) - FIND(",", K23)), K23)</f>
        <v/>
      </c>
      <c r="N23" t="n">
        <v>3</v>
      </c>
      <c r="O23" s="2" t="n"/>
      <c r="P23" s="2" t="inlineStr">
        <is>
          <t>10:00</t>
        </is>
      </c>
      <c r="Q23" t="inlineStr">
        <is>
          <t>11:00</t>
        </is>
      </c>
    </row>
    <row r="24">
      <c r="A24" t="inlineStr">
        <is>
          <t>景山 朋美</t>
        </is>
      </c>
      <c r="B24" t="inlineStr">
        <is>
          <t>SMMs001:島村楽器サポート</t>
        </is>
      </c>
      <c r="D24">
        <f>L24</f>
        <v/>
      </c>
      <c r="E24">
        <f>SUMIFS(J:J, G:G,             A24, H:H, B24, L:L, L24)</f>
        <v/>
      </c>
      <c r="F24" t="inlineStr">
        <is>
          <t>37</t>
        </is>
      </c>
      <c r="G24" t="inlineStr">
        <is>
          <t>景山 朋美</t>
        </is>
      </c>
      <c r="H24" t="inlineStr">
        <is>
          <t>SMMs001:島村楽器サポート</t>
        </is>
      </c>
      <c r="I24" s="1" t="n">
        <v>45939</v>
      </c>
      <c r="J24" t="n">
        <v>0.5</v>
      </c>
      <c r="K24" t="inlineStr">
        <is>
          <t>進捗管理,毎週状況確認</t>
        </is>
      </c>
      <c r="L24">
        <f>IFERROR(LEFT(K24,             FIND(",", K24) - 1), "-")</f>
        <v/>
      </c>
      <c r="M24">
        <f>IFERROR(MID(K24,             FIND(",", K24) + 1, LEN(K24) - FIND(",", K24)), K24)</f>
        <v/>
      </c>
      <c r="N24" t="n">
        <v>3</v>
      </c>
      <c r="O24" s="2" t="n"/>
      <c r="P24" s="2" t="inlineStr">
        <is>
          <t>10:30</t>
        </is>
      </c>
      <c r="Q24" t="inlineStr">
        <is>
          <t>11:00</t>
        </is>
      </c>
    </row>
    <row r="25">
      <c r="A25" t="inlineStr">
        <is>
          <t>景山 朋美</t>
        </is>
      </c>
      <c r="B25" t="inlineStr">
        <is>
          <t>TCNZ001:社内業務等</t>
        </is>
      </c>
      <c r="C25">
        <f>SUMIFS(J:J, G:G,             A25, H:H, B25)</f>
        <v/>
      </c>
      <c r="D25">
        <f>L25</f>
        <v/>
      </c>
      <c r="E25">
        <f>SUMIFS(J:J, G:G,             A25, H:H, B25, L:L, L25)</f>
        <v/>
      </c>
      <c r="F25" t="inlineStr">
        <is>
          <t>37</t>
        </is>
      </c>
      <c r="G25" t="inlineStr">
        <is>
          <t>景山 朋美</t>
        </is>
      </c>
      <c r="H25" t="inlineStr">
        <is>
          <t>TCNZ001:社内業務等</t>
        </is>
      </c>
      <c r="I25" s="1" t="n">
        <v>45931</v>
      </c>
      <c r="J25" t="n">
        <v>2</v>
      </c>
      <c r="K25" t="inlineStr">
        <is>
          <t>AI勉強会</t>
        </is>
      </c>
      <c r="L25">
        <f>IFERROR(LEFT(K25,             FIND(",", K25) - 1), "-")</f>
        <v/>
      </c>
      <c r="M25">
        <f>IFERROR(MID(K25,             FIND(",", K25) + 1, LEN(K25) - FIND(",", K25)), K25)</f>
        <v/>
      </c>
      <c r="N25" t="n">
        <v>5</v>
      </c>
      <c r="O25" s="2" t="n"/>
      <c r="P25" s="2" t="inlineStr">
        <is>
          <t>16:00</t>
        </is>
      </c>
      <c r="Q25" t="inlineStr">
        <is>
          <t>18:00</t>
        </is>
      </c>
    </row>
    <row r="26">
      <c r="A26" t="inlineStr">
        <is>
          <t>景山 朋美</t>
        </is>
      </c>
      <c r="B26" t="inlineStr">
        <is>
          <t>TCNZ001:社内業務等</t>
        </is>
      </c>
      <c r="D26">
        <f>L26</f>
        <v/>
      </c>
      <c r="E26">
        <f>SUMIFS(J:J, G:G,             A26, H:H, B26, L:L, L26)</f>
        <v/>
      </c>
      <c r="F26" t="inlineStr">
        <is>
          <t>37</t>
        </is>
      </c>
      <c r="G26" t="inlineStr">
        <is>
          <t>景山 朋美</t>
        </is>
      </c>
      <c r="H26" t="inlineStr">
        <is>
          <t>TCNZ001:社内業務等</t>
        </is>
      </c>
      <c r="I26" s="1" t="n">
        <v>45933</v>
      </c>
      <c r="J26" t="n">
        <v>1</v>
      </c>
      <c r="K26" t="inlineStr">
        <is>
          <t>AI勉強会_1回目</t>
        </is>
      </c>
      <c r="L26">
        <f>IFERROR(LEFT(K26,             FIND(",", K26) - 1), "-")</f>
        <v/>
      </c>
      <c r="M26">
        <f>IFERROR(MID(K26,             FIND(",", K26) + 1, LEN(K26) - FIND(",", K26)), K26)</f>
        <v/>
      </c>
      <c r="N26" t="n">
        <v>5</v>
      </c>
      <c r="O26" s="2" t="n"/>
      <c r="P26" s="2" t="inlineStr">
        <is>
          <t>15:00</t>
        </is>
      </c>
      <c r="Q26" t="inlineStr">
        <is>
          <t>16:00</t>
        </is>
      </c>
    </row>
    <row r="27">
      <c r="A27" t="inlineStr">
        <is>
          <t>景山 朋美</t>
        </is>
      </c>
      <c r="B27" t="inlineStr">
        <is>
          <t>TCNZ001:社内業務等</t>
        </is>
      </c>
      <c r="D27">
        <f>L27</f>
        <v/>
      </c>
      <c r="E27">
        <f>SUMIFS(J:J, G:G,             A27, H:H, B27, L:L, L27)</f>
        <v/>
      </c>
      <c r="F27" t="inlineStr">
        <is>
          <t>37</t>
        </is>
      </c>
      <c r="G27" t="inlineStr">
        <is>
          <t>景山 朋美</t>
        </is>
      </c>
      <c r="H27" t="inlineStr">
        <is>
          <t>TCNZ001:社内業務等</t>
        </is>
      </c>
      <c r="I27" s="1" t="n">
        <v>45936</v>
      </c>
      <c r="J27" t="n">
        <v>1</v>
      </c>
      <c r="K27" t="inlineStr">
        <is>
          <t>AI勉強会_内容整理</t>
        </is>
      </c>
      <c r="L27">
        <f>IFERROR(LEFT(K27,             FIND(",", K27) - 1), "-")</f>
        <v/>
      </c>
      <c r="M27">
        <f>IFERROR(MID(K27,             FIND(",", K27) + 1, LEN(K27) - FIND(",", K27)), K27)</f>
        <v/>
      </c>
      <c r="N27" t="n">
        <v>5</v>
      </c>
      <c r="O27" s="2" t="n"/>
      <c r="P27" s="2" t="inlineStr">
        <is>
          <t>16:00</t>
        </is>
      </c>
      <c r="Q27" t="inlineStr">
        <is>
          <t>17:00</t>
        </is>
      </c>
    </row>
    <row r="28">
      <c r="A28" t="inlineStr">
        <is>
          <t>景山 朋美</t>
        </is>
      </c>
      <c r="B28" t="inlineStr">
        <is>
          <t>TCNZ001:社内業務等</t>
        </is>
      </c>
      <c r="D28">
        <f>L28</f>
        <v/>
      </c>
      <c r="E28">
        <f>SUMIFS(J:J, G:G,             A28, H:H, B28, L:L, L28)</f>
        <v/>
      </c>
      <c r="F28" t="inlineStr">
        <is>
          <t>37</t>
        </is>
      </c>
      <c r="G28" t="inlineStr">
        <is>
          <t>景山 朋美</t>
        </is>
      </c>
      <c r="H28" t="inlineStr">
        <is>
          <t>TCNZ001:社内業務等</t>
        </is>
      </c>
      <c r="I28" s="1" t="n">
        <v>45933</v>
      </c>
      <c r="J28" t="n">
        <v>2</v>
      </c>
      <c r="K28" t="inlineStr">
        <is>
          <t>AI勉強会の後処理</t>
        </is>
      </c>
      <c r="L28">
        <f>IFERROR(LEFT(K28,             FIND(",", K28) - 1), "-")</f>
        <v/>
      </c>
      <c r="M28">
        <f>IFERROR(MID(K28,             FIND(",", K28) + 1, LEN(K28) - FIND(",", K28)), K28)</f>
        <v/>
      </c>
      <c r="N28" t="n">
        <v>5</v>
      </c>
      <c r="O28" s="2" t="n"/>
      <c r="P28" s="2" t="inlineStr">
        <is>
          <t>16:00</t>
        </is>
      </c>
      <c r="Q28" t="inlineStr">
        <is>
          <t>18:00</t>
        </is>
      </c>
    </row>
    <row r="29">
      <c r="A29" t="inlineStr">
        <is>
          <t>景山 朋美</t>
        </is>
      </c>
      <c r="B29" t="inlineStr">
        <is>
          <t>TCNZ001:社内業務等</t>
        </is>
      </c>
      <c r="D29">
        <f>L29</f>
        <v/>
      </c>
      <c r="E29">
        <f>SUMIFS(J:J, G:G,             A29, H:H, B29, L:L, L29)</f>
        <v/>
      </c>
      <c r="F29" t="inlineStr">
        <is>
          <t>37</t>
        </is>
      </c>
      <c r="G29" t="inlineStr">
        <is>
          <t>景山 朋美</t>
        </is>
      </c>
      <c r="H29" t="inlineStr">
        <is>
          <t>TCNZ001:社内業務等</t>
        </is>
      </c>
      <c r="I29" s="1" t="n">
        <v>45932</v>
      </c>
      <c r="J29" t="n">
        <v>2</v>
      </c>
      <c r="K29" t="inlineStr">
        <is>
          <t>AI勉強会の準備</t>
        </is>
      </c>
      <c r="L29">
        <f>IFERROR(LEFT(K29,             FIND(",", K29) - 1), "-")</f>
        <v/>
      </c>
      <c r="M29">
        <f>IFERROR(MID(K29,             FIND(",", K29) + 1, LEN(K29) - FIND(",", K29)), K29)</f>
        <v/>
      </c>
      <c r="N29" t="n">
        <v>5</v>
      </c>
      <c r="O29" s="2" t="n"/>
      <c r="P29" s="2" t="inlineStr">
        <is>
          <t>16:00</t>
        </is>
      </c>
      <c r="Q29" t="inlineStr">
        <is>
          <t>18:00</t>
        </is>
      </c>
    </row>
    <row r="30">
      <c r="A30" t="inlineStr">
        <is>
          <t>景山 朋美</t>
        </is>
      </c>
      <c r="B30" t="inlineStr">
        <is>
          <t>TCNZ001:社内業務等</t>
        </is>
      </c>
      <c r="D30">
        <f>L30</f>
        <v/>
      </c>
      <c r="E30">
        <f>SUMIFS(J:J, G:G,             A30, H:H, B30, L:L, L30)</f>
        <v/>
      </c>
      <c r="F30" t="inlineStr">
        <is>
          <t>37</t>
        </is>
      </c>
      <c r="G30" t="inlineStr">
        <is>
          <t>景山 朋美</t>
        </is>
      </c>
      <c r="H30" t="inlineStr">
        <is>
          <t>TCNZ001:社内業務等</t>
        </is>
      </c>
      <c r="I30" s="1" t="n">
        <v>45950</v>
      </c>
      <c r="J30" t="n">
        <v>1.5</v>
      </c>
      <c r="K30" t="inlineStr">
        <is>
          <t>AI活用パターンの検討</t>
        </is>
      </c>
      <c r="L30">
        <f>IFERROR(LEFT(K30,             FIND(",", K30) - 1), "-")</f>
        <v/>
      </c>
      <c r="M30">
        <f>IFERROR(MID(K30,             FIND(",", K30) + 1, LEN(K30) - FIND(",", K30)), K30)</f>
        <v/>
      </c>
      <c r="N30" t="n">
        <v>5</v>
      </c>
      <c r="O30" s="2" t="n"/>
      <c r="P30" s="2" t="inlineStr">
        <is>
          <t>16:30</t>
        </is>
      </c>
      <c r="Q30" t="inlineStr">
        <is>
          <t>18:00</t>
        </is>
      </c>
    </row>
    <row r="31">
      <c r="A31" t="inlineStr">
        <is>
          <t>景山 朋美</t>
        </is>
      </c>
      <c r="B31" t="inlineStr">
        <is>
          <t>TCNZ001:社内業務等</t>
        </is>
      </c>
      <c r="D31">
        <f>L31</f>
        <v/>
      </c>
      <c r="E31">
        <f>SUMIFS(J:J, G:G,             A31, H:H, B31, L:L, L31)</f>
        <v/>
      </c>
      <c r="F31" t="inlineStr">
        <is>
          <t>37</t>
        </is>
      </c>
      <c r="G31" t="inlineStr">
        <is>
          <t>景山 朋美</t>
        </is>
      </c>
      <c r="H31" t="inlineStr">
        <is>
          <t>TCNZ001:社内業務等</t>
        </is>
      </c>
      <c r="I31" s="1" t="n">
        <v>45937</v>
      </c>
      <c r="J31" t="n">
        <v>2.5</v>
      </c>
      <c r="K31" t="inlineStr">
        <is>
          <t>AI活用方法_検討</t>
        </is>
      </c>
      <c r="L31">
        <f>IFERROR(LEFT(K31,             FIND(",", K31) - 1), "-")</f>
        <v/>
      </c>
      <c r="M31">
        <f>IFERROR(MID(K31,             FIND(",", K31) + 1, LEN(K31) - FIND(",", K31)), K31)</f>
        <v/>
      </c>
      <c r="N31" t="n">
        <v>5</v>
      </c>
      <c r="O31" s="2" t="n"/>
      <c r="P31" s="2" t="inlineStr">
        <is>
          <t>09:30</t>
        </is>
      </c>
      <c r="Q31" t="inlineStr">
        <is>
          <t>12:00</t>
        </is>
      </c>
    </row>
    <row r="32">
      <c r="A32" t="inlineStr">
        <is>
          <t>景山 朋美</t>
        </is>
      </c>
      <c r="B32" t="inlineStr">
        <is>
          <t>TCNZ001:社内業務等</t>
        </is>
      </c>
      <c r="D32">
        <f>L32</f>
        <v/>
      </c>
      <c r="E32">
        <f>SUMIFS(J:J, G:G,             A32, H:H, B32, L:L, L32)</f>
        <v/>
      </c>
      <c r="F32" t="inlineStr">
        <is>
          <t>37</t>
        </is>
      </c>
      <c r="G32" t="inlineStr">
        <is>
          <t>景山 朋美</t>
        </is>
      </c>
      <c r="H32" t="inlineStr">
        <is>
          <t>TCNZ001:社内業務等</t>
        </is>
      </c>
      <c r="I32" s="1" t="n">
        <v>45947</v>
      </c>
      <c r="J32" t="n">
        <v>2</v>
      </c>
      <c r="K32" t="inlineStr">
        <is>
          <t>サポートMTG内容理解</t>
        </is>
      </c>
      <c r="L32">
        <f>IFERROR(LEFT(K32,             FIND(",", K32) - 1), "-")</f>
        <v/>
      </c>
      <c r="M32">
        <f>IFERROR(MID(K32,             FIND(",", K32) + 1, LEN(K32) - FIND(",", K32)), K32)</f>
        <v/>
      </c>
      <c r="N32" t="n">
        <v>5</v>
      </c>
      <c r="O32" s="2" t="n"/>
      <c r="P32" s="2" t="inlineStr">
        <is>
          <t>16:00</t>
        </is>
      </c>
      <c r="Q32" t="inlineStr">
        <is>
          <t>18:00</t>
        </is>
      </c>
    </row>
    <row r="33">
      <c r="A33" t="inlineStr">
        <is>
          <t>景山 朋美</t>
        </is>
      </c>
      <c r="B33" t="inlineStr">
        <is>
          <t>TCNZ001:社内業務等</t>
        </is>
      </c>
      <c r="D33">
        <f>L33</f>
        <v/>
      </c>
      <c r="E33">
        <f>SUMIFS(J:J, G:G,             A33, H:H, B33, L:L, L33)</f>
        <v/>
      </c>
      <c r="F33" t="inlineStr">
        <is>
          <t>37</t>
        </is>
      </c>
      <c r="G33" t="inlineStr">
        <is>
          <t>景山 朋美</t>
        </is>
      </c>
      <c r="H33" t="inlineStr">
        <is>
          <t>TCNZ001:社内業務等</t>
        </is>
      </c>
      <c r="I33" s="1" t="n">
        <v>45947</v>
      </c>
      <c r="J33" t="n">
        <v>1</v>
      </c>
      <c r="K33" t="inlineStr">
        <is>
          <t>サポート全体MTG</t>
        </is>
      </c>
      <c r="L33">
        <f>IFERROR(LEFT(K33,             FIND(",", K33) - 1), "-")</f>
        <v/>
      </c>
      <c r="M33">
        <f>IFERROR(MID(K33,             FIND(",", K33) + 1, LEN(K33) - FIND(",", K33)), K33)</f>
        <v/>
      </c>
      <c r="N33" t="n">
        <v>5</v>
      </c>
      <c r="O33" s="2" t="n"/>
      <c r="P33" s="2" t="inlineStr">
        <is>
          <t>15:00</t>
        </is>
      </c>
      <c r="Q33" t="inlineStr">
        <is>
          <t>16:00</t>
        </is>
      </c>
    </row>
    <row r="34">
      <c r="A34" t="inlineStr">
        <is>
          <t>景山 朋美</t>
        </is>
      </c>
      <c r="B34" t="inlineStr">
        <is>
          <t>TCNZ001:社内業務等</t>
        </is>
      </c>
      <c r="D34">
        <f>L34</f>
        <v/>
      </c>
      <c r="E34">
        <f>SUMIFS(J:J, G:G,             A34, H:H, B34, L:L, L34)</f>
        <v/>
      </c>
      <c r="F34" t="inlineStr">
        <is>
          <t>37</t>
        </is>
      </c>
      <c r="G34" t="inlineStr">
        <is>
          <t>景山 朋美</t>
        </is>
      </c>
      <c r="H34" t="inlineStr">
        <is>
          <t>TCNZ001:社内業務等</t>
        </is>
      </c>
      <c r="I34" s="1" t="n">
        <v>45931</v>
      </c>
      <c r="J34" t="n">
        <v>0.5</v>
      </c>
      <c r="K34" t="inlineStr">
        <is>
          <t>各種雑務</t>
        </is>
      </c>
      <c r="L34">
        <f>IFERROR(LEFT(K34,             FIND(",", K34) - 1), "-")</f>
        <v/>
      </c>
      <c r="M34">
        <f>IFERROR(MID(K34,             FIND(",", K34) + 1, LEN(K34) - FIND(",", K34)), K34)</f>
        <v/>
      </c>
      <c r="N34" t="n">
        <v>5</v>
      </c>
      <c r="O34" s="2" t="n"/>
      <c r="P34" s="2" t="inlineStr">
        <is>
          <t>09:00</t>
        </is>
      </c>
      <c r="Q34" t="inlineStr">
        <is>
          <t>09:30</t>
        </is>
      </c>
    </row>
    <row r="35">
      <c r="A35" t="inlineStr">
        <is>
          <t>景山 朋美</t>
        </is>
      </c>
      <c r="B35" t="inlineStr">
        <is>
          <t>TCNZ001:社内業務等</t>
        </is>
      </c>
      <c r="D35">
        <f>L35</f>
        <v/>
      </c>
      <c r="E35">
        <f>SUMIFS(J:J, G:G,             A35, H:H, B35, L:L, L35)</f>
        <v/>
      </c>
      <c r="F35" t="inlineStr">
        <is>
          <t>37</t>
        </is>
      </c>
      <c r="G35" t="inlineStr">
        <is>
          <t>景山 朋美</t>
        </is>
      </c>
      <c r="H35" t="inlineStr">
        <is>
          <t>TCNZ001:社内業務等</t>
        </is>
      </c>
      <c r="I35" s="1" t="n">
        <v>45932</v>
      </c>
      <c r="J35" t="n">
        <v>0.5</v>
      </c>
      <c r="K35" t="inlineStr">
        <is>
          <t>各種雑務</t>
        </is>
      </c>
      <c r="L35">
        <f>IFERROR(LEFT(K35,             FIND(",", K35) - 1), "-")</f>
        <v/>
      </c>
      <c r="M35">
        <f>IFERROR(MID(K35,             FIND(",", K35) + 1, LEN(K35) - FIND(",", K35)), K35)</f>
        <v/>
      </c>
      <c r="N35" t="n">
        <v>5</v>
      </c>
      <c r="O35" s="2" t="n"/>
      <c r="P35" s="2" t="inlineStr">
        <is>
          <t>09:00</t>
        </is>
      </c>
      <c r="Q35" t="inlineStr">
        <is>
          <t>09:30</t>
        </is>
      </c>
    </row>
    <row r="36">
      <c r="A36" t="inlineStr">
        <is>
          <t>景山 朋美</t>
        </is>
      </c>
      <c r="B36" t="inlineStr">
        <is>
          <t>TCNZ001:社内業務等</t>
        </is>
      </c>
      <c r="D36">
        <f>L36</f>
        <v/>
      </c>
      <c r="E36">
        <f>SUMIFS(J:J, G:G,             A36, H:H, B36, L:L, L36)</f>
        <v/>
      </c>
      <c r="F36" t="inlineStr">
        <is>
          <t>37</t>
        </is>
      </c>
      <c r="G36" t="inlineStr">
        <is>
          <t>景山 朋美</t>
        </is>
      </c>
      <c r="H36" t="inlineStr">
        <is>
          <t>TCNZ001:社内業務等</t>
        </is>
      </c>
      <c r="I36" s="1" t="n">
        <v>45933</v>
      </c>
      <c r="J36" t="n">
        <v>0.5</v>
      </c>
      <c r="K36" t="inlineStr">
        <is>
          <t>各種雑務</t>
        </is>
      </c>
      <c r="L36">
        <f>IFERROR(LEFT(K36,             FIND(",", K36) - 1), "-")</f>
        <v/>
      </c>
      <c r="M36">
        <f>IFERROR(MID(K36,             FIND(",", K36) + 1, LEN(K36) - FIND(",", K36)), K36)</f>
        <v/>
      </c>
      <c r="N36" t="n">
        <v>5</v>
      </c>
      <c r="O36" s="2" t="n"/>
      <c r="P36" s="2" t="inlineStr">
        <is>
          <t>09:00</t>
        </is>
      </c>
      <c r="Q36" t="inlineStr">
        <is>
          <t>09:30</t>
        </is>
      </c>
    </row>
    <row r="37">
      <c r="A37" t="inlineStr">
        <is>
          <t>景山 朋美</t>
        </is>
      </c>
      <c r="B37" t="inlineStr">
        <is>
          <t>TCNZ001:社内業務等</t>
        </is>
      </c>
      <c r="D37">
        <f>L37</f>
        <v/>
      </c>
      <c r="E37">
        <f>SUMIFS(J:J, G:G,             A37, H:H, B37, L:L, L37)</f>
        <v/>
      </c>
      <c r="F37" t="inlineStr">
        <is>
          <t>37</t>
        </is>
      </c>
      <c r="G37" t="inlineStr">
        <is>
          <t>景山 朋美</t>
        </is>
      </c>
      <c r="H37" t="inlineStr">
        <is>
          <t>TCNZ001:社内業務等</t>
        </is>
      </c>
      <c r="I37" s="1" t="n">
        <v>45936</v>
      </c>
      <c r="J37" t="n">
        <v>0.5</v>
      </c>
      <c r="K37" t="inlineStr">
        <is>
          <t>各種雑務</t>
        </is>
      </c>
      <c r="L37">
        <f>IFERROR(LEFT(K37,             FIND(",", K37) - 1), "-")</f>
        <v/>
      </c>
      <c r="M37">
        <f>IFERROR(MID(K37,             FIND(",", K37) + 1, LEN(K37) - FIND(",", K37)), K37)</f>
        <v/>
      </c>
      <c r="N37" t="n">
        <v>5</v>
      </c>
      <c r="O37" s="2" t="n"/>
      <c r="P37" s="2" t="inlineStr">
        <is>
          <t>09:00</t>
        </is>
      </c>
      <c r="Q37" t="inlineStr">
        <is>
          <t>09:30</t>
        </is>
      </c>
    </row>
    <row r="38">
      <c r="A38" t="inlineStr">
        <is>
          <t>景山 朋美</t>
        </is>
      </c>
      <c r="B38" t="inlineStr">
        <is>
          <t>TCNZ001:社内業務等</t>
        </is>
      </c>
      <c r="D38">
        <f>L38</f>
        <v/>
      </c>
      <c r="E38">
        <f>SUMIFS(J:J, G:G,             A38, H:H, B38, L:L, L38)</f>
        <v/>
      </c>
      <c r="F38" t="inlineStr">
        <is>
          <t>37</t>
        </is>
      </c>
      <c r="G38" t="inlineStr">
        <is>
          <t>景山 朋美</t>
        </is>
      </c>
      <c r="H38" t="inlineStr">
        <is>
          <t>TCNZ001:社内業務等</t>
        </is>
      </c>
      <c r="I38" s="1" t="n">
        <v>45937</v>
      </c>
      <c r="J38" t="n">
        <v>0.5</v>
      </c>
      <c r="K38" t="inlineStr">
        <is>
          <t>各種雑務</t>
        </is>
      </c>
      <c r="L38">
        <f>IFERROR(LEFT(K38,             FIND(",", K38) - 1), "-")</f>
        <v/>
      </c>
      <c r="M38">
        <f>IFERROR(MID(K38,             FIND(",", K38) + 1, LEN(K38) - FIND(",", K38)), K38)</f>
        <v/>
      </c>
      <c r="N38" t="n">
        <v>5</v>
      </c>
      <c r="O38" s="2" t="n"/>
      <c r="P38" s="2" t="inlineStr">
        <is>
          <t>09:00</t>
        </is>
      </c>
      <c r="Q38" t="inlineStr">
        <is>
          <t>09:30</t>
        </is>
      </c>
    </row>
    <row r="39">
      <c r="A39" t="inlineStr">
        <is>
          <t>景山 朋美</t>
        </is>
      </c>
      <c r="B39" t="inlineStr">
        <is>
          <t>TCNZ001:社内業務等</t>
        </is>
      </c>
      <c r="D39">
        <f>L39</f>
        <v/>
      </c>
      <c r="E39">
        <f>SUMIFS(J:J, G:G,             A39, H:H, B39, L:L, L39)</f>
        <v/>
      </c>
      <c r="F39" t="inlineStr">
        <is>
          <t>37</t>
        </is>
      </c>
      <c r="G39" t="inlineStr">
        <is>
          <t>景山 朋美</t>
        </is>
      </c>
      <c r="H39" t="inlineStr">
        <is>
          <t>TCNZ001:社内業務等</t>
        </is>
      </c>
      <c r="I39" s="1" t="n">
        <v>45938</v>
      </c>
      <c r="J39" t="n">
        <v>0.5</v>
      </c>
      <c r="K39" t="inlineStr">
        <is>
          <t>各種雑務</t>
        </is>
      </c>
      <c r="L39">
        <f>IFERROR(LEFT(K39,             FIND(",", K39) - 1), "-")</f>
        <v/>
      </c>
      <c r="M39">
        <f>IFERROR(MID(K39,             FIND(",", K39) + 1, LEN(K39) - FIND(",", K39)), K39)</f>
        <v/>
      </c>
      <c r="N39" t="n">
        <v>5</v>
      </c>
      <c r="O39" s="2" t="n"/>
      <c r="P39" s="2" t="inlineStr">
        <is>
          <t>09:00</t>
        </is>
      </c>
      <c r="Q39" t="inlineStr">
        <is>
          <t>09:30</t>
        </is>
      </c>
    </row>
    <row r="40">
      <c r="A40" t="inlineStr">
        <is>
          <t>景山 朋美</t>
        </is>
      </c>
      <c r="B40" t="inlineStr">
        <is>
          <t>TCNZ001:社内業務等</t>
        </is>
      </c>
      <c r="D40">
        <f>L40</f>
        <v/>
      </c>
      <c r="E40">
        <f>SUMIFS(J:J, G:G,             A40, H:H, B40, L:L, L40)</f>
        <v/>
      </c>
      <c r="F40" t="inlineStr">
        <is>
          <t>37</t>
        </is>
      </c>
      <c r="G40" t="inlineStr">
        <is>
          <t>景山 朋美</t>
        </is>
      </c>
      <c r="H40" t="inlineStr">
        <is>
          <t>TCNZ001:社内業務等</t>
        </is>
      </c>
      <c r="I40" s="1" t="n">
        <v>45939</v>
      </c>
      <c r="J40" t="n">
        <v>0.5</v>
      </c>
      <c r="K40" t="inlineStr">
        <is>
          <t>各種雑務</t>
        </is>
      </c>
      <c r="L40">
        <f>IFERROR(LEFT(K40,             FIND(",", K40) - 1), "-")</f>
        <v/>
      </c>
      <c r="M40">
        <f>IFERROR(MID(K40,             FIND(",", K40) + 1, LEN(K40) - FIND(",", K40)), K40)</f>
        <v/>
      </c>
      <c r="N40" t="n">
        <v>5</v>
      </c>
      <c r="O40" s="2" t="n"/>
      <c r="P40" s="2" t="inlineStr">
        <is>
          <t>09:00</t>
        </is>
      </c>
      <c r="Q40" t="inlineStr">
        <is>
          <t>09:30</t>
        </is>
      </c>
    </row>
    <row r="41">
      <c r="A41" t="inlineStr">
        <is>
          <t>景山 朋美</t>
        </is>
      </c>
      <c r="B41" t="inlineStr">
        <is>
          <t>TCNZ001:社内業務等</t>
        </is>
      </c>
      <c r="D41">
        <f>L41</f>
        <v/>
      </c>
      <c r="E41">
        <f>SUMIFS(J:J, G:G,             A41, H:H, B41, L:L, L41)</f>
        <v/>
      </c>
      <c r="F41" t="inlineStr">
        <is>
          <t>37</t>
        </is>
      </c>
      <c r="G41" t="inlineStr">
        <is>
          <t>景山 朋美</t>
        </is>
      </c>
      <c r="H41" t="inlineStr">
        <is>
          <t>TCNZ001:社内業務等</t>
        </is>
      </c>
      <c r="I41" s="1" t="n">
        <v>45944</v>
      </c>
      <c r="J41" t="n">
        <v>0.5</v>
      </c>
      <c r="K41" t="inlineStr">
        <is>
          <t>各種雑務</t>
        </is>
      </c>
      <c r="L41">
        <f>IFERROR(LEFT(K41,             FIND(",", K41) - 1), "-")</f>
        <v/>
      </c>
      <c r="M41">
        <f>IFERROR(MID(K41,             FIND(",", K41) + 1, LEN(K41) - FIND(",", K41)), K41)</f>
        <v/>
      </c>
      <c r="N41" t="n">
        <v>5</v>
      </c>
      <c r="O41" s="2" t="n"/>
      <c r="P41" s="2" t="inlineStr">
        <is>
          <t>09:00</t>
        </is>
      </c>
      <c r="Q41" t="inlineStr">
        <is>
          <t>09:30</t>
        </is>
      </c>
    </row>
    <row r="42">
      <c r="A42" t="inlineStr">
        <is>
          <t>景山 朋美</t>
        </is>
      </c>
      <c r="B42" t="inlineStr">
        <is>
          <t>TCNZ001:社内業務等</t>
        </is>
      </c>
      <c r="D42">
        <f>L42</f>
        <v/>
      </c>
      <c r="E42">
        <f>SUMIFS(J:J, G:G,             A42, H:H, B42, L:L, L42)</f>
        <v/>
      </c>
      <c r="F42" t="inlineStr">
        <is>
          <t>37</t>
        </is>
      </c>
      <c r="G42" t="inlineStr">
        <is>
          <t>景山 朋美</t>
        </is>
      </c>
      <c r="H42" t="inlineStr">
        <is>
          <t>TCNZ001:社内業務等</t>
        </is>
      </c>
      <c r="I42" s="1" t="n">
        <v>45945</v>
      </c>
      <c r="J42" t="n">
        <v>0.5</v>
      </c>
      <c r="K42" t="inlineStr">
        <is>
          <t>各種雑務</t>
        </is>
      </c>
      <c r="L42">
        <f>IFERROR(LEFT(K42,             FIND(",", K42) - 1), "-")</f>
        <v/>
      </c>
      <c r="M42">
        <f>IFERROR(MID(K42,             FIND(",", K42) + 1, LEN(K42) - FIND(",", K42)), K42)</f>
        <v/>
      </c>
      <c r="N42" t="n">
        <v>5</v>
      </c>
      <c r="O42" s="2" t="n"/>
      <c r="P42" s="2" t="inlineStr">
        <is>
          <t>09:00</t>
        </is>
      </c>
      <c r="Q42" t="inlineStr">
        <is>
          <t>09:30</t>
        </is>
      </c>
    </row>
    <row r="43">
      <c r="A43" t="inlineStr">
        <is>
          <t>景山 朋美</t>
        </is>
      </c>
      <c r="B43" t="inlineStr">
        <is>
          <t>TCNZ001:社内業務等</t>
        </is>
      </c>
      <c r="D43">
        <f>L43</f>
        <v/>
      </c>
      <c r="E43">
        <f>SUMIFS(J:J, G:G,             A43, H:H, B43, L:L, L43)</f>
        <v/>
      </c>
      <c r="F43" t="inlineStr">
        <is>
          <t>37</t>
        </is>
      </c>
      <c r="G43" t="inlineStr">
        <is>
          <t>景山 朋美</t>
        </is>
      </c>
      <c r="H43" t="inlineStr">
        <is>
          <t>TCNZ001:社内業務等</t>
        </is>
      </c>
      <c r="I43" s="1" t="n">
        <v>45946</v>
      </c>
      <c r="J43" t="n">
        <v>1</v>
      </c>
      <c r="K43" t="inlineStr">
        <is>
          <t>各種雑務</t>
        </is>
      </c>
      <c r="L43">
        <f>IFERROR(LEFT(K43,             FIND(",", K43) - 1), "-")</f>
        <v/>
      </c>
      <c r="M43">
        <f>IFERROR(MID(K43,             FIND(",", K43) + 1, LEN(K43) - FIND(",", K43)), K43)</f>
        <v/>
      </c>
      <c r="N43" t="n">
        <v>5</v>
      </c>
      <c r="O43" s="2" t="n"/>
      <c r="P43" s="2" t="inlineStr">
        <is>
          <t>09:00</t>
        </is>
      </c>
      <c r="Q43" t="inlineStr">
        <is>
          <t>10:00</t>
        </is>
      </c>
    </row>
    <row r="44">
      <c r="A44" t="inlineStr">
        <is>
          <t>景山 朋美</t>
        </is>
      </c>
      <c r="B44" t="inlineStr">
        <is>
          <t>TCNZ001:社内業務等</t>
        </is>
      </c>
      <c r="D44">
        <f>L44</f>
        <v/>
      </c>
      <c r="E44">
        <f>SUMIFS(J:J, G:G,             A44, H:H, B44, L:L, L44)</f>
        <v/>
      </c>
      <c r="F44" t="inlineStr">
        <is>
          <t>37</t>
        </is>
      </c>
      <c r="G44" t="inlineStr">
        <is>
          <t>景山 朋美</t>
        </is>
      </c>
      <c r="H44" t="inlineStr">
        <is>
          <t>TCNZ001:社内業務等</t>
        </is>
      </c>
      <c r="I44" s="1" t="n">
        <v>45947</v>
      </c>
      <c r="J44" t="n">
        <v>0.5</v>
      </c>
      <c r="K44" t="inlineStr">
        <is>
          <t>各種雑務</t>
        </is>
      </c>
      <c r="L44">
        <f>IFERROR(LEFT(K44,             FIND(",", K44) - 1), "-")</f>
        <v/>
      </c>
      <c r="M44">
        <f>IFERROR(MID(K44,             FIND(",", K44) + 1, LEN(K44) - FIND(",", K44)), K44)</f>
        <v/>
      </c>
      <c r="N44" t="n">
        <v>5</v>
      </c>
      <c r="O44" s="2" t="n"/>
      <c r="P44" s="2" t="inlineStr">
        <is>
          <t>09:00</t>
        </is>
      </c>
      <c r="Q44" t="inlineStr">
        <is>
          <t>09:30</t>
        </is>
      </c>
    </row>
    <row r="45">
      <c r="A45" t="inlineStr">
        <is>
          <t>景山 朋美</t>
        </is>
      </c>
      <c r="B45" t="inlineStr">
        <is>
          <t>TCNZ001:社内業務等</t>
        </is>
      </c>
      <c r="D45">
        <f>L45</f>
        <v/>
      </c>
      <c r="E45">
        <f>SUMIFS(J:J, G:G,             A45, H:H, B45, L:L, L45)</f>
        <v/>
      </c>
      <c r="F45" t="inlineStr">
        <is>
          <t>37</t>
        </is>
      </c>
      <c r="G45" t="inlineStr">
        <is>
          <t>景山 朋美</t>
        </is>
      </c>
      <c r="H45" t="inlineStr">
        <is>
          <t>TCNZ001:社内業務等</t>
        </is>
      </c>
      <c r="I45" s="1" t="n">
        <v>45951</v>
      </c>
      <c r="J45" t="n">
        <v>0.5</v>
      </c>
      <c r="K45" t="inlineStr">
        <is>
          <t>各種雑務</t>
        </is>
      </c>
      <c r="L45">
        <f>IFERROR(LEFT(K45,             FIND(",", K45) - 1), "-")</f>
        <v/>
      </c>
      <c r="M45">
        <f>IFERROR(MID(K45,             FIND(",", K45) + 1, LEN(K45) - FIND(",", K45)), K45)</f>
        <v/>
      </c>
      <c r="N45" t="n">
        <v>5</v>
      </c>
      <c r="O45" s="2" t="n"/>
      <c r="P45" s="2" t="inlineStr">
        <is>
          <t>09:00</t>
        </is>
      </c>
      <c r="Q45" t="inlineStr">
        <is>
          <t>09:30</t>
        </is>
      </c>
    </row>
    <row r="46">
      <c r="A46" t="inlineStr">
        <is>
          <t>景山 朋美</t>
        </is>
      </c>
      <c r="B46" t="inlineStr">
        <is>
          <t>TCNz004:新SMS開発</t>
        </is>
      </c>
      <c r="C46">
        <f>SUMIFS(J:J, G:G,             A46, H:H, B46)</f>
        <v/>
      </c>
      <c r="D46">
        <f>L46</f>
        <v/>
      </c>
      <c r="E46">
        <f>SUMIFS(J:J, G:G,             A46, H:H, B46, L:L, L46)</f>
        <v/>
      </c>
      <c r="F46" t="inlineStr">
        <is>
          <t>37</t>
        </is>
      </c>
      <c r="G46" t="inlineStr">
        <is>
          <t>景山 朋美</t>
        </is>
      </c>
      <c r="H46" t="inlineStr">
        <is>
          <t>TCNz004:新SMS開発</t>
        </is>
      </c>
      <c r="I46" s="1" t="n">
        <v>45933</v>
      </c>
      <c r="J46" t="n">
        <v>2</v>
      </c>
      <c r="K46" t="inlineStr">
        <is>
          <t xml:space="preserve"> API設計</t>
        </is>
      </c>
      <c r="L46">
        <f>IFERROR(LEFT(K46,             FIND(",", K46) - 1), "-")</f>
        <v/>
      </c>
      <c r="M46">
        <f>IFERROR(MID(K46,             FIND(",", K46) + 1, LEN(K46) - FIND(",", K46)), K46)</f>
        <v/>
      </c>
      <c r="N46" t="n">
        <v>5</v>
      </c>
      <c r="O46" s="2" t="n"/>
      <c r="P46" s="2" t="inlineStr">
        <is>
          <t>13:00</t>
        </is>
      </c>
      <c r="Q46" t="inlineStr">
        <is>
          <t>15:00</t>
        </is>
      </c>
    </row>
    <row r="47">
      <c r="A47" t="inlineStr">
        <is>
          <t>景山 朋美</t>
        </is>
      </c>
      <c r="B47" t="inlineStr">
        <is>
          <t>TCNz004:新SMS開発</t>
        </is>
      </c>
      <c r="D47">
        <f>L47</f>
        <v/>
      </c>
      <c r="E47">
        <f>SUMIFS(J:J, G:G,             A47, H:H, B47, L:L, L47)</f>
        <v/>
      </c>
      <c r="F47" t="inlineStr">
        <is>
          <t>37</t>
        </is>
      </c>
      <c r="G47" t="inlineStr">
        <is>
          <t>景山 朋美</t>
        </is>
      </c>
      <c r="H47" t="inlineStr">
        <is>
          <t>TCNz004:新SMS開発</t>
        </is>
      </c>
      <c r="I47" s="1" t="n">
        <v>45944</v>
      </c>
      <c r="J47" t="n">
        <v>3</v>
      </c>
      <c r="K47" t="inlineStr">
        <is>
          <t xml:space="preserve"> Tframe設計_レビュー後対応</t>
        </is>
      </c>
      <c r="L47">
        <f>IFERROR(LEFT(K47,             FIND(",", K47) - 1), "-")</f>
        <v/>
      </c>
      <c r="M47">
        <f>IFERROR(MID(K47,             FIND(",", K47) + 1, LEN(K47) - FIND(",", K47)), K47)</f>
        <v/>
      </c>
      <c r="N47" t="n">
        <v>5</v>
      </c>
      <c r="O47" s="2" t="n"/>
      <c r="P47" s="2" t="inlineStr">
        <is>
          <t>13:00</t>
        </is>
      </c>
      <c r="Q47" t="inlineStr">
        <is>
          <t>16:00</t>
        </is>
      </c>
    </row>
    <row r="48">
      <c r="A48" t="inlineStr">
        <is>
          <t>景山 朋美</t>
        </is>
      </c>
      <c r="B48" t="inlineStr">
        <is>
          <t>TCNz004:新SMS開発</t>
        </is>
      </c>
      <c r="D48">
        <f>L48</f>
        <v/>
      </c>
      <c r="E48">
        <f>SUMIFS(J:J, G:G,             A48, H:H, B48, L:L, L48)</f>
        <v/>
      </c>
      <c r="F48" t="inlineStr">
        <is>
          <t>37</t>
        </is>
      </c>
      <c r="G48" t="inlineStr">
        <is>
          <t>景山 朋美</t>
        </is>
      </c>
      <c r="H48" t="inlineStr">
        <is>
          <t>TCNz004:新SMS開発</t>
        </is>
      </c>
      <c r="I48" s="1" t="n">
        <v>45932</v>
      </c>
      <c r="J48" t="n">
        <v>0.5</v>
      </c>
      <c r="K48" t="inlineStr">
        <is>
          <t>API設計</t>
        </is>
      </c>
      <c r="L48">
        <f>IFERROR(LEFT(K48,             FIND(",", K48) - 1), "-")</f>
        <v/>
      </c>
      <c r="M48">
        <f>IFERROR(MID(K48,             FIND(",", K48) + 1, LEN(K48) - FIND(",", K48)), K48)</f>
        <v/>
      </c>
      <c r="N48" t="n">
        <v>5</v>
      </c>
      <c r="O48" s="2" t="n"/>
      <c r="P48" s="2" t="inlineStr">
        <is>
          <t>09:30</t>
        </is>
      </c>
      <c r="Q48" t="inlineStr">
        <is>
          <t>10:00</t>
        </is>
      </c>
    </row>
    <row r="49">
      <c r="A49" t="inlineStr">
        <is>
          <t>景山 朋美</t>
        </is>
      </c>
      <c r="B49" t="inlineStr">
        <is>
          <t>TCNz004:新SMS開発</t>
        </is>
      </c>
      <c r="D49">
        <f>L49</f>
        <v/>
      </c>
      <c r="E49">
        <f>SUMIFS(J:J, G:G,             A49, H:H, B49, L:L, L49)</f>
        <v/>
      </c>
      <c r="F49" t="inlineStr">
        <is>
          <t>37</t>
        </is>
      </c>
      <c r="G49" t="inlineStr">
        <is>
          <t>景山 朋美</t>
        </is>
      </c>
      <c r="H49" t="inlineStr">
        <is>
          <t>TCNz004:新SMS開発</t>
        </is>
      </c>
      <c r="I49" s="1" t="n">
        <v>45938</v>
      </c>
      <c r="J49" t="n">
        <v>2.5</v>
      </c>
      <c r="K49" t="inlineStr">
        <is>
          <t>API設計書</t>
        </is>
      </c>
      <c r="L49">
        <f>IFERROR(LEFT(K49,             FIND(",", K49) - 1), "-")</f>
        <v/>
      </c>
      <c r="M49">
        <f>IFERROR(MID(K49,             FIND(",", K49) + 1, LEN(K49) - FIND(",", K49)), K49)</f>
        <v/>
      </c>
      <c r="N49" t="n">
        <v>5</v>
      </c>
      <c r="O49" s="2" t="n"/>
      <c r="P49" s="2" t="inlineStr">
        <is>
          <t>09:30</t>
        </is>
      </c>
      <c r="Q49" t="inlineStr">
        <is>
          <t>12:00</t>
        </is>
      </c>
    </row>
    <row r="50">
      <c r="A50" t="inlineStr">
        <is>
          <t>景山 朋美</t>
        </is>
      </c>
      <c r="B50" t="inlineStr">
        <is>
          <t>TCNz004:新SMS開発</t>
        </is>
      </c>
      <c r="D50">
        <f>L50</f>
        <v/>
      </c>
      <c r="E50">
        <f>SUMIFS(J:J, G:G,             A50, H:H, B50, L:L, L50)</f>
        <v/>
      </c>
      <c r="F50" t="inlineStr">
        <is>
          <t>37</t>
        </is>
      </c>
      <c r="G50" t="inlineStr">
        <is>
          <t>景山 朋美</t>
        </is>
      </c>
      <c r="H50" t="inlineStr">
        <is>
          <t>TCNz004:新SMS開発</t>
        </is>
      </c>
      <c r="I50" s="1" t="n">
        <v>45938</v>
      </c>
      <c r="J50" t="n">
        <v>5</v>
      </c>
      <c r="K50" t="inlineStr">
        <is>
          <t>API設計書</t>
        </is>
      </c>
      <c r="L50">
        <f>IFERROR(LEFT(K50,             FIND(",", K50) - 1), "-")</f>
        <v/>
      </c>
      <c r="M50">
        <f>IFERROR(MID(K50,             FIND(",", K50) + 1, LEN(K50) - FIND(",", K50)), K50)</f>
        <v/>
      </c>
      <c r="N50" t="n">
        <v>5</v>
      </c>
      <c r="O50" s="2" t="n"/>
      <c r="P50" s="2" t="inlineStr">
        <is>
          <t>13:00</t>
        </is>
      </c>
      <c r="Q50" t="inlineStr">
        <is>
          <t>18:00</t>
        </is>
      </c>
    </row>
    <row r="51">
      <c r="A51" t="inlineStr">
        <is>
          <t>景山 朋美</t>
        </is>
      </c>
      <c r="B51" t="inlineStr">
        <is>
          <t>TCNz004:新SMS開発</t>
        </is>
      </c>
      <c r="D51">
        <f>L51</f>
        <v/>
      </c>
      <c r="E51">
        <f>SUMIFS(J:J, G:G,             A51, H:H, B51, L:L, L51)</f>
        <v/>
      </c>
      <c r="F51" t="inlineStr">
        <is>
          <t>37</t>
        </is>
      </c>
      <c r="G51" t="inlineStr">
        <is>
          <t>景山 朋美</t>
        </is>
      </c>
      <c r="H51" t="inlineStr">
        <is>
          <t>TCNz004:新SMS開発</t>
        </is>
      </c>
      <c r="I51" s="1" t="n">
        <v>45939</v>
      </c>
      <c r="J51" t="n">
        <v>0.5</v>
      </c>
      <c r="K51" t="inlineStr">
        <is>
          <t>API設計書</t>
        </is>
      </c>
      <c r="L51">
        <f>IFERROR(LEFT(K51,             FIND(",", K51) - 1), "-")</f>
        <v/>
      </c>
      <c r="M51">
        <f>IFERROR(MID(K51,             FIND(",", K51) + 1, LEN(K51) - FIND(",", K51)), K51)</f>
        <v/>
      </c>
      <c r="N51" t="n">
        <v>5</v>
      </c>
      <c r="O51" s="2" t="n"/>
      <c r="P51" s="2" t="inlineStr">
        <is>
          <t>09:30</t>
        </is>
      </c>
      <c r="Q51" t="inlineStr">
        <is>
          <t>10:00</t>
        </is>
      </c>
    </row>
    <row r="52">
      <c r="A52" t="inlineStr">
        <is>
          <t>景山 朋美</t>
        </is>
      </c>
      <c r="B52" t="inlineStr">
        <is>
          <t>TCNz004:新SMS開発</t>
        </is>
      </c>
      <c r="D52">
        <f>L52</f>
        <v/>
      </c>
      <c r="E52">
        <f>SUMIFS(J:J, G:G,             A52, H:H, B52, L:L, L52)</f>
        <v/>
      </c>
      <c r="F52" t="inlineStr">
        <is>
          <t>37</t>
        </is>
      </c>
      <c r="G52" t="inlineStr">
        <is>
          <t>景山 朋美</t>
        </is>
      </c>
      <c r="H52" t="inlineStr">
        <is>
          <t>TCNz004:新SMS開発</t>
        </is>
      </c>
      <c r="I52" s="1" t="n">
        <v>45939</v>
      </c>
      <c r="J52" t="n">
        <v>1</v>
      </c>
      <c r="K52" t="inlineStr">
        <is>
          <t>API設計書</t>
        </is>
      </c>
      <c r="L52">
        <f>IFERROR(LEFT(K52,             FIND(",", K52) - 1), "-")</f>
        <v/>
      </c>
      <c r="M52">
        <f>IFERROR(MID(K52,             FIND(",", K52) + 1, LEN(K52) - FIND(",", K52)), K52)</f>
        <v/>
      </c>
      <c r="N52" t="n">
        <v>5</v>
      </c>
      <c r="O52" s="2" t="n"/>
      <c r="P52" s="2" t="inlineStr">
        <is>
          <t>11:00</t>
        </is>
      </c>
      <c r="Q52" t="inlineStr">
        <is>
          <t>12:00</t>
        </is>
      </c>
    </row>
    <row r="53">
      <c r="A53" t="inlineStr">
        <is>
          <t>景山 朋美</t>
        </is>
      </c>
      <c r="B53" t="inlineStr">
        <is>
          <t>TCNz004:新SMS開発</t>
        </is>
      </c>
      <c r="D53">
        <f>L53</f>
        <v/>
      </c>
      <c r="E53">
        <f>SUMIFS(J:J, G:G,             A53, H:H, B53, L:L, L53)</f>
        <v/>
      </c>
      <c r="F53" t="inlineStr">
        <is>
          <t>37</t>
        </is>
      </c>
      <c r="G53" t="inlineStr">
        <is>
          <t>景山 朋美</t>
        </is>
      </c>
      <c r="H53" t="inlineStr">
        <is>
          <t>TCNz004:新SMS開発</t>
        </is>
      </c>
      <c r="I53" s="1" t="n">
        <v>45939</v>
      </c>
      <c r="J53" t="n">
        <v>1</v>
      </c>
      <c r="K53" t="inlineStr">
        <is>
          <t>API設計書</t>
        </is>
      </c>
      <c r="L53">
        <f>IFERROR(LEFT(K53,             FIND(",", K53) - 1), "-")</f>
        <v/>
      </c>
      <c r="M53">
        <f>IFERROR(MID(K53,             FIND(",", K53) + 1, LEN(K53) - FIND(",", K53)), K53)</f>
        <v/>
      </c>
      <c r="N53" t="n">
        <v>5</v>
      </c>
      <c r="O53" s="2" t="n"/>
      <c r="P53" s="2" t="inlineStr">
        <is>
          <t>12:00</t>
        </is>
      </c>
      <c r="Q53" t="inlineStr">
        <is>
          <t>13:00</t>
        </is>
      </c>
    </row>
    <row r="54">
      <c r="A54" t="inlineStr">
        <is>
          <t>景山 朋美</t>
        </is>
      </c>
      <c r="B54" t="inlineStr">
        <is>
          <t>TCNz004:新SMS開発</t>
        </is>
      </c>
      <c r="D54">
        <f>L54</f>
        <v/>
      </c>
      <c r="E54">
        <f>SUMIFS(J:J, G:G,             A54, H:H, B54, L:L, L54)</f>
        <v/>
      </c>
      <c r="F54" t="inlineStr">
        <is>
          <t>37</t>
        </is>
      </c>
      <c r="G54" t="inlineStr">
        <is>
          <t>景山 朋美</t>
        </is>
      </c>
      <c r="H54" t="inlineStr">
        <is>
          <t>TCNz004:新SMS開発</t>
        </is>
      </c>
      <c r="I54" s="1" t="n">
        <v>45945</v>
      </c>
      <c r="J54" t="n">
        <v>2.5</v>
      </c>
      <c r="K54" t="inlineStr">
        <is>
          <t>Tframe_設計書</t>
        </is>
      </c>
      <c r="L54">
        <f>IFERROR(LEFT(K54,             FIND(",", K54) - 1), "-")</f>
        <v/>
      </c>
      <c r="M54">
        <f>IFERROR(MID(K54,             FIND(",", K54) + 1, LEN(K54) - FIND(",", K54)), K54)</f>
        <v/>
      </c>
      <c r="N54" t="n">
        <v>5</v>
      </c>
      <c r="O54" s="2" t="n"/>
      <c r="P54" s="2" t="inlineStr">
        <is>
          <t>09:30</t>
        </is>
      </c>
      <c r="Q54" t="inlineStr">
        <is>
          <t>12:00</t>
        </is>
      </c>
    </row>
    <row r="55">
      <c r="A55" t="inlineStr">
        <is>
          <t>景山 朋美</t>
        </is>
      </c>
      <c r="B55" t="inlineStr">
        <is>
          <t>TCNz004:新SMS開発</t>
        </is>
      </c>
      <c r="D55">
        <f>L55</f>
        <v/>
      </c>
      <c r="E55">
        <f>SUMIFS(J:J, G:G,             A55, H:H, B55, L:L, L55)</f>
        <v/>
      </c>
      <c r="F55" t="inlineStr">
        <is>
          <t>37</t>
        </is>
      </c>
      <c r="G55" t="inlineStr">
        <is>
          <t>景山 朋美</t>
        </is>
      </c>
      <c r="H55" t="inlineStr">
        <is>
          <t>TCNz004:新SMS開発</t>
        </is>
      </c>
      <c r="I55" s="1" t="n">
        <v>45945</v>
      </c>
      <c r="J55" t="n">
        <v>5</v>
      </c>
      <c r="K55" t="inlineStr">
        <is>
          <t>Tframe_設計書</t>
        </is>
      </c>
      <c r="L55">
        <f>IFERROR(LEFT(K55,             FIND(",", K55) - 1), "-")</f>
        <v/>
      </c>
      <c r="M55">
        <f>IFERROR(MID(K55,             FIND(",", K55) + 1, LEN(K55) - FIND(",", K55)), K55)</f>
        <v/>
      </c>
      <c r="N55" t="n">
        <v>5</v>
      </c>
      <c r="O55" s="2" t="n"/>
      <c r="P55" s="2" t="inlineStr">
        <is>
          <t>13:00</t>
        </is>
      </c>
      <c r="Q55" t="inlineStr">
        <is>
          <t>18:00</t>
        </is>
      </c>
    </row>
    <row r="56">
      <c r="A56" t="inlineStr">
        <is>
          <t>景山 朋美</t>
        </is>
      </c>
      <c r="B56" t="inlineStr">
        <is>
          <t>TCNz004:新SMS開発</t>
        </is>
      </c>
      <c r="D56">
        <f>L56</f>
        <v/>
      </c>
      <c r="E56">
        <f>SUMIFS(J:J, G:G,             A56, H:H, B56, L:L, L56)</f>
        <v/>
      </c>
      <c r="F56" t="inlineStr">
        <is>
          <t>37</t>
        </is>
      </c>
      <c r="G56" t="inlineStr">
        <is>
          <t>景山 朋美</t>
        </is>
      </c>
      <c r="H56" t="inlineStr">
        <is>
          <t>TCNz004:新SMS開発</t>
        </is>
      </c>
      <c r="I56" s="1" t="n">
        <v>45950</v>
      </c>
      <c r="J56" t="n">
        <v>2</v>
      </c>
      <c r="K56" t="inlineStr">
        <is>
          <t>テストデータ準備</t>
        </is>
      </c>
      <c r="L56">
        <f>IFERROR(LEFT(K56,             FIND(",", K56) - 1), "-")</f>
        <v/>
      </c>
      <c r="M56">
        <f>IFERROR(MID(K56,             FIND(",", K56) + 1, LEN(K56) - FIND(",", K56)), K56)</f>
        <v/>
      </c>
      <c r="N56" t="n">
        <v>5</v>
      </c>
      <c r="O56" s="2" t="n"/>
      <c r="P56" s="2" t="inlineStr">
        <is>
          <t>13:00</t>
        </is>
      </c>
      <c r="Q56" t="inlineStr">
        <is>
          <t>15:00</t>
        </is>
      </c>
    </row>
    <row r="57">
      <c r="A57" t="inlineStr">
        <is>
          <t>景山 朋美</t>
        </is>
      </c>
      <c r="B57" t="inlineStr">
        <is>
          <t>TCNz004:新SMS開発</t>
        </is>
      </c>
      <c r="D57">
        <f>L57</f>
        <v/>
      </c>
      <c r="E57">
        <f>SUMIFS(J:J, G:G,             A57, H:H, B57, L:L, L57)</f>
        <v/>
      </c>
      <c r="F57" t="inlineStr">
        <is>
          <t>37</t>
        </is>
      </c>
      <c r="G57" t="inlineStr">
        <is>
          <t>景山 朋美</t>
        </is>
      </c>
      <c r="H57" t="inlineStr">
        <is>
          <t>TCNz004:新SMS開発</t>
        </is>
      </c>
      <c r="I57" s="1" t="n">
        <v>45937</v>
      </c>
      <c r="J57" t="n">
        <v>3</v>
      </c>
      <c r="K57" t="inlineStr">
        <is>
          <t>設計:Tframe</t>
        </is>
      </c>
      <c r="L57">
        <f>IFERROR(LEFT(K57,             FIND(",", K57) - 1), "-")</f>
        <v/>
      </c>
      <c r="M57">
        <f>IFERROR(MID(K57,             FIND(",", K57) + 1, LEN(K57) - FIND(",", K57)), K57)</f>
        <v/>
      </c>
      <c r="N57" t="n">
        <v>5</v>
      </c>
      <c r="O57" s="2" t="n"/>
      <c r="P57" s="2" t="inlineStr">
        <is>
          <t>15:00</t>
        </is>
      </c>
      <c r="Q57" t="inlineStr">
        <is>
          <t>18:00</t>
        </is>
      </c>
    </row>
    <row r="58">
      <c r="O58" s="2" t="n"/>
      <c r="P58" s="2" t="n"/>
    </row>
    <row r="59">
      <c r="O59" s="2" t="n"/>
      <c r="P59" s="2" t="n"/>
    </row>
    <row r="60">
      <c r="O60" s="2" t="n"/>
      <c r="P60" s="2" t="n"/>
    </row>
    <row r="61">
      <c r="O61" s="2" t="n"/>
      <c r="P61" s="2" t="n"/>
    </row>
    <row r="62">
      <c r="O62" s="2" t="n"/>
      <c r="P62" s="2" t="n"/>
    </row>
    <row r="63">
      <c r="O63" s="2" t="n"/>
      <c r="P63" s="2" t="n"/>
    </row>
    <row r="64">
      <c r="O64" s="2" t="n"/>
      <c r="P64" s="2" t="n"/>
    </row>
    <row r="65">
      <c r="O65" s="2" t="n"/>
      <c r="P65" s="2" t="n"/>
    </row>
    <row r="66">
      <c r="O66" s="2" t="n"/>
      <c r="P66" s="2" t="n"/>
    </row>
    <row r="67">
      <c r="O67" s="2" t="n"/>
      <c r="P67" s="2" t="n"/>
    </row>
    <row r="68">
      <c r="O68" s="2" t="n"/>
      <c r="P68" s="2" t="n"/>
    </row>
    <row r="69">
      <c r="O69" s="2" t="n"/>
      <c r="P69" s="2" t="n"/>
    </row>
    <row r="70">
      <c r="O70" s="2" t="n"/>
      <c r="P70" s="2" t="n"/>
    </row>
    <row r="71">
      <c r="O71" s="2" t="n"/>
      <c r="P71" s="2" t="n"/>
    </row>
    <row r="72">
      <c r="O72" s="2" t="n"/>
      <c r="P72" s="2" t="n"/>
    </row>
    <row r="73">
      <c r="O73" s="2" t="n"/>
      <c r="P73" s="2" t="n"/>
    </row>
    <row r="74">
      <c r="O74" s="2" t="n"/>
      <c r="P74" s="2" t="n"/>
    </row>
    <row r="75">
      <c r="O75" s="2" t="n"/>
      <c r="P75" s="2" t="n"/>
    </row>
    <row r="76">
      <c r="O76" s="2" t="n"/>
      <c r="P76" s="2" t="n"/>
    </row>
    <row r="77">
      <c r="O77" s="2" t="n"/>
      <c r="P77" s="2" t="n"/>
    </row>
    <row r="78">
      <c r="O78" s="2" t="n"/>
      <c r="P78" s="2" t="n"/>
    </row>
    <row r="79">
      <c r="O79" s="2" t="n"/>
      <c r="P79" s="2" t="n"/>
    </row>
    <row r="80">
      <c r="O80" s="2" t="n"/>
      <c r="P80" s="2" t="n"/>
    </row>
    <row r="81">
      <c r="O81" s="2" t="n"/>
      <c r="P81" s="2" t="n"/>
    </row>
    <row r="82">
      <c r="O82" s="2" t="n"/>
      <c r="P82" s="2" t="n"/>
    </row>
    <row r="83">
      <c r="O83" s="2" t="n"/>
      <c r="P83" s="2" t="n"/>
    </row>
    <row r="84">
      <c r="O84" s="2" t="n"/>
      <c r="P84" s="2" t="n"/>
    </row>
    <row r="85">
      <c r="O85" s="2" t="n"/>
      <c r="P85" s="2" t="n"/>
    </row>
    <row r="86">
      <c r="O86" s="2" t="n"/>
      <c r="P86" s="2" t="n"/>
    </row>
    <row r="87">
      <c r="O87" s="2" t="n"/>
      <c r="P87" s="2" t="n"/>
    </row>
    <row r="88">
      <c r="O88" s="2" t="n"/>
      <c r="P88" s="2" t="n"/>
    </row>
    <row r="89">
      <c r="O89" s="2" t="n"/>
      <c r="P89" s="2" t="n"/>
    </row>
    <row r="90">
      <c r="O90" s="2" t="n"/>
      <c r="P90" s="2" t="n"/>
    </row>
    <row r="91">
      <c r="O91" s="2" t="n"/>
      <c r="P91" s="2" t="n"/>
    </row>
    <row r="92">
      <c r="O92" s="2" t="n"/>
      <c r="P92" s="2" t="n"/>
    </row>
    <row r="93">
      <c r="O93" s="2" t="n"/>
      <c r="P93" s="2" t="n"/>
    </row>
    <row r="94">
      <c r="O94" s="2" t="n"/>
      <c r="P94" s="2" t="n"/>
    </row>
    <row r="95">
      <c r="O95" s="2" t="n"/>
      <c r="P95" s="2" t="n"/>
    </row>
    <row r="96">
      <c r="O96" s="2" t="n"/>
      <c r="P96" s="2" t="n"/>
    </row>
    <row r="97">
      <c r="O97" s="2" t="n"/>
      <c r="P97" s="2" t="n"/>
    </row>
    <row r="98">
      <c r="O98" s="2" t="n"/>
      <c r="P98" s="2" t="n"/>
    </row>
    <row r="99">
      <c r="O99" s="2" t="n"/>
      <c r="P99" s="2" t="n"/>
    </row>
    <row r="100">
      <c r="O100" s="2" t="n"/>
      <c r="P100" s="2" t="n"/>
    </row>
    <row r="101">
      <c r="O101" s="2" t="n"/>
      <c r="P101" s="2" t="n"/>
    </row>
    <row r="102">
      <c r="O102" s="2" t="n"/>
      <c r="P102" s="2" t="n"/>
    </row>
    <row r="103">
      <c r="O103" s="2" t="n"/>
      <c r="P103" s="2" t="n"/>
    </row>
    <row r="104">
      <c r="O104" s="2" t="n"/>
      <c r="P104" s="2" t="n"/>
    </row>
    <row r="105">
      <c r="O105" s="2" t="n"/>
      <c r="P105" s="2" t="n"/>
    </row>
    <row r="106">
      <c r="O106" s="2" t="n"/>
      <c r="P106" s="2" t="n"/>
    </row>
    <row r="107">
      <c r="O107" s="2" t="n"/>
      <c r="P107" s="2" t="n"/>
    </row>
    <row r="108">
      <c r="O108" s="2" t="n"/>
      <c r="P108" s="2" t="n"/>
    </row>
    <row r="109">
      <c r="O109" s="2" t="n"/>
      <c r="P109" s="2" t="n"/>
    </row>
    <row r="110">
      <c r="O110" s="2" t="n"/>
      <c r="P110" s="2" t="n"/>
    </row>
    <row r="111">
      <c r="O111" s="2" t="n"/>
      <c r="P111" s="2" t="n"/>
    </row>
    <row r="112">
      <c r="O112" s="2" t="n"/>
      <c r="P112" s="2" t="n"/>
    </row>
    <row r="113">
      <c r="O113" s="2" t="n"/>
      <c r="P113" s="2" t="n"/>
    </row>
    <row r="114">
      <c r="O114" s="2" t="n"/>
      <c r="P114" s="2" t="n"/>
    </row>
    <row r="115">
      <c r="O115" s="2" t="n"/>
      <c r="P115" s="2" t="n"/>
    </row>
    <row r="116">
      <c r="O116" s="2" t="n"/>
      <c r="P116" s="2" t="n"/>
    </row>
    <row r="117">
      <c r="O117" s="2" t="n"/>
      <c r="P117" s="2" t="n"/>
    </row>
    <row r="118">
      <c r="O118" s="2" t="n"/>
      <c r="P118" s="2" t="n"/>
    </row>
    <row r="119">
      <c r="O119" s="2" t="n"/>
      <c r="P119" s="2" t="n"/>
    </row>
    <row r="120">
      <c r="O120" s="2" t="n"/>
      <c r="P120" s="2" t="n"/>
    </row>
    <row r="121">
      <c r="O121" s="2" t="n"/>
      <c r="P121" s="2" t="n"/>
    </row>
    <row r="122">
      <c r="O122" s="2" t="n"/>
      <c r="P122" s="2" t="n"/>
    </row>
    <row r="123">
      <c r="O123" s="2" t="n"/>
      <c r="P123" s="2" t="n"/>
    </row>
    <row r="124">
      <c r="O124" s="2" t="n"/>
      <c r="P124" s="2" t="n"/>
    </row>
    <row r="125">
      <c r="O125" s="2" t="n"/>
      <c r="P125" s="2" t="n"/>
    </row>
    <row r="126">
      <c r="O126" s="2" t="n"/>
      <c r="P126" s="2" t="n"/>
    </row>
    <row r="127">
      <c r="O127" s="2" t="n"/>
      <c r="P127" s="2" t="n"/>
    </row>
    <row r="128">
      <c r="O128" s="2" t="n"/>
      <c r="P128" s="2" t="n"/>
    </row>
    <row r="129">
      <c r="O129" s="2" t="n"/>
      <c r="P129" s="2" t="n"/>
    </row>
    <row r="130">
      <c r="O130" s="2" t="n"/>
      <c r="P130" s="2" t="n"/>
    </row>
    <row r="131">
      <c r="O131" s="2" t="n"/>
      <c r="P131" s="2" t="n"/>
    </row>
    <row r="132">
      <c r="O132" s="2" t="n"/>
      <c r="P132" s="2" t="n"/>
    </row>
    <row r="133">
      <c r="O133" s="2" t="n"/>
      <c r="P133" s="2" t="n"/>
    </row>
    <row r="134">
      <c r="O134" s="2" t="n"/>
      <c r="P134" s="2" t="n"/>
    </row>
    <row r="135">
      <c r="O135" s="2" t="n"/>
      <c r="P135" s="2" t="n"/>
    </row>
    <row r="136">
      <c r="O136" s="2" t="n"/>
      <c r="P136" s="2" t="n"/>
    </row>
    <row r="137">
      <c r="O137" s="2" t="n"/>
      <c r="P137" s="2" t="n"/>
    </row>
    <row r="138">
      <c r="O138" s="2" t="n"/>
      <c r="P138" s="2" t="n"/>
    </row>
    <row r="139">
      <c r="O139" s="2" t="n"/>
      <c r="P139" s="2" t="n"/>
    </row>
    <row r="140">
      <c r="O140" s="2" t="n"/>
      <c r="P140" s="2" t="n"/>
    </row>
    <row r="141">
      <c r="O141" s="2" t="n"/>
      <c r="P141" s="2" t="n"/>
    </row>
    <row r="142">
      <c r="O142" s="2" t="n"/>
      <c r="P142" s="2" t="n"/>
    </row>
    <row r="143">
      <c r="O143" s="2" t="n"/>
      <c r="P143" s="2" t="n"/>
    </row>
    <row r="144">
      <c r="O144" s="2" t="n"/>
      <c r="P144" s="2" t="n"/>
    </row>
    <row r="145">
      <c r="O145" s="2" t="n"/>
      <c r="P145" s="2" t="n"/>
    </row>
    <row r="146">
      <c r="O146" s="2" t="n"/>
      <c r="P146" s="2" t="n"/>
    </row>
    <row r="147">
      <c r="O147" s="2" t="n"/>
      <c r="P147" s="2" t="n"/>
    </row>
    <row r="148">
      <c r="O148" s="2" t="n"/>
      <c r="P148" s="2" t="n"/>
    </row>
    <row r="149">
      <c r="O149" s="2" t="n"/>
      <c r="P149" s="2" t="n"/>
    </row>
    <row r="150">
      <c r="O150" s="2" t="n"/>
      <c r="P150" s="2" t="n"/>
    </row>
    <row r="151">
      <c r="O151" s="2" t="n"/>
      <c r="P151" s="2" t="n"/>
    </row>
    <row r="152">
      <c r="O152" s="2" t="n"/>
      <c r="P152" s="2" t="n"/>
    </row>
    <row r="153">
      <c r="O153" s="2" t="n"/>
      <c r="P153" s="2" t="n"/>
    </row>
    <row r="154">
      <c r="O154" s="2" t="n"/>
      <c r="P154" s="2" t="n"/>
    </row>
    <row r="155">
      <c r="O155" s="2" t="n"/>
      <c r="P155" s="2" t="n"/>
    </row>
    <row r="156">
      <c r="O156" s="2" t="n"/>
      <c r="P156" s="2" t="n"/>
    </row>
    <row r="157">
      <c r="O157" s="2" t="n"/>
      <c r="P157" s="2" t="n"/>
    </row>
    <row r="158">
      <c r="O158" s="2" t="n"/>
      <c r="P158" s="2" t="n"/>
    </row>
    <row r="159">
      <c r="O159" s="2" t="n"/>
      <c r="P159" s="2" t="n"/>
    </row>
    <row r="160">
      <c r="O160" s="2" t="n"/>
      <c r="P160" s="2" t="n"/>
    </row>
    <row r="161">
      <c r="O161" s="2" t="n"/>
      <c r="P161" s="2" t="n"/>
    </row>
    <row r="162">
      <c r="O162" s="2" t="n"/>
      <c r="P162" s="2" t="n"/>
    </row>
    <row r="163">
      <c r="O163" s="2" t="n"/>
      <c r="P163" s="2" t="n"/>
    </row>
    <row r="164">
      <c r="O164" s="2" t="n"/>
      <c r="P164" s="2" t="n"/>
    </row>
    <row r="165">
      <c r="O165" s="2" t="n"/>
      <c r="P165" s="2" t="n"/>
    </row>
    <row r="166">
      <c r="O166" s="2" t="n"/>
      <c r="P166" s="2" t="n"/>
    </row>
    <row r="167">
      <c r="O167" s="2" t="n"/>
      <c r="P167" s="2" t="n"/>
    </row>
    <row r="168">
      <c r="O168" s="2" t="n"/>
      <c r="P168" s="2" t="n"/>
    </row>
    <row r="169">
      <c r="O169" s="2" t="n"/>
      <c r="P169" s="2" t="n"/>
    </row>
    <row r="170">
      <c r="O170" s="2" t="n"/>
      <c r="P170" s="2" t="n"/>
    </row>
    <row r="171">
      <c r="O171" s="2" t="n"/>
      <c r="P171" s="2" t="n"/>
    </row>
    <row r="172">
      <c r="O172" s="2" t="n"/>
      <c r="P172" s="2" t="n"/>
    </row>
    <row r="173">
      <c r="O173" s="2" t="n"/>
      <c r="P173" s="2" t="n"/>
    </row>
    <row r="174">
      <c r="O174" s="2" t="n"/>
      <c r="P174" s="2" t="n"/>
    </row>
    <row r="175">
      <c r="O175" s="2" t="n"/>
      <c r="P175" s="2" t="n"/>
    </row>
    <row r="176">
      <c r="O176" s="2" t="n"/>
      <c r="P176" s="2" t="n"/>
    </row>
    <row r="177">
      <c r="O177" s="2" t="n"/>
      <c r="P177" s="2" t="n"/>
    </row>
    <row r="178">
      <c r="O178" s="2" t="n"/>
      <c r="P178" s="2" t="n"/>
    </row>
    <row r="179">
      <c r="O179" s="2" t="n"/>
      <c r="P179" s="2" t="n"/>
    </row>
    <row r="180">
      <c r="O180" s="2" t="n"/>
      <c r="P180" s="2" t="n"/>
    </row>
    <row r="181">
      <c r="O181" s="2" t="n"/>
      <c r="P181" s="2" t="n"/>
    </row>
    <row r="182">
      <c r="O182" s="2" t="n"/>
      <c r="P182" s="2" t="n"/>
    </row>
    <row r="183">
      <c r="O183" s="2" t="n"/>
      <c r="P183" s="2" t="n"/>
    </row>
    <row r="184">
      <c r="O184" s="2" t="n"/>
      <c r="P184" s="2" t="n"/>
    </row>
    <row r="185">
      <c r="O185" s="2" t="n"/>
      <c r="P185" s="2" t="n"/>
    </row>
    <row r="186">
      <c r="O186" s="2" t="n"/>
      <c r="P186" s="2" t="n"/>
    </row>
    <row r="187">
      <c r="O187" s="2" t="n"/>
      <c r="P187" s="2" t="n"/>
    </row>
    <row r="188">
      <c r="O188" s="2" t="n"/>
      <c r="P188" s="2" t="n"/>
    </row>
    <row r="189">
      <c r="O189" s="2" t="n"/>
      <c r="P189" s="2" t="n"/>
    </row>
    <row r="190">
      <c r="O190" s="2" t="n"/>
      <c r="P190" s="2" t="n"/>
    </row>
    <row r="191">
      <c r="O191" s="2" t="n"/>
      <c r="P191" s="2" t="n"/>
    </row>
    <row r="192">
      <c r="O192" s="2" t="n"/>
      <c r="P192" s="2" t="n"/>
    </row>
    <row r="193">
      <c r="O193" s="2" t="n"/>
      <c r="P193" s="2" t="n"/>
    </row>
    <row r="194">
      <c r="O194" s="2" t="n"/>
      <c r="P194" s="2" t="n"/>
    </row>
    <row r="195">
      <c r="O195" s="2" t="n"/>
      <c r="P195" s="2" t="n"/>
    </row>
    <row r="196">
      <c r="O196" s="2" t="n"/>
      <c r="P196" s="2" t="n"/>
    </row>
    <row r="197">
      <c r="O197" s="2" t="n"/>
      <c r="P197" s="2" t="n"/>
    </row>
    <row r="198">
      <c r="O198" s="2" t="n"/>
      <c r="P198" s="2" t="n"/>
    </row>
    <row r="199">
      <c r="O199" s="2" t="n"/>
      <c r="P1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2025-10-24T01:47:04Z</dcterms:created>
  <dcterms:modified xsi:type="dcterms:W3CDTF">2025-10-24T01:47:05Z</dcterms:modified>
</cp:coreProperties>
</file>