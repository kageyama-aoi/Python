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essed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009999"/>
        <bgColor rgb="00009999"/>
      </patternFill>
    </fill>
    <fill>
      <patternFill patternType="solid">
        <fgColor rgb="00B8CCE4"/>
        <bgColor rgb="00B8CC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.4" customWidth="1" min="1" max="1"/>
    <col width="45.1" customWidth="1" min="2" max="2"/>
    <col width="9.9" customWidth="1" min="4" max="4"/>
    <col hidden="1" outlineLevel="1" width="8.800000000000001" customWidth="1" min="6" max="9"/>
    <col hidden="1" outlineLevel="1" width="13" customWidth="1" min="10" max="14"/>
    <col width="7.700000000000001" customWidth="1" min="16" max="16"/>
    <col width="7.700000000000001" customWidth="1" min="17" max="17"/>
  </cols>
  <sheetData>
    <row r="1">
      <c r="A1" s="2" t="inlineStr">
        <is>
          <t>集計_社員名</t>
        </is>
      </c>
      <c r="B1" s="2" t="inlineStr">
        <is>
          <t>集計_PJコード</t>
        </is>
      </c>
      <c r="C1" s="2" t="inlineStr">
        <is>
          <t>集計_工数(h)</t>
        </is>
      </c>
      <c r="D1" s="2" t="inlineStr">
        <is>
          <t>集計_ブロック</t>
        </is>
      </c>
      <c r="E1" s="2" t="inlineStr">
        <is>
          <t>集計_工数(h)_番外</t>
        </is>
      </c>
      <c r="F1" s="3" t="inlineStr">
        <is>
          <t>社員コード</t>
        </is>
      </c>
      <c r="G1" s="3" t="inlineStr">
        <is>
          <t>社員名</t>
        </is>
      </c>
      <c r="H1" s="3" t="inlineStr">
        <is>
          <t>PJコード</t>
        </is>
      </c>
      <c r="I1" s="3" t="inlineStr">
        <is>
          <t>開始日</t>
        </is>
      </c>
      <c r="J1" s="3" t="inlineStr">
        <is>
          <t>作業時間</t>
        </is>
      </c>
      <c r="K1" s="3" t="inlineStr">
        <is>
          <t>メモ</t>
        </is>
      </c>
      <c r="L1" s="3" t="inlineStr">
        <is>
          <t>メモ_区分</t>
        </is>
      </c>
      <c r="M1" s="3" t="inlineStr">
        <is>
          <t>メモ_詳細</t>
        </is>
      </c>
      <c r="N1" s="3" t="inlineStr">
        <is>
          <t>工程１:管理コード</t>
        </is>
      </c>
      <c r="O1" s="2" t="inlineStr">
        <is>
          <t>工程１:名称</t>
        </is>
      </c>
      <c r="P1" s="2" t="inlineStr">
        <is>
          <t>開始時間</t>
        </is>
      </c>
      <c r="Q1" t="inlineStr">
        <is>
          <t>終了時間</t>
        </is>
      </c>
    </row>
    <row r="2">
      <c r="A2" t="inlineStr">
        <is>
          <t>Alvarez Adolf</t>
        </is>
      </c>
      <c r="B2" t="inlineStr">
        <is>
          <t>ITJs001PH:ITOJUKU Support</t>
        </is>
      </c>
      <c r="C2">
        <f>SUMIFS(J:J, G:G,             A2, H:H, B2)</f>
        <v/>
      </c>
      <c r="D2">
        <f>L2</f>
        <v/>
      </c>
      <c r="E2">
        <f>SUMIFS(J:J, G:G,             A2, H:H, B2, L:L, L2)</f>
        <v/>
      </c>
      <c r="F2" t="inlineStr">
        <is>
          <t>PH0005</t>
        </is>
      </c>
      <c r="G2" t="inlineStr">
        <is>
          <t>Alvarez Adolf</t>
        </is>
      </c>
      <c r="H2" t="inlineStr">
        <is>
          <t>ITJs001PH:ITOJUKU Support</t>
        </is>
      </c>
      <c r="I2" s="1" t="n">
        <v>45947</v>
      </c>
      <c r="J2" t="n">
        <v>3</v>
      </c>
      <c r="L2">
        <f>IFERROR(LEFT(K2,             FIND(",", K2) - 1), "-")</f>
        <v/>
      </c>
      <c r="M2">
        <f>IFERROR(MID(K2,             FIND(",", K2) + 1, LEN(K2) - FIND(",", K2)), K2)</f>
        <v/>
      </c>
      <c r="N2" t="n">
        <v>4</v>
      </c>
      <c r="O2" s="2" t="n"/>
      <c r="P2" s="2" t="inlineStr">
        <is>
          <t>12:00</t>
        </is>
      </c>
      <c r="Q2" t="inlineStr">
        <is>
          <t>15:00</t>
        </is>
      </c>
    </row>
    <row r="3">
      <c r="A3" t="inlineStr">
        <is>
          <t>Alvarez Adolf</t>
        </is>
      </c>
      <c r="B3" t="inlineStr">
        <is>
          <t>ITJs001PH:ITOJUKU Support</t>
        </is>
      </c>
      <c r="D3">
        <f>L3</f>
        <v/>
      </c>
      <c r="E3">
        <f>SUMIFS(J:J, G:G,             A3, H:H, B3, L:L, L3)</f>
        <v/>
      </c>
      <c r="F3" t="inlineStr">
        <is>
          <t>PH0005</t>
        </is>
      </c>
      <c r="G3" t="inlineStr">
        <is>
          <t>Alvarez Adolf</t>
        </is>
      </c>
      <c r="H3" t="inlineStr">
        <is>
          <t>ITJs001PH:ITOJUKU Support</t>
        </is>
      </c>
      <c r="I3" s="1" t="n">
        <v>45947</v>
      </c>
      <c r="J3" t="n">
        <v>1.75</v>
      </c>
      <c r="L3">
        <f>IFERROR(LEFT(K3,             FIND(",", K3) - 1), "-")</f>
        <v/>
      </c>
      <c r="M3">
        <f>IFERROR(MID(K3,             FIND(",", K3) + 1, LEN(K3) - FIND(",", K3)), K3)</f>
        <v/>
      </c>
      <c r="N3" t="n">
        <v>4</v>
      </c>
      <c r="O3" s="2" t="n"/>
      <c r="P3" s="2" t="inlineStr">
        <is>
          <t>15:15</t>
        </is>
      </c>
      <c r="Q3" t="inlineStr">
        <is>
          <t>17:00</t>
        </is>
      </c>
    </row>
    <row r="4">
      <c r="A4" t="inlineStr">
        <is>
          <t>Alvarez Adolf</t>
        </is>
      </c>
      <c r="B4" t="inlineStr">
        <is>
          <t>ITJs001PH:ITOJUKU Support</t>
        </is>
      </c>
      <c r="D4">
        <f>L4</f>
        <v/>
      </c>
      <c r="E4">
        <f>SUMIFS(J:J, G:G,             A4, H:H, B4, L:L, L4)</f>
        <v/>
      </c>
      <c r="F4" t="inlineStr">
        <is>
          <t>PH0005</t>
        </is>
      </c>
      <c r="G4" t="inlineStr">
        <is>
          <t>Alvarez Adolf</t>
        </is>
      </c>
      <c r="H4" t="inlineStr">
        <is>
          <t>ITJs001PH:ITOJUKU Support</t>
        </is>
      </c>
      <c r="I4" s="1" t="n">
        <v>45950</v>
      </c>
      <c r="J4" t="n">
        <v>1.25</v>
      </c>
      <c r="L4">
        <f>IFERROR(LEFT(K4,             FIND(",", K4) - 1), "-")</f>
        <v/>
      </c>
      <c r="M4">
        <f>IFERROR(MID(K4,             FIND(",", K4) + 1, LEN(K4) - FIND(",", K4)), K4)</f>
        <v/>
      </c>
      <c r="N4" t="n">
        <v>4</v>
      </c>
      <c r="O4" s="2" t="n"/>
      <c r="P4" s="2" t="inlineStr">
        <is>
          <t>08:00</t>
        </is>
      </c>
      <c r="Q4" t="inlineStr">
        <is>
          <t>09:15</t>
        </is>
      </c>
    </row>
    <row r="5">
      <c r="A5" t="inlineStr">
        <is>
          <t>Alvarez Adolf</t>
        </is>
      </c>
      <c r="B5" t="inlineStr">
        <is>
          <t>ITJs001PH:ITOJUKU Support</t>
        </is>
      </c>
      <c r="D5">
        <f>L5</f>
        <v/>
      </c>
      <c r="E5">
        <f>SUMIFS(J:J, G:G,             A5, H:H, B5, L:L, L5)</f>
        <v/>
      </c>
      <c r="F5" t="inlineStr">
        <is>
          <t>PH0005</t>
        </is>
      </c>
      <c r="G5" t="inlineStr">
        <is>
          <t>Alvarez Adolf</t>
        </is>
      </c>
      <c r="H5" t="inlineStr">
        <is>
          <t>ITJs001PH:ITOJUKU Support</t>
        </is>
      </c>
      <c r="I5" s="1" t="n">
        <v>45950</v>
      </c>
      <c r="J5" t="n">
        <v>1.5</v>
      </c>
      <c r="L5">
        <f>IFERROR(LEFT(K5,             FIND(",", K5) - 1), "-")</f>
        <v/>
      </c>
      <c r="M5">
        <f>IFERROR(MID(K5,             FIND(",", K5) + 1, LEN(K5) - FIND(",", K5)), K5)</f>
        <v/>
      </c>
      <c r="N5" t="n">
        <v>4</v>
      </c>
      <c r="O5" s="2" t="n"/>
      <c r="P5" s="2" t="inlineStr">
        <is>
          <t>09:30</t>
        </is>
      </c>
      <c r="Q5" t="inlineStr">
        <is>
          <t>11:00</t>
        </is>
      </c>
    </row>
    <row r="6">
      <c r="A6" t="inlineStr">
        <is>
          <t>Alvarez Adolf</t>
        </is>
      </c>
      <c r="B6" t="inlineStr">
        <is>
          <t>ITJs001PH:ITOJUKU Support</t>
        </is>
      </c>
      <c r="D6">
        <f>L6</f>
        <v/>
      </c>
      <c r="E6">
        <f>SUMIFS(J:J, G:G,             A6, H:H, B6, L:L, L6)</f>
        <v/>
      </c>
      <c r="F6" t="inlineStr">
        <is>
          <t>PH0005</t>
        </is>
      </c>
      <c r="G6" t="inlineStr">
        <is>
          <t>Alvarez Adolf</t>
        </is>
      </c>
      <c r="H6" t="inlineStr">
        <is>
          <t>ITJs001PH:ITOJUKU Support</t>
        </is>
      </c>
      <c r="I6" s="1" t="n">
        <v>45950</v>
      </c>
      <c r="J6" t="n">
        <v>1.25</v>
      </c>
      <c r="L6">
        <f>IFERROR(LEFT(K6,             FIND(",", K6) - 1), "-")</f>
        <v/>
      </c>
      <c r="M6">
        <f>IFERROR(MID(K6,             FIND(",", K6) + 1, LEN(K6) - FIND(",", K6)), K6)</f>
        <v/>
      </c>
      <c r="N6" t="n">
        <v>4</v>
      </c>
      <c r="O6" s="2" t="n"/>
      <c r="P6" s="2" t="inlineStr">
        <is>
          <t>12:00</t>
        </is>
      </c>
      <c r="Q6" t="inlineStr">
        <is>
          <t>13:15</t>
        </is>
      </c>
    </row>
    <row r="7">
      <c r="A7" t="inlineStr">
        <is>
          <t>Alvarez Adolf</t>
        </is>
      </c>
      <c r="B7" t="inlineStr">
        <is>
          <t>ITJs001PH:ITOJUKU Support</t>
        </is>
      </c>
      <c r="D7">
        <f>L7</f>
        <v/>
      </c>
      <c r="E7">
        <f>SUMIFS(J:J, G:G,             A7, H:H, B7, L:L, L7)</f>
        <v/>
      </c>
      <c r="F7" t="inlineStr">
        <is>
          <t>PH0005</t>
        </is>
      </c>
      <c r="G7" t="inlineStr">
        <is>
          <t>Alvarez Adolf</t>
        </is>
      </c>
      <c r="H7" t="inlineStr">
        <is>
          <t>ITJs001PH:ITOJUKU Support</t>
        </is>
      </c>
      <c r="I7" s="1" t="n">
        <v>45950</v>
      </c>
      <c r="J7" t="n">
        <v>1.5</v>
      </c>
      <c r="L7">
        <f>IFERROR(LEFT(K7,             FIND(",", K7) - 1), "-")</f>
        <v/>
      </c>
      <c r="M7">
        <f>IFERROR(MID(K7,             FIND(",", K7) + 1, LEN(K7) - FIND(",", K7)), K7)</f>
        <v/>
      </c>
      <c r="N7" t="n">
        <v>4</v>
      </c>
      <c r="O7" s="2" t="n"/>
      <c r="P7" s="2" t="inlineStr">
        <is>
          <t>15:45</t>
        </is>
      </c>
      <c r="Q7" t="inlineStr">
        <is>
          <t>17:15</t>
        </is>
      </c>
    </row>
    <row r="8">
      <c r="A8" t="inlineStr">
        <is>
          <t>Alvarez Adolf</t>
        </is>
      </c>
      <c r="B8" t="inlineStr">
        <is>
          <t>ITJs001PH:ITOJUKU Support</t>
        </is>
      </c>
      <c r="D8">
        <f>L8</f>
        <v/>
      </c>
      <c r="E8">
        <f>SUMIFS(J:J, G:G,             A8, H:H, B8, L:L, L8)</f>
        <v/>
      </c>
      <c r="F8" t="inlineStr">
        <is>
          <t>PH0005</t>
        </is>
      </c>
      <c r="G8" t="inlineStr">
        <is>
          <t>Alvarez Adolf</t>
        </is>
      </c>
      <c r="H8" t="inlineStr">
        <is>
          <t>ITJs001PH:ITOJUKU Support</t>
        </is>
      </c>
      <c r="I8" s="1" t="n">
        <v>45951</v>
      </c>
      <c r="J8" t="n">
        <v>0.75</v>
      </c>
      <c r="L8">
        <f>IFERROR(LEFT(K8,             FIND(",", K8) - 1), "-")</f>
        <v/>
      </c>
      <c r="M8">
        <f>IFERROR(MID(K8,             FIND(",", K8) + 1, LEN(K8) - FIND(",", K8)), K8)</f>
        <v/>
      </c>
      <c r="N8" t="n">
        <v>4</v>
      </c>
      <c r="O8" s="2" t="n"/>
      <c r="P8" s="2" t="inlineStr">
        <is>
          <t>08:00</t>
        </is>
      </c>
      <c r="Q8" t="inlineStr">
        <is>
          <t>08:45</t>
        </is>
      </c>
    </row>
    <row r="9">
      <c r="A9" t="inlineStr">
        <is>
          <t>Alvarez Adolf</t>
        </is>
      </c>
      <c r="B9" t="inlineStr">
        <is>
          <t>ITJs001PH:ITOJUKU Support</t>
        </is>
      </c>
      <c r="D9">
        <f>L9</f>
        <v/>
      </c>
      <c r="E9">
        <f>SUMIFS(J:J, G:G,             A9, H:H, B9, L:L, L9)</f>
        <v/>
      </c>
      <c r="F9" t="inlineStr">
        <is>
          <t>PH0005</t>
        </is>
      </c>
      <c r="G9" t="inlineStr">
        <is>
          <t>Alvarez Adolf</t>
        </is>
      </c>
      <c r="H9" t="inlineStr">
        <is>
          <t>ITJs001PH:ITOJUKU Support</t>
        </is>
      </c>
      <c r="I9" s="1" t="n">
        <v>45951</v>
      </c>
      <c r="J9" t="n">
        <v>0.25</v>
      </c>
      <c r="L9">
        <f>IFERROR(LEFT(K9,             FIND(",", K9) - 1), "-")</f>
        <v/>
      </c>
      <c r="M9">
        <f>IFERROR(MID(K9,             FIND(",", K9) + 1, LEN(K9) - FIND(",", K9)), K9)</f>
        <v/>
      </c>
      <c r="N9" t="n">
        <v>4</v>
      </c>
      <c r="O9" s="2" t="n"/>
      <c r="P9" s="2" t="inlineStr">
        <is>
          <t>09:00</t>
        </is>
      </c>
      <c r="Q9" t="inlineStr">
        <is>
          <t>09:15</t>
        </is>
      </c>
    </row>
    <row r="10">
      <c r="A10" t="inlineStr">
        <is>
          <t>Alvarez Adolf</t>
        </is>
      </c>
      <c r="B10" t="inlineStr">
        <is>
          <t>ITJs001PH:ITOJUKU Support</t>
        </is>
      </c>
      <c r="D10">
        <f>L10</f>
        <v/>
      </c>
      <c r="E10">
        <f>SUMIFS(J:J, G:G,             A10, H:H, B10, L:L, L10)</f>
        <v/>
      </c>
      <c r="F10" t="inlineStr">
        <is>
          <t>PH0005</t>
        </is>
      </c>
      <c r="G10" t="inlineStr">
        <is>
          <t>Alvarez Adolf</t>
        </is>
      </c>
      <c r="H10" t="inlineStr">
        <is>
          <t>ITJs001PH:ITOJUKU Support</t>
        </is>
      </c>
      <c r="I10" s="1" t="n">
        <v>45951</v>
      </c>
      <c r="J10" t="n">
        <v>1.5</v>
      </c>
      <c r="L10">
        <f>IFERROR(LEFT(K10,             FIND(",", K10) - 1), "-")</f>
        <v/>
      </c>
      <c r="M10">
        <f>IFERROR(MID(K10,             FIND(",", K10) + 1, LEN(K10) - FIND(",", K10)), K10)</f>
        <v/>
      </c>
      <c r="N10" t="n">
        <v>4</v>
      </c>
      <c r="O10" s="2" t="n"/>
      <c r="P10" s="2" t="inlineStr">
        <is>
          <t>09:30</t>
        </is>
      </c>
      <c r="Q10" t="inlineStr">
        <is>
          <t>11:00</t>
        </is>
      </c>
    </row>
    <row r="11">
      <c r="A11" t="inlineStr">
        <is>
          <t>Alvarez Adolf</t>
        </is>
      </c>
      <c r="B11" t="inlineStr">
        <is>
          <t>ITJs001PH:ITOJUKU Support</t>
        </is>
      </c>
      <c r="D11">
        <f>L11</f>
        <v/>
      </c>
      <c r="E11">
        <f>SUMIFS(J:J, G:G,             A11, H:H, B11, L:L, L11)</f>
        <v/>
      </c>
      <c r="F11" t="inlineStr">
        <is>
          <t>PH0005</t>
        </is>
      </c>
      <c r="G11" t="inlineStr">
        <is>
          <t>Alvarez Adolf</t>
        </is>
      </c>
      <c r="H11" t="inlineStr">
        <is>
          <t>ITJs001PH:ITOJUKU Support</t>
        </is>
      </c>
      <c r="I11" s="1" t="n">
        <v>45951</v>
      </c>
      <c r="J11" t="n">
        <v>0.5</v>
      </c>
      <c r="L11">
        <f>IFERROR(LEFT(K11,             FIND(",", K11) - 1), "-")</f>
        <v/>
      </c>
      <c r="M11">
        <f>IFERROR(MID(K11,             FIND(",", K11) + 1, LEN(K11) - FIND(",", K11)), K11)</f>
        <v/>
      </c>
      <c r="N11" t="n">
        <v>4</v>
      </c>
      <c r="O11" s="2" t="n"/>
      <c r="P11" s="2" t="inlineStr">
        <is>
          <t>12:00</t>
        </is>
      </c>
      <c r="Q11" t="inlineStr">
        <is>
          <t>12:30</t>
        </is>
      </c>
    </row>
    <row r="12">
      <c r="A12" t="inlineStr">
        <is>
          <t>Alvarez Adolf</t>
        </is>
      </c>
      <c r="B12" t="inlineStr">
        <is>
          <t>ITJs001PH:ITOJUKU Support</t>
        </is>
      </c>
      <c r="D12">
        <f>L12</f>
        <v/>
      </c>
      <c r="E12">
        <f>SUMIFS(J:J, G:G,             A12, H:H, B12, L:L, L12)</f>
        <v/>
      </c>
      <c r="F12" t="inlineStr">
        <is>
          <t>PH0005</t>
        </is>
      </c>
      <c r="G12" t="inlineStr">
        <is>
          <t>Alvarez Adolf</t>
        </is>
      </c>
      <c r="H12" t="inlineStr">
        <is>
          <t>ITJs001PH:ITOJUKU Support</t>
        </is>
      </c>
      <c r="I12" s="1" t="n">
        <v>45951</v>
      </c>
      <c r="J12" t="n">
        <v>2</v>
      </c>
      <c r="L12">
        <f>IFERROR(LEFT(K12,             FIND(",", K12) - 1), "-")</f>
        <v/>
      </c>
      <c r="M12">
        <f>IFERROR(MID(K12,             FIND(",", K12) + 1, LEN(K12) - FIND(",", K12)), K12)</f>
        <v/>
      </c>
      <c r="N12" t="n">
        <v>4</v>
      </c>
      <c r="O12" s="2" t="n"/>
      <c r="P12" s="2" t="inlineStr">
        <is>
          <t>13:00</t>
        </is>
      </c>
      <c r="Q12" t="inlineStr">
        <is>
          <t>15:00</t>
        </is>
      </c>
    </row>
    <row r="13">
      <c r="A13" t="inlineStr">
        <is>
          <t>Alvarez Adolf</t>
        </is>
      </c>
      <c r="B13" t="inlineStr">
        <is>
          <t>ITJs001PH:ITOJUKU Support</t>
        </is>
      </c>
      <c r="D13">
        <f>L13</f>
        <v/>
      </c>
      <c r="E13">
        <f>SUMIFS(J:J, G:G,             A13, H:H, B13, L:L, L13)</f>
        <v/>
      </c>
      <c r="F13" t="inlineStr">
        <is>
          <t>PH0005</t>
        </is>
      </c>
      <c r="G13" t="inlineStr">
        <is>
          <t>Alvarez Adolf</t>
        </is>
      </c>
      <c r="H13" t="inlineStr">
        <is>
          <t>ITJs001PH:ITOJUKU Support</t>
        </is>
      </c>
      <c r="I13" s="1" t="n">
        <v>45951</v>
      </c>
      <c r="J13" t="n">
        <v>1.25</v>
      </c>
      <c r="L13">
        <f>IFERROR(LEFT(K13,             FIND(",", K13) - 1), "-")</f>
        <v/>
      </c>
      <c r="M13">
        <f>IFERROR(MID(K13,             FIND(",", K13) + 1, LEN(K13) - FIND(",", K13)), K13)</f>
        <v/>
      </c>
      <c r="N13" t="n">
        <v>4</v>
      </c>
      <c r="O13" s="2" t="n"/>
      <c r="P13" s="2" t="inlineStr">
        <is>
          <t>15:15</t>
        </is>
      </c>
      <c r="Q13" t="inlineStr">
        <is>
          <t>16:30</t>
        </is>
      </c>
    </row>
    <row r="14">
      <c r="A14" t="inlineStr">
        <is>
          <t>Alvarez Adolf</t>
        </is>
      </c>
      <c r="B14" t="inlineStr">
        <is>
          <t>JECS001PH:Kyoikuc support</t>
        </is>
      </c>
      <c r="C14">
        <f>SUMIFS(J:J, G:G,             A14, H:H, B14)</f>
        <v/>
      </c>
      <c r="D14">
        <f>L14</f>
        <v/>
      </c>
      <c r="E14">
        <f>SUMIFS(J:J, G:G,             A14, H:H, B14, L:L, L14)</f>
        <v/>
      </c>
      <c r="F14" t="inlineStr">
        <is>
          <t>PH0005</t>
        </is>
      </c>
      <c r="G14" t="inlineStr">
        <is>
          <t>Alvarez Adolf</t>
        </is>
      </c>
      <c r="H14" t="inlineStr">
        <is>
          <t>JECS001PH:Kyoikuc support</t>
        </is>
      </c>
      <c r="I14" s="1" t="n">
        <v>45938</v>
      </c>
      <c r="J14" t="n">
        <v>1.25</v>
      </c>
      <c r="L14">
        <f>IFERROR(LEFT(K14,             FIND(",", K14) - 1), "-")</f>
        <v/>
      </c>
      <c r="M14">
        <f>IFERROR(MID(K14,             FIND(",", K14) + 1, LEN(K14) - FIND(",", K14)), K14)</f>
        <v/>
      </c>
      <c r="N14" t="n">
        <v>2</v>
      </c>
      <c r="O14" s="2" t="n"/>
      <c r="P14" s="2" t="inlineStr">
        <is>
          <t>08:00</t>
        </is>
      </c>
      <c r="Q14" t="inlineStr">
        <is>
          <t>09:15</t>
        </is>
      </c>
    </row>
    <row r="15">
      <c r="A15" t="inlineStr">
        <is>
          <t>Alvarez Adolf</t>
        </is>
      </c>
      <c r="B15" t="inlineStr">
        <is>
          <t>JECS001PH:Kyoikuc support</t>
        </is>
      </c>
      <c r="D15">
        <f>L15</f>
        <v/>
      </c>
      <c r="E15">
        <f>SUMIFS(J:J, G:G,             A15, H:H, B15, L:L, L15)</f>
        <v/>
      </c>
      <c r="F15" t="inlineStr">
        <is>
          <t>PH0005</t>
        </is>
      </c>
      <c r="G15" t="inlineStr">
        <is>
          <t>Alvarez Adolf</t>
        </is>
      </c>
      <c r="H15" t="inlineStr">
        <is>
          <t>JECS001PH:Kyoikuc support</t>
        </is>
      </c>
      <c r="I15" s="1" t="n">
        <v>45938</v>
      </c>
      <c r="J15" t="n">
        <v>1.5</v>
      </c>
      <c r="L15">
        <f>IFERROR(LEFT(K15,             FIND(",", K15) - 1), "-")</f>
        <v/>
      </c>
      <c r="M15">
        <f>IFERROR(MID(K15,             FIND(",", K15) + 1, LEN(K15) - FIND(",", K15)), K15)</f>
        <v/>
      </c>
      <c r="N15" t="n">
        <v>2</v>
      </c>
      <c r="O15" s="2" t="n"/>
      <c r="P15" s="2" t="inlineStr">
        <is>
          <t>09:30</t>
        </is>
      </c>
      <c r="Q15" t="inlineStr">
        <is>
          <t>11:00</t>
        </is>
      </c>
    </row>
    <row r="16">
      <c r="A16" t="inlineStr">
        <is>
          <t>Alvarez Adolf</t>
        </is>
      </c>
      <c r="B16" t="inlineStr">
        <is>
          <t>JECS001PH:Kyoikuc support</t>
        </is>
      </c>
      <c r="D16">
        <f>L16</f>
        <v/>
      </c>
      <c r="E16">
        <f>SUMIFS(J:J, G:G,             A16, H:H, B16, L:L, L16)</f>
        <v/>
      </c>
      <c r="F16" t="inlineStr">
        <is>
          <t>PH0005</t>
        </is>
      </c>
      <c r="G16" t="inlineStr">
        <is>
          <t>Alvarez Adolf</t>
        </is>
      </c>
      <c r="H16" t="inlineStr">
        <is>
          <t>JECS001PH:Kyoikuc support</t>
        </is>
      </c>
      <c r="I16" s="1" t="n">
        <v>45938</v>
      </c>
      <c r="J16" t="n">
        <v>3</v>
      </c>
      <c r="L16">
        <f>IFERROR(LEFT(K16,             FIND(",", K16) - 1), "-")</f>
        <v/>
      </c>
      <c r="M16">
        <f>IFERROR(MID(K16,             FIND(",", K16) + 1, LEN(K16) - FIND(",", K16)), K16)</f>
        <v/>
      </c>
      <c r="N16" t="n">
        <v>2</v>
      </c>
      <c r="O16" s="2" t="n"/>
      <c r="P16" s="2" t="inlineStr">
        <is>
          <t>12:00</t>
        </is>
      </c>
      <c r="Q16" t="inlineStr">
        <is>
          <t>15:00</t>
        </is>
      </c>
    </row>
    <row r="17">
      <c r="A17" t="inlineStr">
        <is>
          <t>Alvarez Adolf</t>
        </is>
      </c>
      <c r="B17" t="inlineStr">
        <is>
          <t>JECS001PH:Kyoikuc support</t>
        </is>
      </c>
      <c r="D17">
        <f>L17</f>
        <v/>
      </c>
      <c r="E17">
        <f>SUMIFS(J:J, G:G,             A17, H:H, B17, L:L, L17)</f>
        <v/>
      </c>
      <c r="F17" t="inlineStr">
        <is>
          <t>PH0005</t>
        </is>
      </c>
      <c r="G17" t="inlineStr">
        <is>
          <t>Alvarez Adolf</t>
        </is>
      </c>
      <c r="H17" t="inlineStr">
        <is>
          <t>JECS001PH:Kyoikuc support</t>
        </is>
      </c>
      <c r="I17" s="1" t="n">
        <v>45938</v>
      </c>
      <c r="J17" t="n">
        <v>0.75</v>
      </c>
      <c r="L17">
        <f>IFERROR(LEFT(K17,             FIND(",", K17) - 1), "-")</f>
        <v/>
      </c>
      <c r="M17">
        <f>IFERROR(MID(K17,             FIND(",", K17) + 1, LEN(K17) - FIND(",", K17)), K17)</f>
        <v/>
      </c>
      <c r="N17" t="n">
        <v>2</v>
      </c>
      <c r="O17" s="2" t="n"/>
      <c r="P17" s="2" t="inlineStr">
        <is>
          <t>15:15</t>
        </is>
      </c>
      <c r="Q17" t="inlineStr">
        <is>
          <t>16:00</t>
        </is>
      </c>
    </row>
    <row r="18">
      <c r="A18" t="inlineStr">
        <is>
          <t>Alvarez Adolf</t>
        </is>
      </c>
      <c r="B18" t="inlineStr">
        <is>
          <t>JECS001PH:Kyoikuc support</t>
        </is>
      </c>
      <c r="D18">
        <f>L18</f>
        <v/>
      </c>
      <c r="E18">
        <f>SUMIFS(J:J, G:G,             A18, H:H, B18, L:L, L18)</f>
        <v/>
      </c>
      <c r="F18" t="inlineStr">
        <is>
          <t>PH0005</t>
        </is>
      </c>
      <c r="G18" t="inlineStr">
        <is>
          <t>Alvarez Adolf</t>
        </is>
      </c>
      <c r="H18" t="inlineStr">
        <is>
          <t>JECS001PH:Kyoikuc support</t>
        </is>
      </c>
      <c r="I18" s="1" t="n">
        <v>45939</v>
      </c>
      <c r="J18" t="n">
        <v>1.25</v>
      </c>
      <c r="L18">
        <f>IFERROR(LEFT(K18,             FIND(",", K18) - 1), "-")</f>
        <v/>
      </c>
      <c r="M18">
        <f>IFERROR(MID(K18,             FIND(",", K18) + 1, LEN(K18) - FIND(",", K18)), K18)</f>
        <v/>
      </c>
      <c r="N18" t="n">
        <v>4</v>
      </c>
      <c r="O18" s="2" t="n"/>
      <c r="P18" s="2" t="inlineStr">
        <is>
          <t>08:00</t>
        </is>
      </c>
      <c r="Q18" t="inlineStr">
        <is>
          <t>09:15</t>
        </is>
      </c>
    </row>
    <row r="19">
      <c r="A19" t="inlineStr">
        <is>
          <t>Alvarez Adolf</t>
        </is>
      </c>
      <c r="B19" t="inlineStr">
        <is>
          <t>JECS001PH:Kyoikuc support</t>
        </is>
      </c>
      <c r="D19">
        <f>L19</f>
        <v/>
      </c>
      <c r="E19">
        <f>SUMIFS(J:J, G:G,             A19, H:H, B19, L:L, L19)</f>
        <v/>
      </c>
      <c r="F19" t="inlineStr">
        <is>
          <t>PH0005</t>
        </is>
      </c>
      <c r="G19" t="inlineStr">
        <is>
          <t>Alvarez Adolf</t>
        </is>
      </c>
      <c r="H19" t="inlineStr">
        <is>
          <t>JECS001PH:Kyoikuc support</t>
        </is>
      </c>
      <c r="I19" s="1" t="n">
        <v>45939</v>
      </c>
      <c r="J19" t="n">
        <v>1.25</v>
      </c>
      <c r="L19">
        <f>IFERROR(LEFT(K19,             FIND(",", K19) - 1), "-")</f>
        <v/>
      </c>
      <c r="M19">
        <f>IFERROR(MID(K19,             FIND(",", K19) + 1, LEN(K19) - FIND(",", K19)), K19)</f>
        <v/>
      </c>
      <c r="N19" t="n">
        <v>4</v>
      </c>
      <c r="O19" s="2" t="n"/>
      <c r="P19" s="2" t="inlineStr">
        <is>
          <t>12:00</t>
        </is>
      </c>
      <c r="Q19" t="inlineStr">
        <is>
          <t>13:15</t>
        </is>
      </c>
    </row>
    <row r="20">
      <c r="A20" t="inlineStr">
        <is>
          <t>Alvarez Adolf</t>
        </is>
      </c>
      <c r="B20" t="inlineStr">
        <is>
          <t>JECS001PH:Kyoikuc support</t>
        </is>
      </c>
      <c r="D20">
        <f>L20</f>
        <v/>
      </c>
      <c r="E20">
        <f>SUMIFS(J:J, G:G,             A20, H:H, B20, L:L, L20)</f>
        <v/>
      </c>
      <c r="F20" t="inlineStr">
        <is>
          <t>PH0005</t>
        </is>
      </c>
      <c r="G20" t="inlineStr">
        <is>
          <t>Alvarez Adolf</t>
        </is>
      </c>
      <c r="H20" t="inlineStr">
        <is>
          <t>JECS001PH:Kyoikuc support</t>
        </is>
      </c>
      <c r="I20" s="1" t="n">
        <v>45940</v>
      </c>
      <c r="J20" t="n">
        <v>1.25</v>
      </c>
      <c r="L20">
        <f>IFERROR(LEFT(K20,             FIND(",", K20) - 1), "-")</f>
        <v/>
      </c>
      <c r="M20">
        <f>IFERROR(MID(K20,             FIND(",", K20) + 1, LEN(K20) - FIND(",", K20)), K20)</f>
        <v/>
      </c>
      <c r="N20" t="n">
        <v>4</v>
      </c>
      <c r="O20" s="2" t="n"/>
      <c r="P20" s="2" t="inlineStr">
        <is>
          <t>08:00</t>
        </is>
      </c>
      <c r="Q20" t="inlineStr">
        <is>
          <t>09:15</t>
        </is>
      </c>
    </row>
    <row r="21">
      <c r="A21" t="inlineStr">
        <is>
          <t>Alvarez Adolf</t>
        </is>
      </c>
      <c r="B21" t="inlineStr">
        <is>
          <t>JECS001PH:Kyoikuc support</t>
        </is>
      </c>
      <c r="D21">
        <f>L21</f>
        <v/>
      </c>
      <c r="E21">
        <f>SUMIFS(J:J, G:G,             A21, H:H, B21, L:L, L21)</f>
        <v/>
      </c>
      <c r="F21" t="inlineStr">
        <is>
          <t>PH0005</t>
        </is>
      </c>
      <c r="G21" t="inlineStr">
        <is>
          <t>Alvarez Adolf</t>
        </is>
      </c>
      <c r="H21" t="inlineStr">
        <is>
          <t>JECS001PH:Kyoikuc support</t>
        </is>
      </c>
      <c r="I21" s="1" t="n">
        <v>45940</v>
      </c>
      <c r="J21" t="n">
        <v>0.5</v>
      </c>
      <c r="L21">
        <f>IFERROR(LEFT(K21,             FIND(",", K21) - 1), "-")</f>
        <v/>
      </c>
      <c r="M21">
        <f>IFERROR(MID(K21,             FIND(",", K21) + 1, LEN(K21) - FIND(",", K21)), K21)</f>
        <v/>
      </c>
      <c r="N21" t="n">
        <v>4</v>
      </c>
      <c r="O21" s="2" t="n"/>
      <c r="P21" s="2" t="inlineStr">
        <is>
          <t>09:30</t>
        </is>
      </c>
      <c r="Q21" t="inlineStr">
        <is>
          <t>10:00</t>
        </is>
      </c>
    </row>
    <row r="22">
      <c r="A22" t="inlineStr">
        <is>
          <t>Alvarez Adolf</t>
        </is>
      </c>
      <c r="B22" t="inlineStr">
        <is>
          <t>JECS001PH:Kyoikuc support</t>
        </is>
      </c>
      <c r="D22">
        <f>L22</f>
        <v/>
      </c>
      <c r="E22">
        <f>SUMIFS(J:J, G:G,             A22, H:H, B22, L:L, L22)</f>
        <v/>
      </c>
      <c r="F22" t="inlineStr">
        <is>
          <t>PH0005</t>
        </is>
      </c>
      <c r="G22" t="inlineStr">
        <is>
          <t>Alvarez Adolf</t>
        </is>
      </c>
      <c r="H22" t="inlineStr">
        <is>
          <t>JECS001PH:Kyoikuc support</t>
        </is>
      </c>
      <c r="I22" s="1" t="n">
        <v>45940</v>
      </c>
      <c r="J22" t="n">
        <v>2</v>
      </c>
      <c r="L22">
        <f>IFERROR(LEFT(K22,             FIND(",", K22) - 1), "-")</f>
        <v/>
      </c>
      <c r="M22">
        <f>IFERROR(MID(K22,             FIND(",", K22) + 1, LEN(K22) - FIND(",", K22)), K22)</f>
        <v/>
      </c>
      <c r="N22" t="n">
        <v>4</v>
      </c>
      <c r="O22" s="2" t="n"/>
      <c r="P22" s="2" t="inlineStr">
        <is>
          <t>13:00</t>
        </is>
      </c>
      <c r="Q22" t="inlineStr">
        <is>
          <t>15:00</t>
        </is>
      </c>
    </row>
    <row r="23">
      <c r="A23" t="inlineStr">
        <is>
          <t>Alvarez Adolf</t>
        </is>
      </c>
      <c r="B23" t="inlineStr">
        <is>
          <t>JECS001PH:Kyoikuc support</t>
        </is>
      </c>
      <c r="D23">
        <f>L23</f>
        <v/>
      </c>
      <c r="E23">
        <f>SUMIFS(J:J, G:G,             A23, H:H, B23, L:L, L23)</f>
        <v/>
      </c>
      <c r="F23" t="inlineStr">
        <is>
          <t>PH0005</t>
        </is>
      </c>
      <c r="G23" t="inlineStr">
        <is>
          <t>Alvarez Adolf</t>
        </is>
      </c>
      <c r="H23" t="inlineStr">
        <is>
          <t>JECS001PH:Kyoikuc support</t>
        </is>
      </c>
      <c r="I23" s="1" t="n">
        <v>45940</v>
      </c>
      <c r="J23" t="n">
        <v>2.75</v>
      </c>
      <c r="L23">
        <f>IFERROR(LEFT(K23,             FIND(",", K23) - 1), "-")</f>
        <v/>
      </c>
      <c r="M23">
        <f>IFERROR(MID(K23,             FIND(",", K23) + 1, LEN(K23) - FIND(",", K23)), K23)</f>
        <v/>
      </c>
      <c r="N23" t="n">
        <v>4</v>
      </c>
      <c r="O23" s="2" t="n"/>
      <c r="P23" s="2" t="inlineStr">
        <is>
          <t>15:15</t>
        </is>
      </c>
      <c r="Q23" t="inlineStr">
        <is>
          <t>18:00</t>
        </is>
      </c>
    </row>
    <row r="24">
      <c r="A24" t="inlineStr">
        <is>
          <t>Alvarez Adolf</t>
        </is>
      </c>
      <c r="B24" t="inlineStr">
        <is>
          <t>JECS001PH:Kyoikuc support</t>
        </is>
      </c>
      <c r="D24">
        <f>L24</f>
        <v/>
      </c>
      <c r="E24">
        <f>SUMIFS(J:J, G:G,             A24, H:H, B24, L:L, L24)</f>
        <v/>
      </c>
      <c r="F24" t="inlineStr">
        <is>
          <t>PH0005</t>
        </is>
      </c>
      <c r="G24" t="inlineStr">
        <is>
          <t>Alvarez Adolf</t>
        </is>
      </c>
      <c r="H24" t="inlineStr">
        <is>
          <t>JECS001PH:Kyoikuc support</t>
        </is>
      </c>
      <c r="I24" s="1" t="n">
        <v>45943</v>
      </c>
      <c r="J24" t="n">
        <v>1.25</v>
      </c>
      <c r="L24">
        <f>IFERROR(LEFT(K24,             FIND(",", K24) - 1), "-")</f>
        <v/>
      </c>
      <c r="M24">
        <f>IFERROR(MID(K24,             FIND(",", K24) + 1, LEN(K24) - FIND(",", K24)), K24)</f>
        <v/>
      </c>
      <c r="N24" t="n">
        <v>4</v>
      </c>
      <c r="O24" s="2" t="n"/>
      <c r="P24" s="2" t="inlineStr">
        <is>
          <t>08:00</t>
        </is>
      </c>
      <c r="Q24" t="inlineStr">
        <is>
          <t>09:15</t>
        </is>
      </c>
    </row>
    <row r="25">
      <c r="A25" t="inlineStr">
        <is>
          <t>Alvarez Adolf</t>
        </is>
      </c>
      <c r="B25" t="inlineStr">
        <is>
          <t>JECS001PH:Kyoikuc support</t>
        </is>
      </c>
      <c r="D25">
        <f>L25</f>
        <v/>
      </c>
      <c r="E25">
        <f>SUMIFS(J:J, G:G,             A25, H:H, B25, L:L, L25)</f>
        <v/>
      </c>
      <c r="F25" t="inlineStr">
        <is>
          <t>PH0005</t>
        </is>
      </c>
      <c r="G25" t="inlineStr">
        <is>
          <t>Alvarez Adolf</t>
        </is>
      </c>
      <c r="H25" t="inlineStr">
        <is>
          <t>JECS001PH:Kyoikuc support</t>
        </is>
      </c>
      <c r="I25" s="1" t="n">
        <v>45943</v>
      </c>
      <c r="J25" t="n">
        <v>1.5</v>
      </c>
      <c r="L25">
        <f>IFERROR(LEFT(K25,             FIND(",", K25) - 1), "-")</f>
        <v/>
      </c>
      <c r="M25">
        <f>IFERROR(MID(K25,             FIND(",", K25) + 1, LEN(K25) - FIND(",", K25)), K25)</f>
        <v/>
      </c>
      <c r="N25" t="n">
        <v>4</v>
      </c>
      <c r="O25" s="2" t="n"/>
      <c r="P25" s="2" t="inlineStr">
        <is>
          <t>09:30</t>
        </is>
      </c>
      <c r="Q25" t="inlineStr">
        <is>
          <t>11:00</t>
        </is>
      </c>
    </row>
    <row r="26">
      <c r="A26" t="inlineStr">
        <is>
          <t>Alvarez Adolf</t>
        </is>
      </c>
      <c r="B26" t="inlineStr">
        <is>
          <t>JECS001PH:Kyoikuc support</t>
        </is>
      </c>
      <c r="D26">
        <f>L26</f>
        <v/>
      </c>
      <c r="E26">
        <f>SUMIFS(J:J, G:G,             A26, H:H, B26, L:L, L26)</f>
        <v/>
      </c>
      <c r="F26" t="inlineStr">
        <is>
          <t>PH0005</t>
        </is>
      </c>
      <c r="G26" t="inlineStr">
        <is>
          <t>Alvarez Adolf</t>
        </is>
      </c>
      <c r="H26" t="inlineStr">
        <is>
          <t>JECS001PH:Kyoikuc support</t>
        </is>
      </c>
      <c r="I26" s="1" t="n">
        <v>45943</v>
      </c>
      <c r="J26" t="n">
        <v>3</v>
      </c>
      <c r="L26">
        <f>IFERROR(LEFT(K26,             FIND(",", K26) - 1), "-")</f>
        <v/>
      </c>
      <c r="M26">
        <f>IFERROR(MID(K26,             FIND(",", K26) + 1, LEN(K26) - FIND(",", K26)), K26)</f>
        <v/>
      </c>
      <c r="N26" t="n">
        <v>4</v>
      </c>
      <c r="O26" s="2" t="n"/>
      <c r="P26" s="2" t="inlineStr">
        <is>
          <t>12:00</t>
        </is>
      </c>
      <c r="Q26" t="inlineStr">
        <is>
          <t>15:00</t>
        </is>
      </c>
    </row>
    <row r="27">
      <c r="A27" t="inlineStr">
        <is>
          <t>Alvarez Adolf</t>
        </is>
      </c>
      <c r="B27" t="inlineStr">
        <is>
          <t>JECS001PH:Kyoikuc support</t>
        </is>
      </c>
      <c r="D27">
        <f>L27</f>
        <v/>
      </c>
      <c r="E27">
        <f>SUMIFS(J:J, G:G,             A27, H:H, B27, L:L, L27)</f>
        <v/>
      </c>
      <c r="F27" t="inlineStr">
        <is>
          <t>PH0005</t>
        </is>
      </c>
      <c r="G27" t="inlineStr">
        <is>
          <t>Alvarez Adolf</t>
        </is>
      </c>
      <c r="H27" t="inlineStr">
        <is>
          <t>JECS001PH:Kyoikuc support</t>
        </is>
      </c>
      <c r="I27" s="1" t="n">
        <v>45943</v>
      </c>
      <c r="J27" t="n">
        <v>3.75</v>
      </c>
      <c r="L27">
        <f>IFERROR(LEFT(K27,             FIND(",", K27) - 1), "-")</f>
        <v/>
      </c>
      <c r="M27">
        <f>IFERROR(MID(K27,             FIND(",", K27) + 1, LEN(K27) - FIND(",", K27)), K27)</f>
        <v/>
      </c>
      <c r="N27" t="n">
        <v>4</v>
      </c>
      <c r="O27" s="2" t="n"/>
      <c r="P27" s="2" t="inlineStr">
        <is>
          <t>15:15</t>
        </is>
      </c>
      <c r="Q27" t="inlineStr">
        <is>
          <t>19:00</t>
        </is>
      </c>
    </row>
    <row r="28">
      <c r="A28" t="inlineStr">
        <is>
          <t>Alvarez Adolf</t>
        </is>
      </c>
      <c r="B28" t="inlineStr">
        <is>
          <t>JECS001PH:Kyoikuc support</t>
        </is>
      </c>
      <c r="D28">
        <f>L28</f>
        <v/>
      </c>
      <c r="E28">
        <f>SUMIFS(J:J, G:G,             A28, H:H, B28, L:L, L28)</f>
        <v/>
      </c>
      <c r="F28" t="inlineStr">
        <is>
          <t>PH0005</t>
        </is>
      </c>
      <c r="G28" t="inlineStr">
        <is>
          <t>Alvarez Adolf</t>
        </is>
      </c>
      <c r="H28" t="inlineStr">
        <is>
          <t>JECS001PH:Kyoikuc support</t>
        </is>
      </c>
      <c r="I28" s="1" t="n">
        <v>45944</v>
      </c>
      <c r="J28" t="n">
        <v>1.25</v>
      </c>
      <c r="L28">
        <f>IFERROR(LEFT(K28,             FIND(",", K28) - 1), "-")</f>
        <v/>
      </c>
      <c r="M28">
        <f>IFERROR(MID(K28,             FIND(",", K28) + 1, LEN(K28) - FIND(",", K28)), K28)</f>
        <v/>
      </c>
      <c r="N28" t="n">
        <v>4</v>
      </c>
      <c r="O28" s="2" t="n"/>
      <c r="P28" s="2" t="inlineStr">
        <is>
          <t>08:00</t>
        </is>
      </c>
      <c r="Q28" t="inlineStr">
        <is>
          <t>09:15</t>
        </is>
      </c>
    </row>
    <row r="29">
      <c r="A29" t="inlineStr">
        <is>
          <t>Alvarez Adolf</t>
        </is>
      </c>
      <c r="B29" t="inlineStr">
        <is>
          <t>JECS001PH:Kyoikuc support</t>
        </is>
      </c>
      <c r="D29">
        <f>L29</f>
        <v/>
      </c>
      <c r="E29">
        <f>SUMIFS(J:J, G:G,             A29, H:H, B29, L:L, L29)</f>
        <v/>
      </c>
      <c r="F29" t="inlineStr">
        <is>
          <t>PH0005</t>
        </is>
      </c>
      <c r="G29" t="inlineStr">
        <is>
          <t>Alvarez Adolf</t>
        </is>
      </c>
      <c r="H29" t="inlineStr">
        <is>
          <t>JECS001PH:Kyoikuc support</t>
        </is>
      </c>
      <c r="I29" s="1" t="n">
        <v>45944</v>
      </c>
      <c r="J29" t="n">
        <v>1.5</v>
      </c>
      <c r="L29">
        <f>IFERROR(LEFT(K29,             FIND(",", K29) - 1), "-")</f>
        <v/>
      </c>
      <c r="M29">
        <f>IFERROR(MID(K29,             FIND(",", K29) + 1, LEN(K29) - FIND(",", K29)), K29)</f>
        <v/>
      </c>
      <c r="N29" t="n">
        <v>4</v>
      </c>
      <c r="O29" s="2" t="n"/>
      <c r="P29" s="2" t="inlineStr">
        <is>
          <t>09:30</t>
        </is>
      </c>
      <c r="Q29" t="inlineStr">
        <is>
          <t>11:00</t>
        </is>
      </c>
    </row>
    <row r="30">
      <c r="A30" t="inlineStr">
        <is>
          <t>Alvarez Adolf</t>
        </is>
      </c>
      <c r="B30" t="inlineStr">
        <is>
          <t>JECS001PH:Kyoikuc support</t>
        </is>
      </c>
      <c r="D30">
        <f>L30</f>
        <v/>
      </c>
      <c r="E30">
        <f>SUMIFS(J:J, G:G,             A30, H:H, B30, L:L, L30)</f>
        <v/>
      </c>
      <c r="F30" t="inlineStr">
        <is>
          <t>PH0005</t>
        </is>
      </c>
      <c r="G30" t="inlineStr">
        <is>
          <t>Alvarez Adolf</t>
        </is>
      </c>
      <c r="H30" t="inlineStr">
        <is>
          <t>JECS001PH:Kyoikuc support</t>
        </is>
      </c>
      <c r="I30" s="1" t="n">
        <v>45944</v>
      </c>
      <c r="J30" t="n">
        <v>3</v>
      </c>
      <c r="L30">
        <f>IFERROR(LEFT(K30,             FIND(",", K30) - 1), "-")</f>
        <v/>
      </c>
      <c r="M30">
        <f>IFERROR(MID(K30,             FIND(",", K30) + 1, LEN(K30) - FIND(",", K30)), K30)</f>
        <v/>
      </c>
      <c r="N30" t="n">
        <v>4</v>
      </c>
      <c r="O30" s="2" t="n"/>
      <c r="P30" s="2" t="inlineStr">
        <is>
          <t>12:00</t>
        </is>
      </c>
      <c r="Q30" t="inlineStr">
        <is>
          <t>15:00</t>
        </is>
      </c>
    </row>
    <row r="31">
      <c r="A31" t="inlineStr">
        <is>
          <t>Alvarez Adolf</t>
        </is>
      </c>
      <c r="B31" t="inlineStr">
        <is>
          <t>JECS001PH:Kyoikuc support</t>
        </is>
      </c>
      <c r="D31">
        <f>L31</f>
        <v/>
      </c>
      <c r="E31">
        <f>SUMIFS(J:J, G:G,             A31, H:H, B31, L:L, L31)</f>
        <v/>
      </c>
      <c r="F31" t="inlineStr">
        <is>
          <t>PH0005</t>
        </is>
      </c>
      <c r="G31" t="inlineStr">
        <is>
          <t>Alvarez Adolf</t>
        </is>
      </c>
      <c r="H31" t="inlineStr">
        <is>
          <t>JECS001PH:Kyoikuc support</t>
        </is>
      </c>
      <c r="I31" s="1" t="n">
        <v>45944</v>
      </c>
      <c r="J31" t="n">
        <v>1.75</v>
      </c>
      <c r="L31">
        <f>IFERROR(LEFT(K31,             FIND(",", K31) - 1), "-")</f>
        <v/>
      </c>
      <c r="M31">
        <f>IFERROR(MID(K31,             FIND(",", K31) + 1, LEN(K31) - FIND(",", K31)), K31)</f>
        <v/>
      </c>
      <c r="N31" t="n">
        <v>4</v>
      </c>
      <c r="O31" s="2" t="n"/>
      <c r="P31" s="2" t="inlineStr">
        <is>
          <t>15:15</t>
        </is>
      </c>
      <c r="Q31" t="inlineStr">
        <is>
          <t>17:00</t>
        </is>
      </c>
    </row>
    <row r="32">
      <c r="A32" t="inlineStr">
        <is>
          <t>Alvarez Adolf</t>
        </is>
      </c>
      <c r="B32" t="inlineStr">
        <is>
          <t>SMMs001PH:SMM Support</t>
        </is>
      </c>
      <c r="C32">
        <f>SUMIFS(J:J, G:G,             A32, H:H, B32)</f>
        <v/>
      </c>
      <c r="D32">
        <f>L32</f>
        <v/>
      </c>
      <c r="E32">
        <f>SUMIFS(J:J, G:G,             A32, H:H, B32, L:L, L32)</f>
        <v/>
      </c>
      <c r="F32" t="inlineStr">
        <is>
          <t>PH0005</t>
        </is>
      </c>
      <c r="G32" t="inlineStr">
        <is>
          <t>Alvarez Adolf</t>
        </is>
      </c>
      <c r="H32" t="inlineStr">
        <is>
          <t>SMMs001PH:SMM Support</t>
        </is>
      </c>
      <c r="I32" s="1" t="n">
        <v>45931</v>
      </c>
      <c r="J32" t="n">
        <v>1.25</v>
      </c>
      <c r="L32">
        <f>IFERROR(LEFT(K32,             FIND(",", K32) - 1), "-")</f>
        <v/>
      </c>
      <c r="M32">
        <f>IFERROR(MID(K32,             FIND(",", K32) + 1, LEN(K32) - FIND(",", K32)), K32)</f>
        <v/>
      </c>
      <c r="N32" t="n">
        <v>4</v>
      </c>
      <c r="O32" s="2" t="n"/>
      <c r="P32" s="2" t="inlineStr">
        <is>
          <t>08:00</t>
        </is>
      </c>
      <c r="Q32" t="inlineStr">
        <is>
          <t>09:15</t>
        </is>
      </c>
    </row>
    <row r="33">
      <c r="A33" t="inlineStr">
        <is>
          <t>Alvarez Adolf</t>
        </is>
      </c>
      <c r="B33" t="inlineStr">
        <is>
          <t>SMMs001PH:SMM Support</t>
        </is>
      </c>
      <c r="D33">
        <f>L33</f>
        <v/>
      </c>
      <c r="E33">
        <f>SUMIFS(J:J, G:G,             A33, H:H, B33, L:L, L33)</f>
        <v/>
      </c>
      <c r="F33" t="inlineStr">
        <is>
          <t>PH0005</t>
        </is>
      </c>
      <c r="G33" t="inlineStr">
        <is>
          <t>Alvarez Adolf</t>
        </is>
      </c>
      <c r="H33" t="inlineStr">
        <is>
          <t>SMMs001PH:SMM Support</t>
        </is>
      </c>
      <c r="I33" s="1" t="n">
        <v>45931</v>
      </c>
      <c r="J33" t="n">
        <v>1.5</v>
      </c>
      <c r="L33">
        <f>IFERROR(LEFT(K33,             FIND(",", K33) - 1), "-")</f>
        <v/>
      </c>
      <c r="M33">
        <f>IFERROR(MID(K33,             FIND(",", K33) + 1, LEN(K33) - FIND(",", K33)), K33)</f>
        <v/>
      </c>
      <c r="N33" t="n">
        <v>2</v>
      </c>
      <c r="O33" s="2" t="n"/>
      <c r="P33" s="2" t="inlineStr">
        <is>
          <t>09:30</t>
        </is>
      </c>
      <c r="Q33" t="inlineStr">
        <is>
          <t>11:00</t>
        </is>
      </c>
    </row>
    <row r="34">
      <c r="A34" t="inlineStr">
        <is>
          <t>Alvarez Adolf</t>
        </is>
      </c>
      <c r="B34" t="inlineStr">
        <is>
          <t>SMMs001PH:SMM Support</t>
        </is>
      </c>
      <c r="D34">
        <f>L34</f>
        <v/>
      </c>
      <c r="E34">
        <f>SUMIFS(J:J, G:G,             A34, H:H, B34, L:L, L34)</f>
        <v/>
      </c>
      <c r="F34" t="inlineStr">
        <is>
          <t>PH0005</t>
        </is>
      </c>
      <c r="G34" t="inlineStr">
        <is>
          <t>Alvarez Adolf</t>
        </is>
      </c>
      <c r="H34" t="inlineStr">
        <is>
          <t>SMMs001PH:SMM Support</t>
        </is>
      </c>
      <c r="I34" s="1" t="n">
        <v>45931</v>
      </c>
      <c r="J34" t="n">
        <v>3</v>
      </c>
      <c r="L34">
        <f>IFERROR(LEFT(K34,             FIND(",", K34) - 1), "-")</f>
        <v/>
      </c>
      <c r="M34">
        <f>IFERROR(MID(K34,             FIND(",", K34) + 1, LEN(K34) - FIND(",", K34)), K34)</f>
        <v/>
      </c>
      <c r="N34" t="n">
        <v>2</v>
      </c>
      <c r="O34" s="2" t="n"/>
      <c r="P34" s="2" t="inlineStr">
        <is>
          <t>12:00</t>
        </is>
      </c>
      <c r="Q34" t="inlineStr">
        <is>
          <t>15:00</t>
        </is>
      </c>
    </row>
    <row r="35">
      <c r="A35" t="inlineStr">
        <is>
          <t>Alvarez Adolf</t>
        </is>
      </c>
      <c r="B35" t="inlineStr">
        <is>
          <t>SMMs001PH:SMM Support</t>
        </is>
      </c>
      <c r="D35">
        <f>L35</f>
        <v/>
      </c>
      <c r="E35">
        <f>SUMIFS(J:J, G:G,             A35, H:H, B35, L:L, L35)</f>
        <v/>
      </c>
      <c r="F35" t="inlineStr">
        <is>
          <t>PH0005</t>
        </is>
      </c>
      <c r="G35" t="inlineStr">
        <is>
          <t>Alvarez Adolf</t>
        </is>
      </c>
      <c r="H35" t="inlineStr">
        <is>
          <t>SMMs001PH:SMM Support</t>
        </is>
      </c>
      <c r="I35" s="1" t="n">
        <v>45931</v>
      </c>
      <c r="J35" t="n">
        <v>1</v>
      </c>
      <c r="L35">
        <f>IFERROR(LEFT(K35,             FIND(",", K35) - 1), "-")</f>
        <v/>
      </c>
      <c r="M35">
        <f>IFERROR(MID(K35,             FIND(",", K35) + 1, LEN(K35) - FIND(",", K35)), K35)</f>
        <v/>
      </c>
      <c r="N35" t="n">
        <v>4</v>
      </c>
      <c r="O35" s="2" t="n"/>
      <c r="P35" s="2" t="inlineStr">
        <is>
          <t>15:15</t>
        </is>
      </c>
      <c r="Q35" t="inlineStr">
        <is>
          <t>16:15</t>
        </is>
      </c>
    </row>
    <row r="36">
      <c r="A36" t="inlineStr">
        <is>
          <t>Alvarez Adolf</t>
        </is>
      </c>
      <c r="B36" t="inlineStr">
        <is>
          <t>SMMs001PH:SMM Support</t>
        </is>
      </c>
      <c r="D36">
        <f>L36</f>
        <v/>
      </c>
      <c r="E36">
        <f>SUMIFS(J:J, G:G,             A36, H:H, B36, L:L, L36)</f>
        <v/>
      </c>
      <c r="F36" t="inlineStr">
        <is>
          <t>PH0005</t>
        </is>
      </c>
      <c r="G36" t="inlineStr">
        <is>
          <t>Alvarez Adolf</t>
        </is>
      </c>
      <c r="H36" t="inlineStr">
        <is>
          <t>SMMs001PH:SMM Support</t>
        </is>
      </c>
      <c r="I36" s="1" t="n">
        <v>45932</v>
      </c>
      <c r="J36" t="n">
        <v>1.25</v>
      </c>
      <c r="L36">
        <f>IFERROR(LEFT(K36,             FIND(",", K36) - 1), "-")</f>
        <v/>
      </c>
      <c r="M36">
        <f>IFERROR(MID(K36,             FIND(",", K36) + 1, LEN(K36) - FIND(",", K36)), K36)</f>
        <v/>
      </c>
      <c r="N36" t="n">
        <v>2</v>
      </c>
      <c r="O36" s="2" t="n"/>
      <c r="P36" s="2" t="inlineStr">
        <is>
          <t>08:00</t>
        </is>
      </c>
      <c r="Q36" t="inlineStr">
        <is>
          <t>09:15</t>
        </is>
      </c>
    </row>
    <row r="37">
      <c r="A37" t="inlineStr">
        <is>
          <t>Alvarez Adolf</t>
        </is>
      </c>
      <c r="B37" t="inlineStr">
        <is>
          <t>SMMs001PH:SMM Support</t>
        </is>
      </c>
      <c r="D37">
        <f>L37</f>
        <v/>
      </c>
      <c r="E37">
        <f>SUMIFS(J:J, G:G,             A37, H:H, B37, L:L, L37)</f>
        <v/>
      </c>
      <c r="F37" t="inlineStr">
        <is>
          <t>PH0005</t>
        </is>
      </c>
      <c r="G37" t="inlineStr">
        <is>
          <t>Alvarez Adolf</t>
        </is>
      </c>
      <c r="H37" t="inlineStr">
        <is>
          <t>SMMs001PH:SMM Support</t>
        </is>
      </c>
      <c r="I37" s="1" t="n">
        <v>45932</v>
      </c>
      <c r="J37" t="n">
        <v>0.25</v>
      </c>
      <c r="L37">
        <f>IFERROR(LEFT(K37,             FIND(",", K37) - 1), "-")</f>
        <v/>
      </c>
      <c r="M37">
        <f>IFERROR(MID(K37,             FIND(",", K37) + 1, LEN(K37) - FIND(",", K37)), K37)</f>
        <v/>
      </c>
      <c r="N37" t="n">
        <v>2</v>
      </c>
      <c r="O37" s="2" t="n"/>
      <c r="P37" s="2" t="inlineStr">
        <is>
          <t>09:30</t>
        </is>
      </c>
      <c r="Q37" t="inlineStr">
        <is>
          <t>09:45</t>
        </is>
      </c>
    </row>
    <row r="38">
      <c r="A38" t="inlineStr">
        <is>
          <t>Alvarez Adolf</t>
        </is>
      </c>
      <c r="B38" t="inlineStr">
        <is>
          <t>SMMs001PH:SMM Support</t>
        </is>
      </c>
      <c r="D38">
        <f>L38</f>
        <v/>
      </c>
      <c r="E38">
        <f>SUMIFS(J:J, G:G,             A38, H:H, B38, L:L, L38)</f>
        <v/>
      </c>
      <c r="F38" t="inlineStr">
        <is>
          <t>PH0005</t>
        </is>
      </c>
      <c r="G38" t="inlineStr">
        <is>
          <t>Alvarez Adolf</t>
        </is>
      </c>
      <c r="H38" t="inlineStr">
        <is>
          <t>SMMs001PH:SMM Support</t>
        </is>
      </c>
      <c r="I38" s="1" t="n">
        <v>45938</v>
      </c>
      <c r="J38" t="n">
        <v>1</v>
      </c>
      <c r="L38">
        <f>IFERROR(LEFT(K38,             FIND(",", K38) - 1), "-")</f>
        <v/>
      </c>
      <c r="M38">
        <f>IFERROR(MID(K38,             FIND(",", K38) + 1, LEN(K38) - FIND(",", K38)), K38)</f>
        <v/>
      </c>
      <c r="N38" t="n">
        <v>2</v>
      </c>
      <c r="O38" s="2" t="n"/>
      <c r="P38" s="2" t="inlineStr">
        <is>
          <t>16:00</t>
        </is>
      </c>
      <c r="Q38" t="inlineStr">
        <is>
          <t>17:00</t>
        </is>
      </c>
    </row>
    <row r="39">
      <c r="A39" t="inlineStr">
        <is>
          <t>Alvarez Adolf</t>
        </is>
      </c>
      <c r="B39" t="inlineStr">
        <is>
          <t>SMMs001PH:SMM Support</t>
        </is>
      </c>
      <c r="D39">
        <f>L39</f>
        <v/>
      </c>
      <c r="E39">
        <f>SUMIFS(J:J, G:G,             A39, H:H, B39, L:L, L39)</f>
        <v/>
      </c>
      <c r="F39" t="inlineStr">
        <is>
          <t>PH0005</t>
        </is>
      </c>
      <c r="G39" t="inlineStr">
        <is>
          <t>Alvarez Adolf</t>
        </is>
      </c>
      <c r="H39" t="inlineStr">
        <is>
          <t>SMMs001PH:SMM Support</t>
        </is>
      </c>
      <c r="I39" s="1" t="n">
        <v>45939</v>
      </c>
      <c r="J39" t="n">
        <v>0.25</v>
      </c>
      <c r="L39">
        <f>IFERROR(LEFT(K39,             FIND(",", K39) - 1), "-")</f>
        <v/>
      </c>
      <c r="M39">
        <f>IFERROR(MID(K39,             FIND(",", K39) + 1, LEN(K39) - FIND(",", K39)), K39)</f>
        <v/>
      </c>
      <c r="N39" t="n">
        <v>2</v>
      </c>
      <c r="O39" s="2" t="n"/>
      <c r="P39" s="2" t="inlineStr">
        <is>
          <t>09:15</t>
        </is>
      </c>
      <c r="Q39" t="inlineStr">
        <is>
          <t>09:30</t>
        </is>
      </c>
    </row>
    <row r="40">
      <c r="A40" t="inlineStr">
        <is>
          <t>Alvarez Adolf</t>
        </is>
      </c>
      <c r="B40" t="inlineStr">
        <is>
          <t>SMMs001PH:SMM Support</t>
        </is>
      </c>
      <c r="D40">
        <f>L40</f>
        <v/>
      </c>
      <c r="E40">
        <f>SUMIFS(J:J, G:G,             A40, H:H, B40, L:L, L40)</f>
        <v/>
      </c>
      <c r="F40" t="inlineStr">
        <is>
          <t>PH0005</t>
        </is>
      </c>
      <c r="G40" t="inlineStr">
        <is>
          <t>Alvarez Adolf</t>
        </is>
      </c>
      <c r="H40" t="inlineStr">
        <is>
          <t>SMMs001PH:SMM Support</t>
        </is>
      </c>
      <c r="I40" s="1" t="n">
        <v>45939</v>
      </c>
      <c r="J40" t="n">
        <v>1.25</v>
      </c>
      <c r="L40">
        <f>IFERROR(LEFT(K40,             FIND(",", K40) - 1), "-")</f>
        <v/>
      </c>
      <c r="M40">
        <f>IFERROR(MID(K40,             FIND(",", K40) + 1, LEN(K40) - FIND(",", K40)), K40)</f>
        <v/>
      </c>
      <c r="N40" t="n">
        <v>2</v>
      </c>
      <c r="O40" s="2" t="n"/>
      <c r="P40" s="2" t="inlineStr">
        <is>
          <t>09:45</t>
        </is>
      </c>
      <c r="Q40" t="inlineStr">
        <is>
          <t>11:00</t>
        </is>
      </c>
    </row>
    <row r="41">
      <c r="A41" t="inlineStr">
        <is>
          <t>Alvarez Adolf</t>
        </is>
      </c>
      <c r="B41" t="inlineStr">
        <is>
          <t>SMMs001PH:SMM Support</t>
        </is>
      </c>
      <c r="D41">
        <f>L41</f>
        <v/>
      </c>
      <c r="E41">
        <f>SUMIFS(J:J, G:G,             A41, H:H, B41, L:L, L41)</f>
        <v/>
      </c>
      <c r="F41" t="inlineStr">
        <is>
          <t>PH0005</t>
        </is>
      </c>
      <c r="G41" t="inlineStr">
        <is>
          <t>Alvarez Adolf</t>
        </is>
      </c>
      <c r="H41" t="inlineStr">
        <is>
          <t>SMMs001PH:SMM Support</t>
        </is>
      </c>
      <c r="I41" s="1" t="n">
        <v>45946</v>
      </c>
      <c r="J41" t="n">
        <v>1</v>
      </c>
      <c r="L41">
        <f>IFERROR(LEFT(K41,             FIND(",", K41) - 1), "-")</f>
        <v/>
      </c>
      <c r="M41">
        <f>IFERROR(MID(K41,             FIND(",", K41) + 1, LEN(K41) - FIND(",", K41)), K41)</f>
        <v/>
      </c>
      <c r="N41" t="n">
        <v>4</v>
      </c>
      <c r="O41" s="2" t="n"/>
      <c r="P41" s="2" t="inlineStr">
        <is>
          <t>13:30</t>
        </is>
      </c>
      <c r="Q41" t="inlineStr">
        <is>
          <t>14:30</t>
        </is>
      </c>
    </row>
    <row r="42">
      <c r="A42" t="inlineStr">
        <is>
          <t>Alvarez Adolf</t>
        </is>
      </c>
      <c r="B42" t="inlineStr">
        <is>
          <t>SMMs001PH:SMM Support</t>
        </is>
      </c>
      <c r="D42">
        <f>L42</f>
        <v/>
      </c>
      <c r="E42">
        <f>SUMIFS(J:J, G:G,             A42, H:H, B42, L:L, L42)</f>
        <v/>
      </c>
      <c r="F42" t="inlineStr">
        <is>
          <t>PH0005</t>
        </is>
      </c>
      <c r="G42" t="inlineStr">
        <is>
          <t>Alvarez Adolf</t>
        </is>
      </c>
      <c r="H42" t="inlineStr">
        <is>
          <t>SMMs001PH:SMM Support</t>
        </is>
      </c>
      <c r="I42" s="1" t="n">
        <v>45953</v>
      </c>
      <c r="J42" t="n">
        <v>1.5</v>
      </c>
      <c r="L42">
        <f>IFERROR(LEFT(K42,             FIND(",", K42) - 1), "-")</f>
        <v/>
      </c>
      <c r="M42">
        <f>IFERROR(MID(K42,             FIND(",", K42) + 1, LEN(K42) - FIND(",", K42)), K42)</f>
        <v/>
      </c>
      <c r="N42" t="n">
        <v>4</v>
      </c>
      <c r="O42" s="2" t="n"/>
      <c r="P42" s="2" t="inlineStr">
        <is>
          <t>09:30</t>
        </is>
      </c>
      <c r="Q42" t="inlineStr">
        <is>
          <t>11:00</t>
        </is>
      </c>
    </row>
    <row r="43">
      <c r="A43" t="inlineStr">
        <is>
          <t>Alvarez Adolf</t>
        </is>
      </c>
      <c r="B43" t="inlineStr">
        <is>
          <t>SMMs001PH:SMM Support</t>
        </is>
      </c>
      <c r="D43">
        <f>L43</f>
        <v/>
      </c>
      <c r="E43">
        <f>SUMIFS(J:J, G:G,             A43, H:H, B43, L:L, L43)</f>
        <v/>
      </c>
      <c r="F43" t="inlineStr">
        <is>
          <t>PH0005</t>
        </is>
      </c>
      <c r="G43" t="inlineStr">
        <is>
          <t>Alvarez Adolf</t>
        </is>
      </c>
      <c r="H43" t="inlineStr">
        <is>
          <t>SMMs001PH:SMM Support</t>
        </is>
      </c>
      <c r="I43" s="1" t="n">
        <v>45953</v>
      </c>
      <c r="J43" t="n">
        <v>3</v>
      </c>
      <c r="L43">
        <f>IFERROR(LEFT(K43,             FIND(",", K43) - 1), "-")</f>
        <v/>
      </c>
      <c r="M43">
        <f>IFERROR(MID(K43,             FIND(",", K43) + 1, LEN(K43) - FIND(",", K43)), K43)</f>
        <v/>
      </c>
      <c r="N43" t="n">
        <v>2</v>
      </c>
      <c r="O43" s="2" t="n"/>
      <c r="P43" s="2" t="inlineStr">
        <is>
          <t>12:00</t>
        </is>
      </c>
      <c r="Q43" t="inlineStr">
        <is>
          <t>15:00</t>
        </is>
      </c>
    </row>
    <row r="44">
      <c r="A44" t="inlineStr">
        <is>
          <t>Alvarez Adolf</t>
        </is>
      </c>
      <c r="B44" t="inlineStr">
        <is>
          <t>SMMs001PH:SMM Support</t>
        </is>
      </c>
      <c r="D44">
        <f>L44</f>
        <v/>
      </c>
      <c r="E44">
        <f>SUMIFS(J:J, G:G,             A44, H:H, B44, L:L, L44)</f>
        <v/>
      </c>
      <c r="F44" t="inlineStr">
        <is>
          <t>PH0005</t>
        </is>
      </c>
      <c r="G44" t="inlineStr">
        <is>
          <t>Alvarez Adolf</t>
        </is>
      </c>
      <c r="H44" t="inlineStr">
        <is>
          <t>SMMs001PH:SMM Support</t>
        </is>
      </c>
      <c r="I44" s="1" t="n">
        <v>45953</v>
      </c>
      <c r="J44" t="n">
        <v>2.25</v>
      </c>
      <c r="L44">
        <f>IFERROR(LEFT(K44,             FIND(",", K44) - 1), "-")</f>
        <v/>
      </c>
      <c r="M44">
        <f>IFERROR(MID(K44,             FIND(",", K44) + 1, LEN(K44) - FIND(",", K44)), K44)</f>
        <v/>
      </c>
      <c r="N44" t="n">
        <v>2</v>
      </c>
      <c r="O44" s="2" t="n"/>
      <c r="P44" s="2" t="inlineStr">
        <is>
          <t>15:15</t>
        </is>
      </c>
      <c r="Q44" t="inlineStr">
        <is>
          <t>17:30</t>
        </is>
      </c>
    </row>
    <row r="45">
      <c r="A45" t="inlineStr">
        <is>
          <t>Alvarez Adolf</t>
        </is>
      </c>
      <c r="B45" t="inlineStr">
        <is>
          <t>TCNz002PH:Waiting for requests</t>
        </is>
      </c>
      <c r="C45">
        <f>SUMIFS(J:J, G:G,             A45, H:H, B45)</f>
        <v/>
      </c>
      <c r="D45">
        <f>L45</f>
        <v/>
      </c>
      <c r="E45">
        <f>SUMIFS(J:J, G:G,             A45, H:H, B45, L:L, L45)</f>
        <v/>
      </c>
      <c r="F45" t="inlineStr">
        <is>
          <t>PH0005</t>
        </is>
      </c>
      <c r="G45" t="inlineStr">
        <is>
          <t>Alvarez Adolf</t>
        </is>
      </c>
      <c r="H45" t="inlineStr">
        <is>
          <t>TCNz002PH:Waiting for requests</t>
        </is>
      </c>
      <c r="I45" s="1" t="n">
        <v>45945</v>
      </c>
      <c r="J45" t="n">
        <v>1.25</v>
      </c>
      <c r="K45" t="inlineStr">
        <is>
          <t>Study Python</t>
        </is>
      </c>
      <c r="L45">
        <f>IFERROR(LEFT(K45,             FIND(",", K45) - 1), "-")</f>
        <v/>
      </c>
      <c r="M45">
        <f>IFERROR(MID(K45,             FIND(",", K45) + 1, LEN(K45) - FIND(",", K45)), K45)</f>
        <v/>
      </c>
      <c r="N45" t="n">
        <v>5</v>
      </c>
      <c r="O45" s="2" t="n"/>
      <c r="P45" s="2" t="inlineStr">
        <is>
          <t>08:00</t>
        </is>
      </c>
      <c r="Q45" t="inlineStr">
        <is>
          <t>09:15</t>
        </is>
      </c>
    </row>
    <row r="46">
      <c r="A46" t="inlineStr">
        <is>
          <t>Alvarez Adolf</t>
        </is>
      </c>
      <c r="B46" t="inlineStr">
        <is>
          <t>TCNz002PH:Waiting for requests</t>
        </is>
      </c>
      <c r="D46">
        <f>L46</f>
        <v/>
      </c>
      <c r="E46">
        <f>SUMIFS(J:J, G:G,             A46, H:H, B46, L:L, L46)</f>
        <v/>
      </c>
      <c r="F46" t="inlineStr">
        <is>
          <t>PH0005</t>
        </is>
      </c>
      <c r="G46" t="inlineStr">
        <is>
          <t>Alvarez Adolf</t>
        </is>
      </c>
      <c r="H46" t="inlineStr">
        <is>
          <t>TCNz002PH:Waiting for requests</t>
        </is>
      </c>
      <c r="I46" s="1" t="n">
        <v>45945</v>
      </c>
      <c r="J46" t="n">
        <v>1.5</v>
      </c>
      <c r="K46" t="inlineStr">
        <is>
          <t>Study Python</t>
        </is>
      </c>
      <c r="L46">
        <f>IFERROR(LEFT(K46,             FIND(",", K46) - 1), "-")</f>
        <v/>
      </c>
      <c r="M46">
        <f>IFERROR(MID(K46,             FIND(",", K46) + 1, LEN(K46) - FIND(",", K46)), K46)</f>
        <v/>
      </c>
      <c r="N46" t="n">
        <v>5</v>
      </c>
      <c r="O46" s="2" t="n"/>
      <c r="P46" s="2" t="inlineStr">
        <is>
          <t>09:30</t>
        </is>
      </c>
      <c r="Q46" t="inlineStr">
        <is>
          <t>11:00</t>
        </is>
      </c>
    </row>
    <row r="47">
      <c r="A47" t="inlineStr">
        <is>
          <t>Alvarez Adolf</t>
        </is>
      </c>
      <c r="B47" t="inlineStr">
        <is>
          <t>TCNz002PH:Waiting for requests</t>
        </is>
      </c>
      <c r="D47">
        <f>L47</f>
        <v/>
      </c>
      <c r="E47">
        <f>SUMIFS(J:J, G:G,             A47, H:H, B47, L:L, L47)</f>
        <v/>
      </c>
      <c r="F47" t="inlineStr">
        <is>
          <t>PH0005</t>
        </is>
      </c>
      <c r="G47" t="inlineStr">
        <is>
          <t>Alvarez Adolf</t>
        </is>
      </c>
      <c r="H47" t="inlineStr">
        <is>
          <t>TCNz002PH:Waiting for requests</t>
        </is>
      </c>
      <c r="I47" s="1" t="n">
        <v>45945</v>
      </c>
      <c r="J47" t="n">
        <v>3</v>
      </c>
      <c r="K47" t="inlineStr">
        <is>
          <t>Study Python</t>
        </is>
      </c>
      <c r="L47">
        <f>IFERROR(LEFT(K47,             FIND(",", K47) - 1), "-")</f>
        <v/>
      </c>
      <c r="M47">
        <f>IFERROR(MID(K47,             FIND(",", K47) + 1, LEN(K47) - FIND(",", K47)), K47)</f>
        <v/>
      </c>
      <c r="N47" t="n">
        <v>5</v>
      </c>
      <c r="O47" s="2" t="n"/>
      <c r="P47" s="2" t="inlineStr">
        <is>
          <t>12:00</t>
        </is>
      </c>
      <c r="Q47" t="inlineStr">
        <is>
          <t>15:00</t>
        </is>
      </c>
    </row>
    <row r="48">
      <c r="A48" t="inlineStr">
        <is>
          <t>Alvarez Adolf</t>
        </is>
      </c>
      <c r="B48" t="inlineStr">
        <is>
          <t>TCNz002PH:Waiting for requests</t>
        </is>
      </c>
      <c r="D48">
        <f>L48</f>
        <v/>
      </c>
      <c r="E48">
        <f>SUMIFS(J:J, G:G,             A48, H:H, B48, L:L, L48)</f>
        <v/>
      </c>
      <c r="F48" t="inlineStr">
        <is>
          <t>PH0005</t>
        </is>
      </c>
      <c r="G48" t="inlineStr">
        <is>
          <t>Alvarez Adolf</t>
        </is>
      </c>
      <c r="H48" t="inlineStr">
        <is>
          <t>TCNz002PH:Waiting for requests</t>
        </is>
      </c>
      <c r="I48" s="1" t="n">
        <v>45945</v>
      </c>
      <c r="J48" t="n">
        <v>1.25</v>
      </c>
      <c r="K48" t="inlineStr">
        <is>
          <t>Study Python</t>
        </is>
      </c>
      <c r="L48">
        <f>IFERROR(LEFT(K48,             FIND(",", K48) - 1), "-")</f>
        <v/>
      </c>
      <c r="M48">
        <f>IFERROR(MID(K48,             FIND(",", K48) + 1, LEN(K48) - FIND(",", K48)), K48)</f>
        <v/>
      </c>
      <c r="N48" t="n">
        <v>5</v>
      </c>
      <c r="O48" s="2" t="n"/>
      <c r="P48" s="2" t="inlineStr">
        <is>
          <t>15:15</t>
        </is>
      </c>
      <c r="Q48" t="inlineStr">
        <is>
          <t>16:30</t>
        </is>
      </c>
    </row>
    <row r="49">
      <c r="A49" t="inlineStr">
        <is>
          <t>Alvarez Adolf</t>
        </is>
      </c>
      <c r="B49" t="inlineStr">
        <is>
          <t>TCNz002PH:Waiting for requests</t>
        </is>
      </c>
      <c r="D49">
        <f>L49</f>
        <v/>
      </c>
      <c r="E49">
        <f>SUMIFS(J:J, G:G,             A49, H:H, B49, L:L, L49)</f>
        <v/>
      </c>
      <c r="F49" t="inlineStr">
        <is>
          <t>PH0005</t>
        </is>
      </c>
      <c r="G49" t="inlineStr">
        <is>
          <t>Alvarez Adolf</t>
        </is>
      </c>
      <c r="H49" t="inlineStr">
        <is>
          <t>TCNz002PH:Waiting for requests</t>
        </is>
      </c>
      <c r="I49" s="1" t="n">
        <v>45947</v>
      </c>
      <c r="J49" t="n">
        <v>1.25</v>
      </c>
      <c r="K49" t="inlineStr">
        <is>
          <t>Study Python</t>
        </is>
      </c>
      <c r="L49">
        <f>IFERROR(LEFT(K49,             FIND(",", K49) - 1), "-")</f>
        <v/>
      </c>
      <c r="M49">
        <f>IFERROR(MID(K49,             FIND(",", K49) + 1, LEN(K49) - FIND(",", K49)), K49)</f>
        <v/>
      </c>
      <c r="N49" t="n">
        <v>5</v>
      </c>
      <c r="O49" s="2" t="n"/>
      <c r="P49" s="2" t="inlineStr">
        <is>
          <t>08:00</t>
        </is>
      </c>
      <c r="Q49" t="inlineStr">
        <is>
          <t>09:15</t>
        </is>
      </c>
    </row>
    <row r="50">
      <c r="A50" t="inlineStr">
        <is>
          <t>Alvarez Adolf</t>
        </is>
      </c>
      <c r="B50" t="inlineStr">
        <is>
          <t>TCNz002PH:Waiting for requests</t>
        </is>
      </c>
      <c r="D50">
        <f>L50</f>
        <v/>
      </c>
      <c r="E50">
        <f>SUMIFS(J:J, G:G,             A50, H:H, B50, L:L, L50)</f>
        <v/>
      </c>
      <c r="F50" t="inlineStr">
        <is>
          <t>PH0005</t>
        </is>
      </c>
      <c r="G50" t="inlineStr">
        <is>
          <t>Alvarez Adolf</t>
        </is>
      </c>
      <c r="H50" t="inlineStr">
        <is>
          <t>TCNz002PH:Waiting for requests</t>
        </is>
      </c>
      <c r="I50" s="1" t="n">
        <v>45947</v>
      </c>
      <c r="J50" t="n">
        <v>1.5</v>
      </c>
      <c r="K50" t="inlineStr">
        <is>
          <t>Study Python</t>
        </is>
      </c>
      <c r="L50">
        <f>IFERROR(LEFT(K50,             FIND(",", K50) - 1), "-")</f>
        <v/>
      </c>
      <c r="M50">
        <f>IFERROR(MID(K50,             FIND(",", K50) + 1, LEN(K50) - FIND(",", K50)), K50)</f>
        <v/>
      </c>
      <c r="N50" t="n">
        <v>5</v>
      </c>
      <c r="O50" s="2" t="n"/>
      <c r="P50" s="2" t="inlineStr">
        <is>
          <t>09:30</t>
        </is>
      </c>
      <c r="Q50" t="inlineStr">
        <is>
          <t>11:00</t>
        </is>
      </c>
    </row>
    <row r="51">
      <c r="A51" t="inlineStr">
        <is>
          <t>Alvarez Adolf</t>
        </is>
      </c>
      <c r="B51" t="inlineStr">
        <is>
          <t>TCNz004PH:SMS NewDev</t>
        </is>
      </c>
      <c r="C51">
        <f>SUMIFS(J:J, G:G,             A51, H:H, B51)</f>
        <v/>
      </c>
      <c r="D51">
        <f>L51</f>
        <v/>
      </c>
      <c r="E51">
        <f>SUMIFS(J:J, G:G,             A51, H:H, B51, L:L, L51)</f>
        <v/>
      </c>
      <c r="F51" t="inlineStr">
        <is>
          <t>PH0005</t>
        </is>
      </c>
      <c r="G51" t="inlineStr">
        <is>
          <t>Alvarez Adolf</t>
        </is>
      </c>
      <c r="H51" t="inlineStr">
        <is>
          <t>TCNz004PH:SMS NewDev</t>
        </is>
      </c>
      <c r="I51" s="1" t="n">
        <v>45931</v>
      </c>
      <c r="J51" t="n">
        <v>0.75</v>
      </c>
      <c r="L51">
        <f>IFERROR(LEFT(K51,             FIND(",", K51) - 1), "-")</f>
        <v/>
      </c>
      <c r="M51">
        <f>IFERROR(MID(K51,             FIND(",", K51) + 1, LEN(K51) - FIND(",", K51)), K51)</f>
        <v/>
      </c>
      <c r="O51" s="2" t="n"/>
      <c r="P51" s="2" t="inlineStr">
        <is>
          <t>16:15</t>
        </is>
      </c>
      <c r="Q51" t="inlineStr">
        <is>
          <t>17:00</t>
        </is>
      </c>
    </row>
    <row r="52">
      <c r="A52" t="inlineStr">
        <is>
          <t>Alvarez Adolf</t>
        </is>
      </c>
      <c r="B52" t="inlineStr">
        <is>
          <t>TCNz004PH:SMS NewDev</t>
        </is>
      </c>
      <c r="D52">
        <f>L52</f>
        <v/>
      </c>
      <c r="E52">
        <f>SUMIFS(J:J, G:G,             A52, H:H, B52, L:L, L52)</f>
        <v/>
      </c>
      <c r="F52" t="inlineStr">
        <is>
          <t>PH0005</t>
        </is>
      </c>
      <c r="G52" t="inlineStr">
        <is>
          <t>Alvarez Adolf</t>
        </is>
      </c>
      <c r="H52" t="inlineStr">
        <is>
          <t>TCNz004PH:SMS NewDev</t>
        </is>
      </c>
      <c r="I52" s="1" t="n">
        <v>45932</v>
      </c>
      <c r="J52" t="n">
        <v>1.25</v>
      </c>
      <c r="L52">
        <f>IFERROR(LEFT(K52,             FIND(",", K52) - 1), "-")</f>
        <v/>
      </c>
      <c r="M52">
        <f>IFERROR(MID(K52,             FIND(",", K52) + 1, LEN(K52) - FIND(",", K52)), K52)</f>
        <v/>
      </c>
      <c r="O52" s="2" t="n"/>
      <c r="P52" s="2" t="inlineStr">
        <is>
          <t>09:45</t>
        </is>
      </c>
      <c r="Q52" t="inlineStr">
        <is>
          <t>11:00</t>
        </is>
      </c>
    </row>
    <row r="53">
      <c r="A53" t="inlineStr">
        <is>
          <t>Alvarez Adolf</t>
        </is>
      </c>
      <c r="B53" t="inlineStr">
        <is>
          <t>TCNz004PH:SMS NewDev</t>
        </is>
      </c>
      <c r="D53">
        <f>L53</f>
        <v/>
      </c>
      <c r="E53">
        <f>SUMIFS(J:J, G:G,             A53, H:H, B53, L:L, L53)</f>
        <v/>
      </c>
      <c r="F53" t="inlineStr">
        <is>
          <t>PH0005</t>
        </is>
      </c>
      <c r="G53" t="inlineStr">
        <is>
          <t>Alvarez Adolf</t>
        </is>
      </c>
      <c r="H53" t="inlineStr">
        <is>
          <t>TCNz004PH:SMS NewDev</t>
        </is>
      </c>
      <c r="I53" s="1" t="n">
        <v>45932</v>
      </c>
      <c r="J53" t="n">
        <v>3</v>
      </c>
      <c r="L53">
        <f>IFERROR(LEFT(K53,             FIND(",", K53) - 1), "-")</f>
        <v/>
      </c>
      <c r="M53">
        <f>IFERROR(MID(K53,             FIND(",", K53) + 1, LEN(K53) - FIND(",", K53)), K53)</f>
        <v/>
      </c>
      <c r="O53" s="2" t="n"/>
      <c r="P53" s="2" t="inlineStr">
        <is>
          <t>12:00</t>
        </is>
      </c>
      <c r="Q53" t="inlineStr">
        <is>
          <t>15:00</t>
        </is>
      </c>
    </row>
    <row r="54">
      <c r="A54" t="inlineStr">
        <is>
          <t>Alvarez Adolf</t>
        </is>
      </c>
      <c r="B54" t="inlineStr">
        <is>
          <t>TCNz004PH:SMS NewDev</t>
        </is>
      </c>
      <c r="D54">
        <f>L54</f>
        <v/>
      </c>
      <c r="E54">
        <f>SUMIFS(J:J, G:G,             A54, H:H, B54, L:L, L54)</f>
        <v/>
      </c>
      <c r="F54" t="inlineStr">
        <is>
          <t>PH0005</t>
        </is>
      </c>
      <c r="G54" t="inlineStr">
        <is>
          <t>Alvarez Adolf</t>
        </is>
      </c>
      <c r="H54" t="inlineStr">
        <is>
          <t>TCNz004PH:SMS NewDev</t>
        </is>
      </c>
      <c r="I54" s="1" t="n">
        <v>45932</v>
      </c>
      <c r="J54" t="n">
        <v>1.75</v>
      </c>
      <c r="L54">
        <f>IFERROR(LEFT(K54,             FIND(",", K54) - 1), "-")</f>
        <v/>
      </c>
      <c r="M54">
        <f>IFERROR(MID(K54,             FIND(",", K54) + 1, LEN(K54) - FIND(",", K54)), K54)</f>
        <v/>
      </c>
      <c r="O54" s="2" t="n"/>
      <c r="P54" s="2" t="inlineStr">
        <is>
          <t>15:15</t>
        </is>
      </c>
      <c r="Q54" t="inlineStr">
        <is>
          <t>17:00</t>
        </is>
      </c>
    </row>
    <row r="55">
      <c r="A55" t="inlineStr">
        <is>
          <t>Alvarez Adolf</t>
        </is>
      </c>
      <c r="B55" t="inlineStr">
        <is>
          <t>TCNz004PH:SMS NewDev</t>
        </is>
      </c>
      <c r="D55">
        <f>L55</f>
        <v/>
      </c>
      <c r="E55">
        <f>SUMIFS(J:J, G:G,             A55, H:H, B55, L:L, L55)</f>
        <v/>
      </c>
      <c r="F55" t="inlineStr">
        <is>
          <t>PH0005</t>
        </is>
      </c>
      <c r="G55" t="inlineStr">
        <is>
          <t>Alvarez Adolf</t>
        </is>
      </c>
      <c r="H55" t="inlineStr">
        <is>
          <t>TCNz004PH:SMS NewDev</t>
        </is>
      </c>
      <c r="I55" s="1" t="n">
        <v>45933</v>
      </c>
      <c r="J55" t="n">
        <v>1.25</v>
      </c>
      <c r="L55">
        <f>IFERROR(LEFT(K55,             FIND(",", K55) - 1), "-")</f>
        <v/>
      </c>
      <c r="M55">
        <f>IFERROR(MID(K55,             FIND(",", K55) + 1, LEN(K55) - FIND(",", K55)), K55)</f>
        <v/>
      </c>
      <c r="O55" s="2" t="n"/>
      <c r="P55" s="2" t="inlineStr">
        <is>
          <t>08:00</t>
        </is>
      </c>
      <c r="Q55" t="inlineStr">
        <is>
          <t>09:15</t>
        </is>
      </c>
    </row>
    <row r="56">
      <c r="A56" t="inlineStr">
        <is>
          <t>Alvarez Adolf</t>
        </is>
      </c>
      <c r="B56" t="inlineStr">
        <is>
          <t>TCNz004PH:SMS NewDev</t>
        </is>
      </c>
      <c r="D56">
        <f>L56</f>
        <v/>
      </c>
      <c r="E56">
        <f>SUMIFS(J:J, G:G,             A56, H:H, B56, L:L, L56)</f>
        <v/>
      </c>
      <c r="F56" t="inlineStr">
        <is>
          <t>PH0005</t>
        </is>
      </c>
      <c r="G56" t="inlineStr">
        <is>
          <t>Alvarez Adolf</t>
        </is>
      </c>
      <c r="H56" t="inlineStr">
        <is>
          <t>TCNz004PH:SMS NewDev</t>
        </is>
      </c>
      <c r="I56" s="1" t="n">
        <v>45933</v>
      </c>
      <c r="J56" t="n">
        <v>1.5</v>
      </c>
      <c r="L56">
        <f>IFERROR(LEFT(K56,             FIND(",", K56) - 1), "-")</f>
        <v/>
      </c>
      <c r="M56">
        <f>IFERROR(MID(K56,             FIND(",", K56) + 1, LEN(K56) - FIND(",", K56)), K56)</f>
        <v/>
      </c>
      <c r="O56" s="2" t="n"/>
      <c r="P56" s="2" t="inlineStr">
        <is>
          <t>09:30</t>
        </is>
      </c>
      <c r="Q56" t="inlineStr">
        <is>
          <t>11:00</t>
        </is>
      </c>
    </row>
    <row r="57">
      <c r="A57" t="inlineStr">
        <is>
          <t>Alvarez Adolf</t>
        </is>
      </c>
      <c r="B57" t="inlineStr">
        <is>
          <t>TCNz004PH:SMS NewDev</t>
        </is>
      </c>
      <c r="D57">
        <f>L57</f>
        <v/>
      </c>
      <c r="E57">
        <f>SUMIFS(J:J, G:G,             A57, H:H, B57, L:L, L57)</f>
        <v/>
      </c>
      <c r="F57" t="inlineStr">
        <is>
          <t>PH0005</t>
        </is>
      </c>
      <c r="G57" t="inlineStr">
        <is>
          <t>Alvarez Adolf</t>
        </is>
      </c>
      <c r="H57" t="inlineStr">
        <is>
          <t>TCNz004PH:SMS NewDev</t>
        </is>
      </c>
      <c r="I57" s="1" t="n">
        <v>45933</v>
      </c>
      <c r="J57" t="n">
        <v>3</v>
      </c>
      <c r="L57">
        <f>IFERROR(LEFT(K57,             FIND(",", K57) - 1), "-")</f>
        <v/>
      </c>
      <c r="M57">
        <f>IFERROR(MID(K57,             FIND(",", K57) + 1, LEN(K57) - FIND(",", K57)), K57)</f>
        <v/>
      </c>
      <c r="O57" s="2" t="n"/>
      <c r="P57" s="2" t="inlineStr">
        <is>
          <t>12:00</t>
        </is>
      </c>
      <c r="Q57" t="inlineStr">
        <is>
          <t>15:00</t>
        </is>
      </c>
    </row>
    <row r="58">
      <c r="A58" t="inlineStr">
        <is>
          <t>Alvarez Adolf</t>
        </is>
      </c>
      <c r="B58" t="inlineStr">
        <is>
          <t>TCNz004PH:SMS NewDev</t>
        </is>
      </c>
      <c r="D58">
        <f>L58</f>
        <v/>
      </c>
      <c r="E58">
        <f>SUMIFS(J:J, G:G,             A58, H:H, B58, L:L, L58)</f>
        <v/>
      </c>
      <c r="F58" t="inlineStr">
        <is>
          <t>PH0005</t>
        </is>
      </c>
      <c r="G58" t="inlineStr">
        <is>
          <t>Alvarez Adolf</t>
        </is>
      </c>
      <c r="H58" t="inlineStr">
        <is>
          <t>TCNz004PH:SMS NewDev</t>
        </is>
      </c>
      <c r="I58" s="1" t="n">
        <v>45933</v>
      </c>
      <c r="J58" t="n">
        <v>2.75</v>
      </c>
      <c r="L58">
        <f>IFERROR(LEFT(K58,             FIND(",", K58) - 1), "-")</f>
        <v/>
      </c>
      <c r="M58">
        <f>IFERROR(MID(K58,             FIND(",", K58) + 1, LEN(K58) - FIND(",", K58)), K58)</f>
        <v/>
      </c>
      <c r="O58" s="2" t="n"/>
      <c r="P58" s="2" t="inlineStr">
        <is>
          <t>15:15</t>
        </is>
      </c>
      <c r="Q58" t="inlineStr">
        <is>
          <t>18:00</t>
        </is>
      </c>
    </row>
    <row r="59">
      <c r="A59" t="inlineStr">
        <is>
          <t>Alvarez Adolf</t>
        </is>
      </c>
      <c r="B59" t="inlineStr">
        <is>
          <t>TCNz004PH:SMS NewDev</t>
        </is>
      </c>
      <c r="D59">
        <f>L59</f>
        <v/>
      </c>
      <c r="E59">
        <f>SUMIFS(J:J, G:G,             A59, H:H, B59, L:L, L59)</f>
        <v/>
      </c>
      <c r="F59" t="inlineStr">
        <is>
          <t>PH0005</t>
        </is>
      </c>
      <c r="G59" t="inlineStr">
        <is>
          <t>Alvarez Adolf</t>
        </is>
      </c>
      <c r="H59" t="inlineStr">
        <is>
          <t>TCNz004PH:SMS NewDev</t>
        </is>
      </c>
      <c r="I59" s="1" t="n">
        <v>45936</v>
      </c>
      <c r="J59" t="n">
        <v>1.25</v>
      </c>
      <c r="L59">
        <f>IFERROR(LEFT(K59,             FIND(",", K59) - 1), "-")</f>
        <v/>
      </c>
      <c r="M59">
        <f>IFERROR(MID(K59,             FIND(",", K59) + 1, LEN(K59) - FIND(",", K59)), K59)</f>
        <v/>
      </c>
      <c r="O59" s="2" t="n"/>
      <c r="P59" s="2" t="inlineStr">
        <is>
          <t>08:00</t>
        </is>
      </c>
      <c r="Q59" t="inlineStr">
        <is>
          <t>09:15</t>
        </is>
      </c>
    </row>
    <row r="60">
      <c r="A60" t="inlineStr">
        <is>
          <t>Alvarez Adolf</t>
        </is>
      </c>
      <c r="B60" t="inlineStr">
        <is>
          <t>TCNz004PH:SMS NewDev</t>
        </is>
      </c>
      <c r="D60">
        <f>L60</f>
        <v/>
      </c>
      <c r="E60">
        <f>SUMIFS(J:J, G:G,             A60, H:H, B60, L:L, L60)</f>
        <v/>
      </c>
      <c r="F60" t="inlineStr">
        <is>
          <t>PH0005</t>
        </is>
      </c>
      <c r="G60" t="inlineStr">
        <is>
          <t>Alvarez Adolf</t>
        </is>
      </c>
      <c r="H60" t="inlineStr">
        <is>
          <t>TCNz004PH:SMS NewDev</t>
        </is>
      </c>
      <c r="I60" s="1" t="n">
        <v>45936</v>
      </c>
      <c r="J60" t="n">
        <v>1.5</v>
      </c>
      <c r="L60">
        <f>IFERROR(LEFT(K60,             FIND(",", K60) - 1), "-")</f>
        <v/>
      </c>
      <c r="M60">
        <f>IFERROR(MID(K60,             FIND(",", K60) + 1, LEN(K60) - FIND(",", K60)), K60)</f>
        <v/>
      </c>
      <c r="O60" s="2" t="n"/>
      <c r="P60" s="2" t="inlineStr">
        <is>
          <t>09:30</t>
        </is>
      </c>
      <c r="Q60" t="inlineStr">
        <is>
          <t>11:00</t>
        </is>
      </c>
    </row>
    <row r="61">
      <c r="A61" t="inlineStr">
        <is>
          <t>Alvarez Adolf</t>
        </is>
      </c>
      <c r="B61" t="inlineStr">
        <is>
          <t>TCNz004PH:SMS NewDev</t>
        </is>
      </c>
      <c r="D61">
        <f>L61</f>
        <v/>
      </c>
      <c r="E61">
        <f>SUMIFS(J:J, G:G,             A61, H:H, B61, L:L, L61)</f>
        <v/>
      </c>
      <c r="F61" t="inlineStr">
        <is>
          <t>PH0005</t>
        </is>
      </c>
      <c r="G61" t="inlineStr">
        <is>
          <t>Alvarez Adolf</t>
        </is>
      </c>
      <c r="H61" t="inlineStr">
        <is>
          <t>TCNz004PH:SMS NewDev</t>
        </is>
      </c>
      <c r="I61" s="1" t="n">
        <v>45936</v>
      </c>
      <c r="J61" t="n">
        <v>0.25</v>
      </c>
      <c r="L61">
        <f>IFERROR(LEFT(K61,             FIND(",", K61) - 1), "-")</f>
        <v/>
      </c>
      <c r="M61">
        <f>IFERROR(MID(K61,             FIND(",", K61) + 1, LEN(K61) - FIND(",", K61)), K61)</f>
        <v/>
      </c>
      <c r="O61" s="2" t="n"/>
      <c r="P61" s="2" t="inlineStr">
        <is>
          <t>12:00</t>
        </is>
      </c>
      <c r="Q61" t="inlineStr">
        <is>
          <t>12:15</t>
        </is>
      </c>
    </row>
    <row r="62">
      <c r="A62" t="inlineStr">
        <is>
          <t>Alvarez Adolf</t>
        </is>
      </c>
      <c r="B62" t="inlineStr">
        <is>
          <t>TCNz004PH:SMS NewDev</t>
        </is>
      </c>
      <c r="D62">
        <f>L62</f>
        <v/>
      </c>
      <c r="E62">
        <f>SUMIFS(J:J, G:G,             A62, H:H, B62, L:L, L62)</f>
        <v/>
      </c>
      <c r="F62" t="inlineStr">
        <is>
          <t>PH0005</t>
        </is>
      </c>
      <c r="G62" t="inlineStr">
        <is>
          <t>Alvarez Adolf</t>
        </is>
      </c>
      <c r="H62" t="inlineStr">
        <is>
          <t>TCNz004PH:SMS NewDev</t>
        </is>
      </c>
      <c r="I62" s="1" t="n">
        <v>45936</v>
      </c>
      <c r="J62" t="n">
        <v>2.75</v>
      </c>
      <c r="L62">
        <f>IFERROR(LEFT(K62,             FIND(",", K62) - 1), "-")</f>
        <v/>
      </c>
      <c r="M62">
        <f>IFERROR(MID(K62,             FIND(",", K62) + 1, LEN(K62) - FIND(",", K62)), K62)</f>
        <v/>
      </c>
      <c r="O62" s="2" t="n"/>
      <c r="P62" s="2" t="inlineStr">
        <is>
          <t>12:15</t>
        </is>
      </c>
      <c r="Q62" t="inlineStr">
        <is>
          <t>15:00</t>
        </is>
      </c>
    </row>
    <row r="63">
      <c r="A63" t="inlineStr">
        <is>
          <t>Alvarez Adolf</t>
        </is>
      </c>
      <c r="B63" t="inlineStr">
        <is>
          <t>TCNz004PH:SMS NewDev</t>
        </is>
      </c>
      <c r="D63">
        <f>L63</f>
        <v/>
      </c>
      <c r="E63">
        <f>SUMIFS(J:J, G:G,             A63, H:H, B63, L:L, L63)</f>
        <v/>
      </c>
      <c r="F63" t="inlineStr">
        <is>
          <t>PH0005</t>
        </is>
      </c>
      <c r="G63" t="inlineStr">
        <is>
          <t>Alvarez Adolf</t>
        </is>
      </c>
      <c r="H63" t="inlineStr">
        <is>
          <t>TCNz004PH:SMS NewDev</t>
        </is>
      </c>
      <c r="I63" s="1" t="n">
        <v>45936</v>
      </c>
      <c r="J63" t="n">
        <v>1.75</v>
      </c>
      <c r="L63">
        <f>IFERROR(LEFT(K63,             FIND(",", K63) - 1), "-")</f>
        <v/>
      </c>
      <c r="M63">
        <f>IFERROR(MID(K63,             FIND(",", K63) + 1, LEN(K63) - FIND(",", K63)), K63)</f>
        <v/>
      </c>
      <c r="O63" s="2" t="n"/>
      <c r="P63" s="2" t="inlineStr">
        <is>
          <t>15:15</t>
        </is>
      </c>
      <c r="Q63" t="inlineStr">
        <is>
          <t>17:00</t>
        </is>
      </c>
    </row>
    <row r="64">
      <c r="A64" t="inlineStr">
        <is>
          <t>Alvarez Adolf</t>
        </is>
      </c>
      <c r="B64" t="inlineStr">
        <is>
          <t>TCNz004PH:SMS NewDev</t>
        </is>
      </c>
      <c r="D64">
        <f>L64</f>
        <v/>
      </c>
      <c r="E64">
        <f>SUMIFS(J:J, G:G,             A64, H:H, B64, L:L, L64)</f>
        <v/>
      </c>
      <c r="F64" t="inlineStr">
        <is>
          <t>PH0005</t>
        </is>
      </c>
      <c r="G64" t="inlineStr">
        <is>
          <t>Alvarez Adolf</t>
        </is>
      </c>
      <c r="H64" t="inlineStr">
        <is>
          <t>TCNz004PH:SMS NewDev</t>
        </is>
      </c>
      <c r="I64" s="1" t="n">
        <v>45937</v>
      </c>
      <c r="J64" t="n">
        <v>1.25</v>
      </c>
      <c r="L64">
        <f>IFERROR(LEFT(K64,             FIND(",", K64) - 1), "-")</f>
        <v/>
      </c>
      <c r="M64">
        <f>IFERROR(MID(K64,             FIND(",", K64) + 1, LEN(K64) - FIND(",", K64)), K64)</f>
        <v/>
      </c>
      <c r="O64" s="2" t="n"/>
      <c r="P64" s="2" t="inlineStr">
        <is>
          <t>08:00</t>
        </is>
      </c>
      <c r="Q64" t="inlineStr">
        <is>
          <t>09:15</t>
        </is>
      </c>
    </row>
    <row r="65">
      <c r="A65" t="inlineStr">
        <is>
          <t>Alvarez Adolf</t>
        </is>
      </c>
      <c r="B65" t="inlineStr">
        <is>
          <t>TCNz004PH:SMS NewDev</t>
        </is>
      </c>
      <c r="D65">
        <f>L65</f>
        <v/>
      </c>
      <c r="E65">
        <f>SUMIFS(J:J, G:G,             A65, H:H, B65, L:L, L65)</f>
        <v/>
      </c>
      <c r="F65" t="inlineStr">
        <is>
          <t>PH0005</t>
        </is>
      </c>
      <c r="G65" t="inlineStr">
        <is>
          <t>Alvarez Adolf</t>
        </is>
      </c>
      <c r="H65" t="inlineStr">
        <is>
          <t>TCNz004PH:SMS NewDev</t>
        </is>
      </c>
      <c r="I65" s="1" t="n">
        <v>45937</v>
      </c>
      <c r="J65" t="n">
        <v>1.5</v>
      </c>
      <c r="L65">
        <f>IFERROR(LEFT(K65,             FIND(",", K65) - 1), "-")</f>
        <v/>
      </c>
      <c r="M65">
        <f>IFERROR(MID(K65,             FIND(",", K65) + 1, LEN(K65) - FIND(",", K65)), K65)</f>
        <v/>
      </c>
      <c r="O65" s="2" t="n"/>
      <c r="P65" s="2" t="inlineStr">
        <is>
          <t>09:30</t>
        </is>
      </c>
      <c r="Q65" t="inlineStr">
        <is>
          <t>11:00</t>
        </is>
      </c>
    </row>
    <row r="66">
      <c r="A66" t="inlineStr">
        <is>
          <t>Alvarez Adolf</t>
        </is>
      </c>
      <c r="B66" t="inlineStr">
        <is>
          <t>TCNz004PH:SMS NewDev</t>
        </is>
      </c>
      <c r="D66">
        <f>L66</f>
        <v/>
      </c>
      <c r="E66">
        <f>SUMIFS(J:J, G:G,             A66, H:H, B66, L:L, L66)</f>
        <v/>
      </c>
      <c r="F66" t="inlineStr">
        <is>
          <t>PH0005</t>
        </is>
      </c>
      <c r="G66" t="inlineStr">
        <is>
          <t>Alvarez Adolf</t>
        </is>
      </c>
      <c r="H66" t="inlineStr">
        <is>
          <t>TCNz004PH:SMS NewDev</t>
        </is>
      </c>
      <c r="I66" s="1" t="n">
        <v>45937</v>
      </c>
      <c r="J66" t="n">
        <v>3</v>
      </c>
      <c r="L66">
        <f>IFERROR(LEFT(K66,             FIND(",", K66) - 1), "-")</f>
        <v/>
      </c>
      <c r="M66">
        <f>IFERROR(MID(K66,             FIND(",", K66) + 1, LEN(K66) - FIND(",", K66)), K66)</f>
        <v/>
      </c>
      <c r="O66" s="2" t="n"/>
      <c r="P66" s="2" t="inlineStr">
        <is>
          <t>12:00</t>
        </is>
      </c>
      <c r="Q66" t="inlineStr">
        <is>
          <t>15:00</t>
        </is>
      </c>
    </row>
    <row r="67">
      <c r="A67" t="inlineStr">
        <is>
          <t>Alvarez Adolf</t>
        </is>
      </c>
      <c r="B67" t="inlineStr">
        <is>
          <t>TCNz004PH:SMS NewDev</t>
        </is>
      </c>
      <c r="D67">
        <f>L67</f>
        <v/>
      </c>
      <c r="E67">
        <f>SUMIFS(J:J, G:G,             A67, H:H, B67, L:L, L67)</f>
        <v/>
      </c>
      <c r="F67" t="inlineStr">
        <is>
          <t>PH0005</t>
        </is>
      </c>
      <c r="G67" t="inlineStr">
        <is>
          <t>Alvarez Adolf</t>
        </is>
      </c>
      <c r="H67" t="inlineStr">
        <is>
          <t>TCNz004PH:SMS NewDev</t>
        </is>
      </c>
      <c r="I67" s="1" t="n">
        <v>45937</v>
      </c>
      <c r="J67" t="n">
        <v>1.75</v>
      </c>
      <c r="L67">
        <f>IFERROR(LEFT(K67,             FIND(",", K67) - 1), "-")</f>
        <v/>
      </c>
      <c r="M67">
        <f>IFERROR(MID(K67,             FIND(",", K67) + 1, LEN(K67) - FIND(",", K67)), K67)</f>
        <v/>
      </c>
      <c r="O67" s="2" t="n"/>
      <c r="P67" s="2" t="inlineStr">
        <is>
          <t>15:15</t>
        </is>
      </c>
      <c r="Q67" t="inlineStr">
        <is>
          <t>17:00</t>
        </is>
      </c>
    </row>
    <row r="68">
      <c r="A68" t="inlineStr">
        <is>
          <t>Alvarez Adolf</t>
        </is>
      </c>
      <c r="B68" t="inlineStr">
        <is>
          <t>TCNz004PH:SMS NewDev</t>
        </is>
      </c>
      <c r="D68">
        <f>L68</f>
        <v/>
      </c>
      <c r="E68">
        <f>SUMIFS(J:J, G:G,             A68, H:H, B68, L:L, L68)</f>
        <v/>
      </c>
      <c r="F68" t="inlineStr">
        <is>
          <t>PH0005</t>
        </is>
      </c>
      <c r="G68" t="inlineStr">
        <is>
          <t>Alvarez Adolf</t>
        </is>
      </c>
      <c r="H68" t="inlineStr">
        <is>
          <t>TCNz004PH:SMS NewDev</t>
        </is>
      </c>
      <c r="I68" s="1" t="n">
        <v>45940</v>
      </c>
      <c r="J68" t="n">
        <v>1</v>
      </c>
      <c r="L68">
        <f>IFERROR(LEFT(K68,             FIND(",", K68) - 1), "-")</f>
        <v/>
      </c>
      <c r="M68">
        <f>IFERROR(MID(K68,             FIND(",", K68) + 1, LEN(K68) - FIND(",", K68)), K68)</f>
        <v/>
      </c>
      <c r="O68" s="2" t="n"/>
      <c r="P68" s="2" t="inlineStr">
        <is>
          <t>10:00</t>
        </is>
      </c>
      <c r="Q68" t="inlineStr">
        <is>
          <t>11:00</t>
        </is>
      </c>
    </row>
    <row r="69">
      <c r="A69" t="inlineStr">
        <is>
          <t>Alvarez Adolf</t>
        </is>
      </c>
      <c r="B69" t="inlineStr">
        <is>
          <t>TCNz004PH:SMS NewDev</t>
        </is>
      </c>
      <c r="D69">
        <f>L69</f>
        <v/>
      </c>
      <c r="E69">
        <f>SUMIFS(J:J, G:G,             A69, H:H, B69, L:L, L69)</f>
        <v/>
      </c>
      <c r="F69" t="inlineStr">
        <is>
          <t>PH0005</t>
        </is>
      </c>
      <c r="G69" t="inlineStr">
        <is>
          <t>Alvarez Adolf</t>
        </is>
      </c>
      <c r="H69" t="inlineStr">
        <is>
          <t>TCNz004PH:SMS NewDev</t>
        </is>
      </c>
      <c r="I69" s="1" t="n">
        <v>45940</v>
      </c>
      <c r="J69" t="n">
        <v>1</v>
      </c>
      <c r="L69">
        <f>IFERROR(LEFT(K69,             FIND(",", K69) - 1), "-")</f>
        <v/>
      </c>
      <c r="M69">
        <f>IFERROR(MID(K69,             FIND(",", K69) + 1, LEN(K69) - FIND(",", K69)), K69)</f>
        <v/>
      </c>
      <c r="O69" s="2" t="n"/>
      <c r="P69" s="2" t="inlineStr">
        <is>
          <t>12:00</t>
        </is>
      </c>
      <c r="Q69" t="inlineStr">
        <is>
          <t>13:00</t>
        </is>
      </c>
    </row>
    <row r="70">
      <c r="A70" t="inlineStr">
        <is>
          <t>Alvarez Adolf</t>
        </is>
      </c>
      <c r="B70" t="inlineStr">
        <is>
          <t>TCNz004PH:SMS NewDev</t>
        </is>
      </c>
      <c r="D70">
        <f>L70</f>
        <v/>
      </c>
      <c r="E70">
        <f>SUMIFS(J:J, G:G,             A70, H:H, B70, L:L, L70)</f>
        <v/>
      </c>
      <c r="F70" t="inlineStr">
        <is>
          <t>PH0005</t>
        </is>
      </c>
      <c r="G70" t="inlineStr">
        <is>
          <t>Alvarez Adolf</t>
        </is>
      </c>
      <c r="H70" t="inlineStr">
        <is>
          <t>TCNz004PH:SMS NewDev</t>
        </is>
      </c>
      <c r="I70" s="1" t="n">
        <v>45945</v>
      </c>
      <c r="J70" t="n">
        <v>0.75</v>
      </c>
      <c r="L70">
        <f>IFERROR(LEFT(K70,             FIND(",", K70) - 1), "-")</f>
        <v/>
      </c>
      <c r="M70">
        <f>IFERROR(MID(K70,             FIND(",", K70) + 1, LEN(K70) - FIND(",", K70)), K70)</f>
        <v/>
      </c>
      <c r="O70" s="2" t="n"/>
      <c r="P70" s="2" t="inlineStr">
        <is>
          <t>16:30</t>
        </is>
      </c>
      <c r="Q70" t="inlineStr">
        <is>
          <t>17:15</t>
        </is>
      </c>
    </row>
    <row r="71">
      <c r="A71" t="inlineStr">
        <is>
          <t>Alvarez Adolf</t>
        </is>
      </c>
      <c r="B71" t="inlineStr">
        <is>
          <t>TCNz004PH:SMS NewDev</t>
        </is>
      </c>
      <c r="D71">
        <f>L71</f>
        <v/>
      </c>
      <c r="E71">
        <f>SUMIFS(J:J, G:G,             A71, H:H, B71, L:L, L71)</f>
        <v/>
      </c>
      <c r="F71" t="inlineStr">
        <is>
          <t>PH0005</t>
        </is>
      </c>
      <c r="G71" t="inlineStr">
        <is>
          <t>Alvarez Adolf</t>
        </is>
      </c>
      <c r="H71" t="inlineStr">
        <is>
          <t>TCNz004PH:SMS NewDev</t>
        </is>
      </c>
      <c r="I71" s="1" t="n">
        <v>45946</v>
      </c>
      <c r="J71" t="n">
        <v>1.25</v>
      </c>
      <c r="L71">
        <f>IFERROR(LEFT(K71,             FIND(",", K71) - 1), "-")</f>
        <v/>
      </c>
      <c r="M71">
        <f>IFERROR(MID(K71,             FIND(",", K71) + 1, LEN(K71) - FIND(",", K71)), K71)</f>
        <v/>
      </c>
      <c r="O71" s="2" t="n"/>
      <c r="P71" s="2" t="inlineStr">
        <is>
          <t>08:00</t>
        </is>
      </c>
      <c r="Q71" t="inlineStr">
        <is>
          <t>09:15</t>
        </is>
      </c>
    </row>
    <row r="72">
      <c r="A72" t="inlineStr">
        <is>
          <t>Alvarez Adolf</t>
        </is>
      </c>
      <c r="B72" t="inlineStr">
        <is>
          <t>TCNz004PH:SMS NewDev</t>
        </is>
      </c>
      <c r="D72">
        <f>L72</f>
        <v/>
      </c>
      <c r="E72">
        <f>SUMIFS(J:J, G:G,             A72, H:H, B72, L:L, L72)</f>
        <v/>
      </c>
      <c r="F72" t="inlineStr">
        <is>
          <t>PH0005</t>
        </is>
      </c>
      <c r="G72" t="inlineStr">
        <is>
          <t>Alvarez Adolf</t>
        </is>
      </c>
      <c r="H72" t="inlineStr">
        <is>
          <t>TCNz004PH:SMS NewDev</t>
        </is>
      </c>
      <c r="I72" s="1" t="n">
        <v>45946</v>
      </c>
      <c r="J72" t="n">
        <v>1.5</v>
      </c>
      <c r="L72">
        <f>IFERROR(LEFT(K72,             FIND(",", K72) - 1), "-")</f>
        <v/>
      </c>
      <c r="M72">
        <f>IFERROR(MID(K72,             FIND(",", K72) + 1, LEN(K72) - FIND(",", K72)), K72)</f>
        <v/>
      </c>
      <c r="O72" s="2" t="n"/>
      <c r="P72" s="2" t="inlineStr">
        <is>
          <t>09:30</t>
        </is>
      </c>
      <c r="Q72" t="inlineStr">
        <is>
          <t>11:00</t>
        </is>
      </c>
    </row>
    <row r="73">
      <c r="A73" t="inlineStr">
        <is>
          <t>Alvarez Adolf</t>
        </is>
      </c>
      <c r="B73" t="inlineStr">
        <is>
          <t>TCNz004PH:SMS NewDev</t>
        </is>
      </c>
      <c r="D73">
        <f>L73</f>
        <v/>
      </c>
      <c r="E73">
        <f>SUMIFS(J:J, G:G,             A73, H:H, B73, L:L, L73)</f>
        <v/>
      </c>
      <c r="F73" t="inlineStr">
        <is>
          <t>PH0005</t>
        </is>
      </c>
      <c r="G73" t="inlineStr">
        <is>
          <t>Alvarez Adolf</t>
        </is>
      </c>
      <c r="H73" t="inlineStr">
        <is>
          <t>TCNz004PH:SMS NewDev</t>
        </is>
      </c>
      <c r="I73" s="1" t="n">
        <v>45946</v>
      </c>
      <c r="J73" t="n">
        <v>1.5</v>
      </c>
      <c r="L73">
        <f>IFERROR(LEFT(K73,             FIND(",", K73) - 1), "-")</f>
        <v/>
      </c>
      <c r="M73">
        <f>IFERROR(MID(K73,             FIND(",", K73) + 1, LEN(K73) - FIND(",", K73)), K73)</f>
        <v/>
      </c>
      <c r="O73" s="2" t="n"/>
      <c r="P73" s="2" t="inlineStr">
        <is>
          <t>12:00</t>
        </is>
      </c>
      <c r="Q73" t="inlineStr">
        <is>
          <t>13:30</t>
        </is>
      </c>
    </row>
    <row r="74">
      <c r="A74" t="inlineStr">
        <is>
          <t>Alvarez Adolf</t>
        </is>
      </c>
      <c r="B74" t="inlineStr">
        <is>
          <t>TCNz004PH:SMS NewDev</t>
        </is>
      </c>
      <c r="D74">
        <f>L74</f>
        <v/>
      </c>
      <c r="E74">
        <f>SUMIFS(J:J, G:G,             A74, H:H, B74, L:L, L74)</f>
        <v/>
      </c>
      <c r="F74" t="inlineStr">
        <is>
          <t>PH0005</t>
        </is>
      </c>
      <c r="G74" t="inlineStr">
        <is>
          <t>Alvarez Adolf</t>
        </is>
      </c>
      <c r="H74" t="inlineStr">
        <is>
          <t>TCNz004PH:SMS NewDev</t>
        </is>
      </c>
      <c r="I74" s="1" t="n">
        <v>45946</v>
      </c>
      <c r="J74" t="n">
        <v>0.5</v>
      </c>
      <c r="L74">
        <f>IFERROR(LEFT(K74,             FIND(",", K74) - 1), "-")</f>
        <v/>
      </c>
      <c r="M74">
        <f>IFERROR(MID(K74,             FIND(",", K74) + 1, LEN(K74) - FIND(",", K74)), K74)</f>
        <v/>
      </c>
      <c r="O74" s="2" t="n"/>
      <c r="P74" s="2" t="inlineStr">
        <is>
          <t>14:30</t>
        </is>
      </c>
      <c r="Q74" t="inlineStr">
        <is>
          <t>15:00</t>
        </is>
      </c>
    </row>
    <row r="75">
      <c r="A75" t="inlineStr">
        <is>
          <t>Alvarez Adolf</t>
        </is>
      </c>
      <c r="B75" t="inlineStr">
        <is>
          <t>TCNz004PH:SMS NewDev</t>
        </is>
      </c>
      <c r="D75">
        <f>L75</f>
        <v/>
      </c>
      <c r="E75">
        <f>SUMIFS(J:J, G:G,             A75, H:H, B75, L:L, L75)</f>
        <v/>
      </c>
      <c r="F75" t="inlineStr">
        <is>
          <t>PH0005</t>
        </is>
      </c>
      <c r="G75" t="inlineStr">
        <is>
          <t>Alvarez Adolf</t>
        </is>
      </c>
      <c r="H75" t="inlineStr">
        <is>
          <t>TCNz004PH:SMS NewDev</t>
        </is>
      </c>
      <c r="I75" s="1" t="n">
        <v>45946</v>
      </c>
      <c r="J75" t="n">
        <v>1.75</v>
      </c>
      <c r="L75">
        <f>IFERROR(LEFT(K75,             FIND(",", K75) - 1), "-")</f>
        <v/>
      </c>
      <c r="M75">
        <f>IFERROR(MID(K75,             FIND(",", K75) + 1, LEN(K75) - FIND(",", K75)), K75)</f>
        <v/>
      </c>
      <c r="O75" s="2" t="n"/>
      <c r="P75" s="2" t="inlineStr">
        <is>
          <t>15:15</t>
        </is>
      </c>
      <c r="Q75" t="inlineStr">
        <is>
          <t>17:00</t>
        </is>
      </c>
    </row>
    <row r="76">
      <c r="A76" t="inlineStr">
        <is>
          <t>Alvarez Adolf</t>
        </is>
      </c>
      <c r="B76" t="inlineStr">
        <is>
          <t>TCNz004PH:SMS NewDev</t>
        </is>
      </c>
      <c r="D76">
        <f>L76</f>
        <v/>
      </c>
      <c r="E76">
        <f>SUMIFS(J:J, G:G,             A76, H:H, B76, L:L, L76)</f>
        <v/>
      </c>
      <c r="F76" t="inlineStr">
        <is>
          <t>PH0005</t>
        </is>
      </c>
      <c r="G76" t="inlineStr">
        <is>
          <t>Alvarez Adolf</t>
        </is>
      </c>
      <c r="H76" t="inlineStr">
        <is>
          <t>TCNz004PH:SMS NewDev</t>
        </is>
      </c>
      <c r="I76" s="1" t="n">
        <v>45950</v>
      </c>
      <c r="J76" t="n">
        <v>2.25</v>
      </c>
      <c r="L76">
        <f>IFERROR(LEFT(K76,             FIND(",", K76) - 1), "-")</f>
        <v/>
      </c>
      <c r="M76">
        <f>IFERROR(MID(K76,             FIND(",", K76) + 1, LEN(K76) - FIND(",", K76)), K76)</f>
        <v/>
      </c>
      <c r="O76" s="2" t="n"/>
      <c r="P76" s="2" t="inlineStr">
        <is>
          <t>13:15</t>
        </is>
      </c>
      <c r="Q76" t="inlineStr">
        <is>
          <t>15:30</t>
        </is>
      </c>
    </row>
    <row r="77">
      <c r="A77" t="inlineStr">
        <is>
          <t>Alvarez Adolf</t>
        </is>
      </c>
      <c r="B77" t="inlineStr">
        <is>
          <t>TCNz004PH:SMS NewDev</t>
        </is>
      </c>
      <c r="D77">
        <f>L77</f>
        <v/>
      </c>
      <c r="E77">
        <f>SUMIFS(J:J, G:G,             A77, H:H, B77, L:L, L77)</f>
        <v/>
      </c>
      <c r="F77" t="inlineStr">
        <is>
          <t>PH0005</t>
        </is>
      </c>
      <c r="G77" t="inlineStr">
        <is>
          <t>Alvarez Adolf</t>
        </is>
      </c>
      <c r="H77" t="inlineStr">
        <is>
          <t>TCNz004PH:SMS NewDev</t>
        </is>
      </c>
      <c r="I77" s="1" t="n">
        <v>45951</v>
      </c>
      <c r="J77" t="n">
        <v>0.25</v>
      </c>
      <c r="L77">
        <f>IFERROR(LEFT(K77,             FIND(",", K77) - 1), "-")</f>
        <v/>
      </c>
      <c r="M77">
        <f>IFERROR(MID(K77,             FIND(",", K77) + 1, LEN(K77) - FIND(",", K77)), K77)</f>
        <v/>
      </c>
      <c r="O77" s="2" t="n"/>
      <c r="P77" s="2" t="inlineStr">
        <is>
          <t>08:45</t>
        </is>
      </c>
      <c r="Q77" t="inlineStr">
        <is>
          <t>09:00</t>
        </is>
      </c>
    </row>
    <row r="78">
      <c r="A78" t="inlineStr">
        <is>
          <t>Alvarez Adolf</t>
        </is>
      </c>
      <c r="B78" t="inlineStr">
        <is>
          <t>TCNz004PH:SMS NewDev</t>
        </is>
      </c>
      <c r="D78">
        <f>L78</f>
        <v/>
      </c>
      <c r="E78">
        <f>SUMIFS(J:J, G:G,             A78, H:H, B78, L:L, L78)</f>
        <v/>
      </c>
      <c r="F78" t="inlineStr">
        <is>
          <t>PH0005</t>
        </is>
      </c>
      <c r="G78" t="inlineStr">
        <is>
          <t>Alvarez Adolf</t>
        </is>
      </c>
      <c r="H78" t="inlineStr">
        <is>
          <t>TCNz004PH:SMS NewDev</t>
        </is>
      </c>
      <c r="I78" s="1" t="n">
        <v>45951</v>
      </c>
      <c r="J78" t="n">
        <v>0.5</v>
      </c>
      <c r="L78">
        <f>IFERROR(LEFT(K78,             FIND(",", K78) - 1), "-")</f>
        <v/>
      </c>
      <c r="M78">
        <f>IFERROR(MID(K78,             FIND(",", K78) + 1, LEN(K78) - FIND(",", K78)), K78)</f>
        <v/>
      </c>
      <c r="O78" s="2" t="n"/>
      <c r="P78" s="2" t="inlineStr">
        <is>
          <t>12:30</t>
        </is>
      </c>
      <c r="Q78" t="inlineStr">
        <is>
          <t>13:00</t>
        </is>
      </c>
    </row>
    <row r="79">
      <c r="A79" t="inlineStr">
        <is>
          <t>Alvarez Adolf</t>
        </is>
      </c>
      <c r="B79" t="inlineStr">
        <is>
          <t>TCNz004PH:SMS NewDev</t>
        </is>
      </c>
      <c r="D79">
        <f>L79</f>
        <v/>
      </c>
      <c r="E79">
        <f>SUMIFS(J:J, G:G,             A79, H:H, B79, L:L, L79)</f>
        <v/>
      </c>
      <c r="F79" t="inlineStr">
        <is>
          <t>PH0005</t>
        </is>
      </c>
      <c r="G79" t="inlineStr">
        <is>
          <t>Alvarez Adolf</t>
        </is>
      </c>
      <c r="H79" t="inlineStr">
        <is>
          <t>TCNz004PH:SMS NewDev</t>
        </is>
      </c>
      <c r="I79" s="1" t="n">
        <v>45951</v>
      </c>
      <c r="J79" t="n">
        <v>0.5</v>
      </c>
      <c r="L79">
        <f>IFERROR(LEFT(K79,             FIND(",", K79) - 1), "-")</f>
        <v/>
      </c>
      <c r="M79">
        <f>IFERROR(MID(K79,             FIND(",", K79) + 1, LEN(K79) - FIND(",", K79)), K79)</f>
        <v/>
      </c>
      <c r="O79" s="2" t="n"/>
      <c r="P79" s="2" t="inlineStr">
        <is>
          <t>16:30</t>
        </is>
      </c>
      <c r="Q79" t="inlineStr">
        <is>
          <t>17:00</t>
        </is>
      </c>
    </row>
    <row r="80">
      <c r="A80" t="inlineStr">
        <is>
          <t>Alvarez Adolf</t>
        </is>
      </c>
      <c r="B80" t="inlineStr">
        <is>
          <t>TCNz004PH:SMS NewDev</t>
        </is>
      </c>
      <c r="D80">
        <f>L80</f>
        <v/>
      </c>
      <c r="E80">
        <f>SUMIFS(J:J, G:G,             A80, H:H, B80, L:L, L80)</f>
        <v/>
      </c>
      <c r="F80" t="inlineStr">
        <is>
          <t>PH0005</t>
        </is>
      </c>
      <c r="G80" t="inlineStr">
        <is>
          <t>Alvarez Adolf</t>
        </is>
      </c>
      <c r="H80" t="inlineStr">
        <is>
          <t>TCNz004PH:SMS NewDev</t>
        </is>
      </c>
      <c r="I80" s="1" t="n">
        <v>45953</v>
      </c>
      <c r="J80" t="n">
        <v>1.25</v>
      </c>
      <c r="L80">
        <f>IFERROR(LEFT(K80,             FIND(",", K80) - 1), "-")</f>
        <v/>
      </c>
      <c r="M80">
        <f>IFERROR(MID(K80,             FIND(",", K80) + 1, LEN(K80) - FIND(",", K80)), K80)</f>
        <v/>
      </c>
      <c r="O80" s="2" t="n"/>
      <c r="P80" s="2" t="inlineStr">
        <is>
          <t>08:00</t>
        </is>
      </c>
      <c r="Q80" t="inlineStr">
        <is>
          <t>09:15</t>
        </is>
      </c>
    </row>
    <row r="81">
      <c r="A81" t="inlineStr">
        <is>
          <t xml:space="preserve">Caleon  Kevin Red </t>
        </is>
      </c>
      <c r="B81" t="inlineStr">
        <is>
          <t>TCNz001PH:Internal operations</t>
        </is>
      </c>
      <c r="C81">
        <f>SUMIFS(J:J, G:G,             A81, H:H, B81)</f>
        <v/>
      </c>
      <c r="D81">
        <f>L81</f>
        <v/>
      </c>
      <c r="E81">
        <f>SUMIFS(J:J, G:G,             A81, H:H, B81, L:L, L81)</f>
        <v/>
      </c>
      <c r="F81" t="inlineStr">
        <is>
          <t>PH0027</t>
        </is>
      </c>
      <c r="G81" t="inlineStr">
        <is>
          <t xml:space="preserve">Caleon  Kevin Red </t>
        </is>
      </c>
      <c r="H81" t="inlineStr">
        <is>
          <t>TCNz001PH:Internal operations</t>
        </is>
      </c>
      <c r="I81" s="1" t="n">
        <v>45937</v>
      </c>
      <c r="J81" t="n">
        <v>0.75</v>
      </c>
      <c r="K81" t="inlineStr">
        <is>
          <t>google meeting</t>
        </is>
      </c>
      <c r="L81">
        <f>IFERROR(LEFT(K81,             FIND(",", K81) - 1), "-")</f>
        <v/>
      </c>
      <c r="M81">
        <f>IFERROR(MID(K81,             FIND(",", K81) + 1, LEN(K81) - FIND(",", K81)), K81)</f>
        <v/>
      </c>
      <c r="N81" t="n">
        <v>5</v>
      </c>
      <c r="O81" s="2" t="n"/>
      <c r="P81" s="2" t="inlineStr">
        <is>
          <t>16:00</t>
        </is>
      </c>
      <c r="Q81" t="inlineStr">
        <is>
          <t>16:45</t>
        </is>
      </c>
    </row>
    <row r="82">
      <c r="A82" t="inlineStr">
        <is>
          <t xml:space="preserve">Caleon  Kevin Red </t>
        </is>
      </c>
      <c r="B82" t="inlineStr">
        <is>
          <t>TCNz002PH:Waiting for requests</t>
        </is>
      </c>
      <c r="C82">
        <f>SUMIFS(J:J, G:G,             A82, H:H, B82)</f>
        <v/>
      </c>
      <c r="D82">
        <f>L82</f>
        <v/>
      </c>
      <c r="E82">
        <f>SUMIFS(J:J, G:G,             A82, H:H, B82, L:L, L82)</f>
        <v/>
      </c>
      <c r="F82" t="inlineStr">
        <is>
          <t>PH0027</t>
        </is>
      </c>
      <c r="G82" t="inlineStr">
        <is>
          <t xml:space="preserve">Caleon  Kevin Red </t>
        </is>
      </c>
      <c r="H82" t="inlineStr">
        <is>
          <t>TCNz002PH:Waiting for requests</t>
        </is>
      </c>
      <c r="I82" s="1" t="n">
        <v>45932</v>
      </c>
      <c r="J82" t="n">
        <v>3</v>
      </c>
      <c r="L82">
        <f>IFERROR(LEFT(K82,             FIND(",", K82) - 1), "-")</f>
        <v/>
      </c>
      <c r="M82">
        <f>IFERROR(MID(K82,             FIND(",", K82) + 1, LEN(K82) - FIND(",", K82)), K82)</f>
        <v/>
      </c>
      <c r="N82" t="n">
        <v>5</v>
      </c>
      <c r="O82" s="2" t="n"/>
      <c r="P82" s="2" t="inlineStr">
        <is>
          <t>08:00</t>
        </is>
      </c>
      <c r="Q82" t="inlineStr">
        <is>
          <t>11:00</t>
        </is>
      </c>
    </row>
    <row r="83">
      <c r="A83" t="inlineStr">
        <is>
          <t xml:space="preserve">Caleon  Kevin Red </t>
        </is>
      </c>
      <c r="B83" t="inlineStr">
        <is>
          <t>TCNz002PH:Waiting for requests</t>
        </is>
      </c>
      <c r="D83">
        <f>L83</f>
        <v/>
      </c>
      <c r="E83">
        <f>SUMIFS(J:J, G:G,             A83, H:H, B83, L:L, L83)</f>
        <v/>
      </c>
      <c r="F83" t="inlineStr">
        <is>
          <t>PH0027</t>
        </is>
      </c>
      <c r="G83" t="inlineStr">
        <is>
          <t xml:space="preserve">Caleon  Kevin Red </t>
        </is>
      </c>
      <c r="H83" t="inlineStr">
        <is>
          <t>TCNz002PH:Waiting for requests</t>
        </is>
      </c>
      <c r="I83" s="1" t="n">
        <v>45932</v>
      </c>
      <c r="J83" t="n">
        <v>5</v>
      </c>
      <c r="L83">
        <f>IFERROR(LEFT(K83,             FIND(",", K83) - 1), "-")</f>
        <v/>
      </c>
      <c r="M83">
        <f>IFERROR(MID(K83,             FIND(",", K83) + 1, LEN(K83) - FIND(",", K83)), K83)</f>
        <v/>
      </c>
      <c r="N83" t="n">
        <v>5</v>
      </c>
      <c r="O83" s="2" t="n"/>
      <c r="P83" s="2" t="inlineStr">
        <is>
          <t>12:00</t>
        </is>
      </c>
      <c r="Q83" t="inlineStr">
        <is>
          <t>17:00</t>
        </is>
      </c>
    </row>
    <row r="84">
      <c r="A84" t="inlineStr">
        <is>
          <t xml:space="preserve">Caleon  Kevin Red </t>
        </is>
      </c>
      <c r="B84" t="inlineStr">
        <is>
          <t>TCNz002PH:Waiting for requests</t>
        </is>
      </c>
      <c r="D84">
        <f>L84</f>
        <v/>
      </c>
      <c r="E84">
        <f>SUMIFS(J:J, G:G,             A84, H:H, B84, L:L, L84)</f>
        <v/>
      </c>
      <c r="F84" t="inlineStr">
        <is>
          <t>PH0027</t>
        </is>
      </c>
      <c r="G84" t="inlineStr">
        <is>
          <t xml:space="preserve">Caleon  Kevin Red </t>
        </is>
      </c>
      <c r="H84" t="inlineStr">
        <is>
          <t>TCNz002PH:Waiting for requests</t>
        </is>
      </c>
      <c r="I84" s="1" t="n">
        <v>45933</v>
      </c>
      <c r="J84" t="n">
        <v>2</v>
      </c>
      <c r="L84">
        <f>IFERROR(LEFT(K84,             FIND(",", K84) - 1), "-")</f>
        <v/>
      </c>
      <c r="M84">
        <f>IFERROR(MID(K84,             FIND(",", K84) + 1, LEN(K84) - FIND(",", K84)), K84)</f>
        <v/>
      </c>
      <c r="N84" t="n">
        <v>5</v>
      </c>
      <c r="O84" s="2" t="n"/>
      <c r="P84" s="2" t="inlineStr">
        <is>
          <t>12:00</t>
        </is>
      </c>
      <c r="Q84" t="inlineStr">
        <is>
          <t>14:00</t>
        </is>
      </c>
    </row>
    <row r="85">
      <c r="A85" t="inlineStr">
        <is>
          <t xml:space="preserve">Caleon  Kevin Red </t>
        </is>
      </c>
      <c r="B85" t="inlineStr">
        <is>
          <t>TCNz002PH:Waiting for requests</t>
        </is>
      </c>
      <c r="D85">
        <f>L85</f>
        <v/>
      </c>
      <c r="E85">
        <f>SUMIFS(J:J, G:G,             A85, H:H, B85, L:L, L85)</f>
        <v/>
      </c>
      <c r="F85" t="inlineStr">
        <is>
          <t>PH0027</t>
        </is>
      </c>
      <c r="G85" t="inlineStr">
        <is>
          <t xml:space="preserve">Caleon  Kevin Red </t>
        </is>
      </c>
      <c r="H85" t="inlineStr">
        <is>
          <t>TCNz002PH:Waiting for requests</t>
        </is>
      </c>
      <c r="I85" s="1" t="n">
        <v>45938</v>
      </c>
      <c r="J85" t="n">
        <v>5</v>
      </c>
      <c r="L85">
        <f>IFERROR(LEFT(K85,             FIND(",", K85) - 1), "-")</f>
        <v/>
      </c>
      <c r="M85">
        <f>IFERROR(MID(K85,             FIND(",", K85) + 1, LEN(K85) - FIND(",", K85)), K85)</f>
        <v/>
      </c>
      <c r="N85" t="n">
        <v>5</v>
      </c>
      <c r="O85" s="2" t="n"/>
      <c r="P85" s="2" t="inlineStr">
        <is>
          <t>12:00</t>
        </is>
      </c>
      <c r="Q85" t="inlineStr">
        <is>
          <t>17:00</t>
        </is>
      </c>
    </row>
    <row r="86">
      <c r="A86" t="inlineStr">
        <is>
          <t xml:space="preserve">Caleon  Kevin Red </t>
        </is>
      </c>
      <c r="B86" t="inlineStr">
        <is>
          <t>TCNz002PH:Waiting for requests</t>
        </is>
      </c>
      <c r="D86">
        <f>L86</f>
        <v/>
      </c>
      <c r="E86">
        <f>SUMIFS(J:J, G:G,             A86, H:H, B86, L:L, L86)</f>
        <v/>
      </c>
      <c r="F86" t="inlineStr">
        <is>
          <t>PH0027</t>
        </is>
      </c>
      <c r="G86" t="inlineStr">
        <is>
          <t xml:space="preserve">Caleon  Kevin Red </t>
        </is>
      </c>
      <c r="H86" t="inlineStr">
        <is>
          <t>TCNz002PH:Waiting for requests</t>
        </is>
      </c>
      <c r="I86" s="1" t="n">
        <v>45939</v>
      </c>
      <c r="J86" t="n">
        <v>5</v>
      </c>
      <c r="L86">
        <f>IFERROR(LEFT(K86,             FIND(",", K86) - 1), "-")</f>
        <v/>
      </c>
      <c r="M86">
        <f>IFERROR(MID(K86,             FIND(",", K86) + 1, LEN(K86) - FIND(",", K86)), K86)</f>
        <v/>
      </c>
      <c r="N86" t="n">
        <v>5</v>
      </c>
      <c r="O86" s="2" t="n"/>
      <c r="P86" s="2" t="inlineStr">
        <is>
          <t>12:00</t>
        </is>
      </c>
      <c r="Q86" t="inlineStr">
        <is>
          <t>17:00</t>
        </is>
      </c>
    </row>
    <row r="87">
      <c r="A87" t="inlineStr">
        <is>
          <t xml:space="preserve">Caleon  Kevin Red </t>
        </is>
      </c>
      <c r="B87" t="inlineStr">
        <is>
          <t>TCNz002PH:Waiting for requests</t>
        </is>
      </c>
      <c r="D87">
        <f>L87</f>
        <v/>
      </c>
      <c r="E87">
        <f>SUMIFS(J:J, G:G,             A87, H:H, B87, L:L, L87)</f>
        <v/>
      </c>
      <c r="F87" t="inlineStr">
        <is>
          <t>PH0027</t>
        </is>
      </c>
      <c r="G87" t="inlineStr">
        <is>
          <t xml:space="preserve">Caleon  Kevin Red </t>
        </is>
      </c>
      <c r="H87" t="inlineStr">
        <is>
          <t>TCNz002PH:Waiting for requests</t>
        </is>
      </c>
      <c r="I87" s="1" t="n">
        <v>45947</v>
      </c>
      <c r="J87" t="n">
        <v>5</v>
      </c>
      <c r="L87">
        <f>IFERROR(LEFT(K87,             FIND(",", K87) - 1), "-")</f>
        <v/>
      </c>
      <c r="M87">
        <f>IFERROR(MID(K87,             FIND(",", K87) + 1, LEN(K87) - FIND(",", K87)), K87)</f>
        <v/>
      </c>
      <c r="N87" t="n">
        <v>5</v>
      </c>
      <c r="O87" s="2" t="n"/>
      <c r="P87" s="2" t="inlineStr">
        <is>
          <t>12:00</t>
        </is>
      </c>
      <c r="Q87" t="inlineStr">
        <is>
          <t>17:00</t>
        </is>
      </c>
    </row>
    <row r="88">
      <c r="A88" t="inlineStr">
        <is>
          <t xml:space="preserve">Caleon  Kevin Red </t>
        </is>
      </c>
      <c r="B88" t="inlineStr">
        <is>
          <t>TCNz002PH:Waiting for requests</t>
        </is>
      </c>
      <c r="D88">
        <f>L88</f>
        <v/>
      </c>
      <c r="E88">
        <f>SUMIFS(J:J, G:G,             A88, H:H, B88, L:L, L88)</f>
        <v/>
      </c>
      <c r="F88" t="inlineStr">
        <is>
          <t>PH0027</t>
        </is>
      </c>
      <c r="G88" t="inlineStr">
        <is>
          <t xml:space="preserve">Caleon  Kevin Red </t>
        </is>
      </c>
      <c r="H88" t="inlineStr">
        <is>
          <t>TCNz002PH:Waiting for requests</t>
        </is>
      </c>
      <c r="I88" s="1" t="n">
        <v>45953</v>
      </c>
      <c r="J88" t="n">
        <v>3</v>
      </c>
      <c r="L88">
        <f>IFERROR(LEFT(K88,             FIND(",", K88) - 1), "-")</f>
        <v/>
      </c>
      <c r="M88">
        <f>IFERROR(MID(K88,             FIND(",", K88) + 1, LEN(K88) - FIND(",", K88)), K88)</f>
        <v/>
      </c>
      <c r="N88" t="n">
        <v>5</v>
      </c>
      <c r="O88" s="2" t="n"/>
      <c r="P88" s="2" t="inlineStr">
        <is>
          <t>08:00</t>
        </is>
      </c>
      <c r="Q88" t="inlineStr">
        <is>
          <t>11:00</t>
        </is>
      </c>
    </row>
    <row r="89">
      <c r="A89" t="inlineStr">
        <is>
          <t xml:space="preserve">Caleon  Kevin Red </t>
        </is>
      </c>
      <c r="B89" t="inlineStr">
        <is>
          <t>TCNz002PH:Waiting for requests</t>
        </is>
      </c>
      <c r="D89">
        <f>L89</f>
        <v/>
      </c>
      <c r="E89">
        <f>SUMIFS(J:J, G:G,             A89, H:H, B89, L:L, L89)</f>
        <v/>
      </c>
      <c r="F89" t="inlineStr">
        <is>
          <t>PH0027</t>
        </is>
      </c>
      <c r="G89" t="inlineStr">
        <is>
          <t xml:space="preserve">Caleon  Kevin Red </t>
        </is>
      </c>
      <c r="H89" t="inlineStr">
        <is>
          <t>TCNz002PH:Waiting for requests</t>
        </is>
      </c>
      <c r="I89" s="1" t="n">
        <v>45953</v>
      </c>
      <c r="J89" t="n">
        <v>5</v>
      </c>
      <c r="L89">
        <f>IFERROR(LEFT(K89,             FIND(",", K89) - 1), "-")</f>
        <v/>
      </c>
      <c r="M89">
        <f>IFERROR(MID(K89,             FIND(",", K89) + 1, LEN(K89) - FIND(",", K89)), K89)</f>
        <v/>
      </c>
      <c r="N89" t="n">
        <v>5</v>
      </c>
      <c r="O89" s="2" t="n"/>
      <c r="P89" s="2" t="inlineStr">
        <is>
          <t>12:00</t>
        </is>
      </c>
      <c r="Q89" t="inlineStr">
        <is>
          <t>17:00</t>
        </is>
      </c>
    </row>
    <row r="90">
      <c r="A90" t="inlineStr">
        <is>
          <t xml:space="preserve">Caleon  Kevin Red </t>
        </is>
      </c>
      <c r="B90" t="inlineStr">
        <is>
          <t>TCNz004PH:SMS NewDev</t>
        </is>
      </c>
      <c r="C90">
        <f>SUMIFS(J:J, G:G,             A90, H:H, B90)</f>
        <v/>
      </c>
      <c r="D90">
        <f>L90</f>
        <v/>
      </c>
      <c r="E90">
        <f>SUMIFS(J:J, G:G,             A90, H:H, B90, L:L, L90)</f>
        <v/>
      </c>
      <c r="F90" t="inlineStr">
        <is>
          <t>PH0027</t>
        </is>
      </c>
      <c r="G90" t="inlineStr">
        <is>
          <t xml:space="preserve">Caleon  Kevin Red </t>
        </is>
      </c>
      <c r="H90" t="inlineStr">
        <is>
          <t>TCNz004PH:SMS NewDev</t>
        </is>
      </c>
      <c r="I90" s="1" t="n">
        <v>45931</v>
      </c>
      <c r="J90" t="n">
        <v>3</v>
      </c>
      <c r="L90">
        <f>IFERROR(LEFT(K90,             FIND(",", K90) - 1), "-")</f>
        <v/>
      </c>
      <c r="M90">
        <f>IFERROR(MID(K90,             FIND(",", K90) + 1, LEN(K90) - FIND(",", K90)), K90)</f>
        <v/>
      </c>
      <c r="O90" s="2" t="n"/>
      <c r="P90" s="2" t="inlineStr">
        <is>
          <t>08:00</t>
        </is>
      </c>
      <c r="Q90" t="inlineStr">
        <is>
          <t>11:00</t>
        </is>
      </c>
    </row>
    <row r="91">
      <c r="A91" t="inlineStr">
        <is>
          <t xml:space="preserve">Caleon  Kevin Red </t>
        </is>
      </c>
      <c r="B91" t="inlineStr">
        <is>
          <t>TCNz004PH:SMS NewDev</t>
        </is>
      </c>
      <c r="D91">
        <f>L91</f>
        <v/>
      </c>
      <c r="E91">
        <f>SUMIFS(J:J, G:G,             A91, H:H, B91, L:L, L91)</f>
        <v/>
      </c>
      <c r="F91" t="inlineStr">
        <is>
          <t>PH0027</t>
        </is>
      </c>
      <c r="G91" t="inlineStr">
        <is>
          <t xml:space="preserve">Caleon  Kevin Red </t>
        </is>
      </c>
      <c r="H91" t="inlineStr">
        <is>
          <t>TCNz004PH:SMS NewDev</t>
        </is>
      </c>
      <c r="I91" s="1" t="n">
        <v>45931</v>
      </c>
      <c r="J91" t="n">
        <v>5</v>
      </c>
      <c r="L91">
        <f>IFERROR(LEFT(K91,             FIND(",", K91) - 1), "-")</f>
        <v/>
      </c>
      <c r="M91">
        <f>IFERROR(MID(K91,             FIND(",", K91) + 1, LEN(K91) - FIND(",", K91)), K91)</f>
        <v/>
      </c>
      <c r="O91" s="2" t="n"/>
      <c r="P91" s="2" t="inlineStr">
        <is>
          <t>12:00</t>
        </is>
      </c>
      <c r="Q91" t="inlineStr">
        <is>
          <t>17:00</t>
        </is>
      </c>
    </row>
    <row r="92">
      <c r="A92" t="inlineStr">
        <is>
          <t xml:space="preserve">Caleon  Kevin Red </t>
        </is>
      </c>
      <c r="B92" t="inlineStr">
        <is>
          <t>TCNz004PH:SMS NewDev</t>
        </is>
      </c>
      <c r="D92">
        <f>L92</f>
        <v/>
      </c>
      <c r="E92">
        <f>SUMIFS(J:J, G:G,             A92, H:H, B92, L:L, L92)</f>
        <v/>
      </c>
      <c r="F92" t="inlineStr">
        <is>
          <t>PH0027</t>
        </is>
      </c>
      <c r="G92" t="inlineStr">
        <is>
          <t xml:space="preserve">Caleon  Kevin Red </t>
        </is>
      </c>
      <c r="H92" t="inlineStr">
        <is>
          <t>TCNz004PH:SMS NewDev</t>
        </is>
      </c>
      <c r="I92" s="1" t="n">
        <v>45933</v>
      </c>
      <c r="J92" t="n">
        <v>3</v>
      </c>
      <c r="L92">
        <f>IFERROR(LEFT(K92,             FIND(",", K92) - 1), "-")</f>
        <v/>
      </c>
      <c r="M92">
        <f>IFERROR(MID(K92,             FIND(",", K92) + 1, LEN(K92) - FIND(",", K92)), K92)</f>
        <v/>
      </c>
      <c r="O92" s="2" t="n"/>
      <c r="P92" s="2" t="inlineStr">
        <is>
          <t>08:00</t>
        </is>
      </c>
      <c r="Q92" t="inlineStr">
        <is>
          <t>11:00</t>
        </is>
      </c>
    </row>
    <row r="93">
      <c r="A93" t="inlineStr">
        <is>
          <t xml:space="preserve">Caleon  Kevin Red </t>
        </is>
      </c>
      <c r="B93" t="inlineStr">
        <is>
          <t>TCNz004PH:SMS NewDev</t>
        </is>
      </c>
      <c r="D93">
        <f>L93</f>
        <v/>
      </c>
      <c r="E93">
        <f>SUMIFS(J:J, G:G,             A93, H:H, B93, L:L, L93)</f>
        <v/>
      </c>
      <c r="F93" t="inlineStr">
        <is>
          <t>PH0027</t>
        </is>
      </c>
      <c r="G93" t="inlineStr">
        <is>
          <t xml:space="preserve">Caleon  Kevin Red </t>
        </is>
      </c>
      <c r="H93" t="inlineStr">
        <is>
          <t>TCNz004PH:SMS NewDev</t>
        </is>
      </c>
      <c r="I93" s="1" t="n">
        <v>45933</v>
      </c>
      <c r="J93" t="n">
        <v>3</v>
      </c>
      <c r="L93">
        <f>IFERROR(LEFT(K93,             FIND(",", K93) - 1), "-")</f>
        <v/>
      </c>
      <c r="M93">
        <f>IFERROR(MID(K93,             FIND(",", K93) + 1, LEN(K93) - FIND(",", K93)), K93)</f>
        <v/>
      </c>
      <c r="O93" s="2" t="n"/>
      <c r="P93" s="2" t="inlineStr">
        <is>
          <t>14:00</t>
        </is>
      </c>
      <c r="Q93" t="inlineStr">
        <is>
          <t>17:00</t>
        </is>
      </c>
    </row>
    <row r="94">
      <c r="A94" t="inlineStr">
        <is>
          <t xml:space="preserve">Caleon  Kevin Red </t>
        </is>
      </c>
      <c r="B94" t="inlineStr">
        <is>
          <t>TCNz004PH:SMS NewDev</t>
        </is>
      </c>
      <c r="D94">
        <f>L94</f>
        <v/>
      </c>
      <c r="E94">
        <f>SUMIFS(J:J, G:G,             A94, H:H, B94, L:L, L94)</f>
        <v/>
      </c>
      <c r="F94" t="inlineStr">
        <is>
          <t>PH0027</t>
        </is>
      </c>
      <c r="G94" t="inlineStr">
        <is>
          <t xml:space="preserve">Caleon  Kevin Red </t>
        </is>
      </c>
      <c r="H94" t="inlineStr">
        <is>
          <t>TCNz004PH:SMS NewDev</t>
        </is>
      </c>
      <c r="I94" s="1" t="n">
        <v>45936</v>
      </c>
      <c r="J94" t="n">
        <v>3</v>
      </c>
      <c r="L94">
        <f>IFERROR(LEFT(K94,             FIND(",", K94) - 1), "-")</f>
        <v/>
      </c>
      <c r="M94">
        <f>IFERROR(MID(K94,             FIND(",", K94) + 1, LEN(K94) - FIND(",", K94)), K94)</f>
        <v/>
      </c>
      <c r="O94" s="2" t="n"/>
      <c r="P94" s="2" t="inlineStr">
        <is>
          <t>08:00</t>
        </is>
      </c>
      <c r="Q94" t="inlineStr">
        <is>
          <t>11:00</t>
        </is>
      </c>
    </row>
    <row r="95">
      <c r="A95" t="inlineStr">
        <is>
          <t xml:space="preserve">Caleon  Kevin Red </t>
        </is>
      </c>
      <c r="B95" t="inlineStr">
        <is>
          <t>TCNz004PH:SMS NewDev</t>
        </is>
      </c>
      <c r="D95">
        <f>L95</f>
        <v/>
      </c>
      <c r="E95">
        <f>SUMIFS(J:J, G:G,             A95, H:H, B95, L:L, L95)</f>
        <v/>
      </c>
      <c r="F95" t="inlineStr">
        <is>
          <t>PH0027</t>
        </is>
      </c>
      <c r="G95" t="inlineStr">
        <is>
          <t xml:space="preserve">Caleon  Kevin Red </t>
        </is>
      </c>
      <c r="H95" t="inlineStr">
        <is>
          <t>TCNz004PH:SMS NewDev</t>
        </is>
      </c>
      <c r="I95" s="1" t="n">
        <v>45936</v>
      </c>
      <c r="J95" t="n">
        <v>5</v>
      </c>
      <c r="L95">
        <f>IFERROR(LEFT(K95,             FIND(",", K95) - 1), "-")</f>
        <v/>
      </c>
      <c r="M95">
        <f>IFERROR(MID(K95,             FIND(",", K95) + 1, LEN(K95) - FIND(",", K95)), K95)</f>
        <v/>
      </c>
      <c r="O95" s="2" t="n"/>
      <c r="P95" s="2" t="inlineStr">
        <is>
          <t>12:00</t>
        </is>
      </c>
      <c r="Q95" t="inlineStr">
        <is>
          <t>17:00</t>
        </is>
      </c>
    </row>
    <row r="96">
      <c r="A96" t="inlineStr">
        <is>
          <t xml:space="preserve">Caleon  Kevin Red </t>
        </is>
      </c>
      <c r="B96" t="inlineStr">
        <is>
          <t>TCNz004PH:SMS NewDev</t>
        </is>
      </c>
      <c r="D96">
        <f>L96</f>
        <v/>
      </c>
      <c r="E96">
        <f>SUMIFS(J:J, G:G,             A96, H:H, B96, L:L, L96)</f>
        <v/>
      </c>
      <c r="F96" t="inlineStr">
        <is>
          <t>PH0027</t>
        </is>
      </c>
      <c r="G96" t="inlineStr">
        <is>
          <t xml:space="preserve">Caleon  Kevin Red </t>
        </is>
      </c>
      <c r="H96" t="inlineStr">
        <is>
          <t>TCNz004PH:SMS NewDev</t>
        </is>
      </c>
      <c r="I96" s="1" t="n">
        <v>45937</v>
      </c>
      <c r="J96" t="n">
        <v>3</v>
      </c>
      <c r="L96">
        <f>IFERROR(LEFT(K96,             FIND(",", K96) - 1), "-")</f>
        <v/>
      </c>
      <c r="M96">
        <f>IFERROR(MID(K96,             FIND(",", K96) + 1, LEN(K96) - FIND(",", K96)), K96)</f>
        <v/>
      </c>
      <c r="O96" s="2" t="n"/>
      <c r="P96" s="2" t="inlineStr">
        <is>
          <t>08:00</t>
        </is>
      </c>
      <c r="Q96" t="inlineStr">
        <is>
          <t>11:00</t>
        </is>
      </c>
    </row>
    <row r="97">
      <c r="A97" t="inlineStr">
        <is>
          <t xml:space="preserve">Caleon  Kevin Red </t>
        </is>
      </c>
      <c r="B97" t="inlineStr">
        <is>
          <t>TCNz004PH:SMS NewDev</t>
        </is>
      </c>
      <c r="D97">
        <f>L97</f>
        <v/>
      </c>
      <c r="E97">
        <f>SUMIFS(J:J, G:G,             A97, H:H, B97, L:L, L97)</f>
        <v/>
      </c>
      <c r="F97" t="inlineStr">
        <is>
          <t>PH0027</t>
        </is>
      </c>
      <c r="G97" t="inlineStr">
        <is>
          <t xml:space="preserve">Caleon  Kevin Red </t>
        </is>
      </c>
      <c r="H97" t="inlineStr">
        <is>
          <t>TCNz004PH:SMS NewDev</t>
        </is>
      </c>
      <c r="I97" s="1" t="n">
        <v>45937</v>
      </c>
      <c r="J97" t="n">
        <v>4</v>
      </c>
      <c r="L97">
        <f>IFERROR(LEFT(K97,             FIND(",", K97) - 1), "-")</f>
        <v/>
      </c>
      <c r="M97">
        <f>IFERROR(MID(K97,             FIND(",", K97) + 1, LEN(K97) - FIND(",", K97)), K97)</f>
        <v/>
      </c>
      <c r="O97" s="2" t="n"/>
      <c r="P97" s="2" t="inlineStr">
        <is>
          <t>12:00</t>
        </is>
      </c>
      <c r="Q97" t="inlineStr">
        <is>
          <t>16:00</t>
        </is>
      </c>
    </row>
    <row r="98">
      <c r="A98" t="inlineStr">
        <is>
          <t xml:space="preserve">Caleon  Kevin Red </t>
        </is>
      </c>
      <c r="B98" t="inlineStr">
        <is>
          <t>TCNz004PH:SMS NewDev</t>
        </is>
      </c>
      <c r="D98">
        <f>L98</f>
        <v/>
      </c>
      <c r="E98">
        <f>SUMIFS(J:J, G:G,             A98, H:H, B98, L:L, L98)</f>
        <v/>
      </c>
      <c r="F98" t="inlineStr">
        <is>
          <t>PH0027</t>
        </is>
      </c>
      <c r="G98" t="inlineStr">
        <is>
          <t xml:space="preserve">Caleon  Kevin Red </t>
        </is>
      </c>
      <c r="H98" t="inlineStr">
        <is>
          <t>TCNz004PH:SMS NewDev</t>
        </is>
      </c>
      <c r="I98" s="1" t="n">
        <v>45937</v>
      </c>
      <c r="J98" t="n">
        <v>0.25</v>
      </c>
      <c r="L98">
        <f>IFERROR(LEFT(K98,             FIND(",", K98) - 1), "-")</f>
        <v/>
      </c>
      <c r="M98">
        <f>IFERROR(MID(K98,             FIND(",", K98) + 1, LEN(K98) - FIND(",", K98)), K98)</f>
        <v/>
      </c>
      <c r="O98" s="2" t="n"/>
      <c r="P98" s="2" t="inlineStr">
        <is>
          <t>16:45</t>
        </is>
      </c>
      <c r="Q98" t="inlineStr">
        <is>
          <t>17:00</t>
        </is>
      </c>
    </row>
    <row r="99">
      <c r="A99" t="inlineStr">
        <is>
          <t xml:space="preserve">Caleon  Kevin Red </t>
        </is>
      </c>
      <c r="B99" t="inlineStr">
        <is>
          <t>TCNz004PH:SMS NewDev</t>
        </is>
      </c>
      <c r="D99">
        <f>L99</f>
        <v/>
      </c>
      <c r="E99">
        <f>SUMIFS(J:J, G:G,             A99, H:H, B99, L:L, L99)</f>
        <v/>
      </c>
      <c r="F99" t="inlineStr">
        <is>
          <t>PH0027</t>
        </is>
      </c>
      <c r="G99" t="inlineStr">
        <is>
          <t xml:space="preserve">Caleon  Kevin Red </t>
        </is>
      </c>
      <c r="H99" t="inlineStr">
        <is>
          <t>TCNz004PH:SMS NewDev</t>
        </is>
      </c>
      <c r="I99" s="1" t="n">
        <v>45938</v>
      </c>
      <c r="J99" t="n">
        <v>3</v>
      </c>
      <c r="L99">
        <f>IFERROR(LEFT(K99,             FIND(",", K99) - 1), "-")</f>
        <v/>
      </c>
      <c r="M99">
        <f>IFERROR(MID(K99,             FIND(",", K99) + 1, LEN(K99) - FIND(",", K99)), K99)</f>
        <v/>
      </c>
      <c r="O99" s="2" t="n"/>
      <c r="P99" s="2" t="inlineStr">
        <is>
          <t>08:00</t>
        </is>
      </c>
      <c r="Q99" t="inlineStr">
        <is>
          <t>11:00</t>
        </is>
      </c>
    </row>
    <row r="100">
      <c r="A100" t="inlineStr">
        <is>
          <t xml:space="preserve">Caleon  Kevin Red </t>
        </is>
      </c>
      <c r="B100" t="inlineStr">
        <is>
          <t>TCNz004PH:SMS NewDev</t>
        </is>
      </c>
      <c r="D100">
        <f>L100</f>
        <v/>
      </c>
      <c r="E100">
        <f>SUMIFS(J:J, G:G,             A100, H:H, B100, L:L, L100)</f>
        <v/>
      </c>
      <c r="F100" t="inlineStr">
        <is>
          <t>PH0027</t>
        </is>
      </c>
      <c r="G100" t="inlineStr">
        <is>
          <t xml:space="preserve">Caleon  Kevin Red </t>
        </is>
      </c>
      <c r="H100" t="inlineStr">
        <is>
          <t>TCNz004PH:SMS NewDev</t>
        </is>
      </c>
      <c r="I100" s="1" t="n">
        <v>45939</v>
      </c>
      <c r="J100" t="n">
        <v>3</v>
      </c>
      <c r="L100">
        <f>IFERROR(LEFT(K100,             FIND(",", K100) - 1), "-")</f>
        <v/>
      </c>
      <c r="M100">
        <f>IFERROR(MID(K100,             FIND(",", K100) + 1, LEN(K100) - FIND(",", K100)), K100)</f>
        <v/>
      </c>
      <c r="O100" s="2" t="n"/>
      <c r="P100" s="2" t="inlineStr">
        <is>
          <t>08:00</t>
        </is>
      </c>
      <c r="Q100" t="inlineStr">
        <is>
          <t>11:00</t>
        </is>
      </c>
    </row>
    <row r="101">
      <c r="A101" t="inlineStr">
        <is>
          <t xml:space="preserve">Caleon  Kevin Red </t>
        </is>
      </c>
      <c r="B101" t="inlineStr">
        <is>
          <t>TCNz004PH:SMS NewDev</t>
        </is>
      </c>
      <c r="D101">
        <f>L101</f>
        <v/>
      </c>
      <c r="E101">
        <f>SUMIFS(J:J, G:G,             A101, H:H, B101, L:L, L101)</f>
        <v/>
      </c>
      <c r="F101" t="inlineStr">
        <is>
          <t>PH0027</t>
        </is>
      </c>
      <c r="G101" t="inlineStr">
        <is>
          <t xml:space="preserve">Caleon  Kevin Red </t>
        </is>
      </c>
      <c r="H101" t="inlineStr">
        <is>
          <t>TCNz004PH:SMS NewDev</t>
        </is>
      </c>
      <c r="I101" s="1" t="n">
        <v>45940</v>
      </c>
      <c r="J101" t="n">
        <v>3</v>
      </c>
      <c r="L101">
        <f>IFERROR(LEFT(K101,             FIND(",", K101) - 1), "-")</f>
        <v/>
      </c>
      <c r="M101">
        <f>IFERROR(MID(K101,             FIND(",", K101) + 1, LEN(K101) - FIND(",", K101)), K101)</f>
        <v/>
      </c>
      <c r="O101" s="2" t="n"/>
      <c r="P101" s="2" t="inlineStr">
        <is>
          <t>08:00</t>
        </is>
      </c>
      <c r="Q101" t="inlineStr">
        <is>
          <t>11:00</t>
        </is>
      </c>
    </row>
    <row r="102">
      <c r="A102" t="inlineStr">
        <is>
          <t xml:space="preserve">Caleon  Kevin Red </t>
        </is>
      </c>
      <c r="B102" t="inlineStr">
        <is>
          <t>TCNz004PH:SMS NewDev</t>
        </is>
      </c>
      <c r="D102">
        <f>L102</f>
        <v/>
      </c>
      <c r="E102">
        <f>SUMIFS(J:J, G:G,             A102, H:H, B102, L:L, L102)</f>
        <v/>
      </c>
      <c r="F102" t="inlineStr">
        <is>
          <t>PH0027</t>
        </is>
      </c>
      <c r="G102" t="inlineStr">
        <is>
          <t xml:space="preserve">Caleon  Kevin Red </t>
        </is>
      </c>
      <c r="H102" t="inlineStr">
        <is>
          <t>TCNz004PH:SMS NewDev</t>
        </is>
      </c>
      <c r="I102" s="1" t="n">
        <v>45940</v>
      </c>
      <c r="J102" t="n">
        <v>5</v>
      </c>
      <c r="L102">
        <f>IFERROR(LEFT(K102,             FIND(",", K102) - 1), "-")</f>
        <v/>
      </c>
      <c r="M102">
        <f>IFERROR(MID(K102,             FIND(",", K102) + 1, LEN(K102) - FIND(",", K102)), K102)</f>
        <v/>
      </c>
      <c r="O102" s="2" t="n"/>
      <c r="P102" s="2" t="inlineStr">
        <is>
          <t>12:00</t>
        </is>
      </c>
      <c r="Q102" t="inlineStr">
        <is>
          <t>17:00</t>
        </is>
      </c>
    </row>
    <row r="103">
      <c r="A103" t="inlineStr">
        <is>
          <t xml:space="preserve">Caleon  Kevin Red </t>
        </is>
      </c>
      <c r="B103" t="inlineStr">
        <is>
          <t>TCNz004PH:SMS NewDev</t>
        </is>
      </c>
      <c r="D103">
        <f>L103</f>
        <v/>
      </c>
      <c r="E103">
        <f>SUMIFS(J:J, G:G,             A103, H:H, B103, L:L, L103)</f>
        <v/>
      </c>
      <c r="F103" t="inlineStr">
        <is>
          <t>PH0027</t>
        </is>
      </c>
      <c r="G103" t="inlineStr">
        <is>
          <t xml:space="preserve">Caleon  Kevin Red </t>
        </is>
      </c>
      <c r="H103" t="inlineStr">
        <is>
          <t>TCNz004PH:SMS NewDev</t>
        </is>
      </c>
      <c r="I103" s="1" t="n">
        <v>45943</v>
      </c>
      <c r="J103" t="n">
        <v>3</v>
      </c>
      <c r="L103">
        <f>IFERROR(LEFT(K103,             FIND(",", K103) - 1), "-")</f>
        <v/>
      </c>
      <c r="M103">
        <f>IFERROR(MID(K103,             FIND(",", K103) + 1, LEN(K103) - FIND(",", K103)), K103)</f>
        <v/>
      </c>
      <c r="O103" s="2" t="n"/>
      <c r="P103" s="2" t="inlineStr">
        <is>
          <t>08:00</t>
        </is>
      </c>
      <c r="Q103" t="inlineStr">
        <is>
          <t>11:00</t>
        </is>
      </c>
    </row>
    <row r="104">
      <c r="A104" t="inlineStr">
        <is>
          <t xml:space="preserve">Caleon  Kevin Red </t>
        </is>
      </c>
      <c r="B104" t="inlineStr">
        <is>
          <t>TCNz004PH:SMS NewDev</t>
        </is>
      </c>
      <c r="D104">
        <f>L104</f>
        <v/>
      </c>
      <c r="E104">
        <f>SUMIFS(J:J, G:G,             A104, H:H, B104, L:L, L104)</f>
        <v/>
      </c>
      <c r="F104" t="inlineStr">
        <is>
          <t>PH0027</t>
        </is>
      </c>
      <c r="G104" t="inlineStr">
        <is>
          <t xml:space="preserve">Caleon  Kevin Red </t>
        </is>
      </c>
      <c r="H104" t="inlineStr">
        <is>
          <t>TCNz004PH:SMS NewDev</t>
        </is>
      </c>
      <c r="I104" s="1" t="n">
        <v>45943</v>
      </c>
      <c r="J104" t="n">
        <v>5</v>
      </c>
      <c r="L104">
        <f>IFERROR(LEFT(K104,             FIND(",", K104) - 1), "-")</f>
        <v/>
      </c>
      <c r="M104">
        <f>IFERROR(MID(K104,             FIND(",", K104) + 1, LEN(K104) - FIND(",", K104)), K104)</f>
        <v/>
      </c>
      <c r="O104" s="2" t="n"/>
      <c r="P104" s="2" t="inlineStr">
        <is>
          <t>12:00</t>
        </is>
      </c>
      <c r="Q104" t="inlineStr">
        <is>
          <t>17:00</t>
        </is>
      </c>
    </row>
    <row r="105">
      <c r="A105" t="inlineStr">
        <is>
          <t xml:space="preserve">Caleon  Kevin Red </t>
        </is>
      </c>
      <c r="B105" t="inlineStr">
        <is>
          <t>TCNz004PH:SMS NewDev</t>
        </is>
      </c>
      <c r="D105">
        <f>L105</f>
        <v/>
      </c>
      <c r="E105">
        <f>SUMIFS(J:J, G:G,             A105, H:H, B105, L:L, L105)</f>
        <v/>
      </c>
      <c r="F105" t="inlineStr">
        <is>
          <t>PH0027</t>
        </is>
      </c>
      <c r="G105" t="inlineStr">
        <is>
          <t xml:space="preserve">Caleon  Kevin Red </t>
        </is>
      </c>
      <c r="H105" t="inlineStr">
        <is>
          <t>TCNz004PH:SMS NewDev</t>
        </is>
      </c>
      <c r="I105" s="1" t="n">
        <v>45944</v>
      </c>
      <c r="J105" t="n">
        <v>3</v>
      </c>
      <c r="L105">
        <f>IFERROR(LEFT(K105,             FIND(",", K105) - 1), "-")</f>
        <v/>
      </c>
      <c r="M105">
        <f>IFERROR(MID(K105,             FIND(",", K105) + 1, LEN(K105) - FIND(",", K105)), K105)</f>
        <v/>
      </c>
      <c r="O105" s="2" t="n"/>
      <c r="P105" s="2" t="inlineStr">
        <is>
          <t>08:00</t>
        </is>
      </c>
      <c r="Q105" t="inlineStr">
        <is>
          <t>11:00</t>
        </is>
      </c>
    </row>
    <row r="106">
      <c r="A106" t="inlineStr">
        <is>
          <t xml:space="preserve">Caleon  Kevin Red </t>
        </is>
      </c>
      <c r="B106" t="inlineStr">
        <is>
          <t>TCNz004PH:SMS NewDev</t>
        </is>
      </c>
      <c r="D106">
        <f>L106</f>
        <v/>
      </c>
      <c r="E106">
        <f>SUMIFS(J:J, G:G,             A106, H:H, B106, L:L, L106)</f>
        <v/>
      </c>
      <c r="F106" t="inlineStr">
        <is>
          <t>PH0027</t>
        </is>
      </c>
      <c r="G106" t="inlineStr">
        <is>
          <t xml:space="preserve">Caleon  Kevin Red </t>
        </is>
      </c>
      <c r="H106" t="inlineStr">
        <is>
          <t>TCNz004PH:SMS NewDev</t>
        </is>
      </c>
      <c r="I106" s="1" t="n">
        <v>45944</v>
      </c>
      <c r="J106" t="n">
        <v>5</v>
      </c>
      <c r="L106">
        <f>IFERROR(LEFT(K106,             FIND(",", K106) - 1), "-")</f>
        <v/>
      </c>
      <c r="M106">
        <f>IFERROR(MID(K106,             FIND(",", K106) + 1, LEN(K106) - FIND(",", K106)), K106)</f>
        <v/>
      </c>
      <c r="O106" s="2" t="n"/>
      <c r="P106" s="2" t="inlineStr">
        <is>
          <t>12:00</t>
        </is>
      </c>
      <c r="Q106" t="inlineStr">
        <is>
          <t>17:00</t>
        </is>
      </c>
    </row>
    <row r="107">
      <c r="A107" t="inlineStr">
        <is>
          <t xml:space="preserve">Caleon  Kevin Red </t>
        </is>
      </c>
      <c r="B107" t="inlineStr">
        <is>
          <t>TCNz004PH:SMS NewDev</t>
        </is>
      </c>
      <c r="D107">
        <f>L107</f>
        <v/>
      </c>
      <c r="E107">
        <f>SUMIFS(J:J, G:G,             A107, H:H, B107, L:L, L107)</f>
        <v/>
      </c>
      <c r="F107" t="inlineStr">
        <is>
          <t>PH0027</t>
        </is>
      </c>
      <c r="G107" t="inlineStr">
        <is>
          <t xml:space="preserve">Caleon  Kevin Red </t>
        </is>
      </c>
      <c r="H107" t="inlineStr">
        <is>
          <t>TCNz004PH:SMS NewDev</t>
        </is>
      </c>
      <c r="I107" s="1" t="n">
        <v>45945</v>
      </c>
      <c r="J107" t="n">
        <v>3</v>
      </c>
      <c r="L107">
        <f>IFERROR(LEFT(K107,             FIND(",", K107) - 1), "-")</f>
        <v/>
      </c>
      <c r="M107">
        <f>IFERROR(MID(K107,             FIND(",", K107) + 1, LEN(K107) - FIND(",", K107)), K107)</f>
        <v/>
      </c>
      <c r="O107" s="2" t="n"/>
      <c r="P107" s="2" t="inlineStr">
        <is>
          <t>08:00</t>
        </is>
      </c>
      <c r="Q107" t="inlineStr">
        <is>
          <t>11:00</t>
        </is>
      </c>
    </row>
    <row r="108">
      <c r="A108" t="inlineStr">
        <is>
          <t xml:space="preserve">Caleon  Kevin Red </t>
        </is>
      </c>
      <c r="B108" t="inlineStr">
        <is>
          <t>TCNz004PH:SMS NewDev</t>
        </is>
      </c>
      <c r="D108">
        <f>L108</f>
        <v/>
      </c>
      <c r="E108">
        <f>SUMIFS(J:J, G:G,             A108, H:H, B108, L:L, L108)</f>
        <v/>
      </c>
      <c r="F108" t="inlineStr">
        <is>
          <t>PH0027</t>
        </is>
      </c>
      <c r="G108" t="inlineStr">
        <is>
          <t xml:space="preserve">Caleon  Kevin Red </t>
        </is>
      </c>
      <c r="H108" t="inlineStr">
        <is>
          <t>TCNz004PH:SMS NewDev</t>
        </is>
      </c>
      <c r="I108" s="1" t="n">
        <v>45945</v>
      </c>
      <c r="J108" t="n">
        <v>5</v>
      </c>
      <c r="L108">
        <f>IFERROR(LEFT(K108,             FIND(",", K108) - 1), "-")</f>
        <v/>
      </c>
      <c r="M108">
        <f>IFERROR(MID(K108,             FIND(",", K108) + 1, LEN(K108) - FIND(",", K108)), K108)</f>
        <v/>
      </c>
      <c r="O108" s="2" t="n"/>
      <c r="P108" s="2" t="inlineStr">
        <is>
          <t>12:00</t>
        </is>
      </c>
      <c r="Q108" t="inlineStr">
        <is>
          <t>17:00</t>
        </is>
      </c>
    </row>
    <row r="109">
      <c r="A109" t="inlineStr">
        <is>
          <t xml:space="preserve">Caleon  Kevin Red </t>
        </is>
      </c>
      <c r="B109" t="inlineStr">
        <is>
          <t>TCNz004PH:SMS NewDev</t>
        </is>
      </c>
      <c r="D109">
        <f>L109</f>
        <v/>
      </c>
      <c r="E109">
        <f>SUMIFS(J:J, G:G,             A109, H:H, B109, L:L, L109)</f>
        <v/>
      </c>
      <c r="F109" t="inlineStr">
        <is>
          <t>PH0027</t>
        </is>
      </c>
      <c r="G109" t="inlineStr">
        <is>
          <t xml:space="preserve">Caleon  Kevin Red </t>
        </is>
      </c>
      <c r="H109" t="inlineStr">
        <is>
          <t>TCNz004PH:SMS NewDev</t>
        </is>
      </c>
      <c r="I109" s="1" t="n">
        <v>45946</v>
      </c>
      <c r="J109" t="n">
        <v>3</v>
      </c>
      <c r="L109">
        <f>IFERROR(LEFT(K109,             FIND(",", K109) - 1), "-")</f>
        <v/>
      </c>
      <c r="M109">
        <f>IFERROR(MID(K109,             FIND(",", K109) + 1, LEN(K109) - FIND(",", K109)), K109)</f>
        <v/>
      </c>
      <c r="O109" s="2" t="n"/>
      <c r="P109" s="2" t="inlineStr">
        <is>
          <t>08:00</t>
        </is>
      </c>
      <c r="Q109" t="inlineStr">
        <is>
          <t>11:00</t>
        </is>
      </c>
    </row>
    <row r="110">
      <c r="A110" t="inlineStr">
        <is>
          <t xml:space="preserve">Caleon  Kevin Red </t>
        </is>
      </c>
      <c r="B110" t="inlineStr">
        <is>
          <t>TCNz004PH:SMS NewDev</t>
        </is>
      </c>
      <c r="D110">
        <f>L110</f>
        <v/>
      </c>
      <c r="E110">
        <f>SUMIFS(J:J, G:G,             A110, H:H, B110, L:L, L110)</f>
        <v/>
      </c>
      <c r="F110" t="inlineStr">
        <is>
          <t>PH0027</t>
        </is>
      </c>
      <c r="G110" t="inlineStr">
        <is>
          <t xml:space="preserve">Caleon  Kevin Red </t>
        </is>
      </c>
      <c r="H110" t="inlineStr">
        <is>
          <t>TCNz004PH:SMS NewDev</t>
        </is>
      </c>
      <c r="I110" s="1" t="n">
        <v>45946</v>
      </c>
      <c r="J110" t="n">
        <v>5</v>
      </c>
      <c r="L110">
        <f>IFERROR(LEFT(K110,             FIND(",", K110) - 1), "-")</f>
        <v/>
      </c>
      <c r="M110">
        <f>IFERROR(MID(K110,             FIND(",", K110) + 1, LEN(K110) - FIND(",", K110)), K110)</f>
        <v/>
      </c>
      <c r="O110" s="2" t="n"/>
      <c r="P110" s="2" t="inlineStr">
        <is>
          <t>12:00</t>
        </is>
      </c>
      <c r="Q110" t="inlineStr">
        <is>
          <t>17:00</t>
        </is>
      </c>
    </row>
    <row r="111">
      <c r="A111" t="inlineStr">
        <is>
          <t xml:space="preserve">Caleon  Kevin Red </t>
        </is>
      </c>
      <c r="B111" t="inlineStr">
        <is>
          <t>TCNz004PH:SMS NewDev</t>
        </is>
      </c>
      <c r="D111">
        <f>L111</f>
        <v/>
      </c>
      <c r="E111">
        <f>SUMIFS(J:J, G:G,             A111, H:H, B111, L:L, L111)</f>
        <v/>
      </c>
      <c r="F111" t="inlineStr">
        <is>
          <t>PH0027</t>
        </is>
      </c>
      <c r="G111" t="inlineStr">
        <is>
          <t xml:space="preserve">Caleon  Kevin Red </t>
        </is>
      </c>
      <c r="H111" t="inlineStr">
        <is>
          <t>TCNz004PH:SMS NewDev</t>
        </is>
      </c>
      <c r="I111" s="1" t="n">
        <v>45947</v>
      </c>
      <c r="J111" t="n">
        <v>3</v>
      </c>
      <c r="L111">
        <f>IFERROR(LEFT(K111,             FIND(",", K111) - 1), "-")</f>
        <v/>
      </c>
      <c r="M111">
        <f>IFERROR(MID(K111,             FIND(",", K111) + 1, LEN(K111) - FIND(",", K111)), K111)</f>
        <v/>
      </c>
      <c r="O111" s="2" t="n"/>
      <c r="P111" s="2" t="inlineStr">
        <is>
          <t>08:00</t>
        </is>
      </c>
      <c r="Q111" t="inlineStr">
        <is>
          <t>11:00</t>
        </is>
      </c>
    </row>
    <row r="112">
      <c r="A112" t="inlineStr">
        <is>
          <t xml:space="preserve">Caleon  Kevin Red </t>
        </is>
      </c>
      <c r="B112" t="inlineStr">
        <is>
          <t>TCNz004PH:SMS NewDev</t>
        </is>
      </c>
      <c r="D112">
        <f>L112</f>
        <v/>
      </c>
      <c r="E112">
        <f>SUMIFS(J:J, G:G,             A112, H:H, B112, L:L, L112)</f>
        <v/>
      </c>
      <c r="F112" t="inlineStr">
        <is>
          <t>PH0027</t>
        </is>
      </c>
      <c r="G112" t="inlineStr">
        <is>
          <t xml:space="preserve">Caleon  Kevin Red </t>
        </is>
      </c>
      <c r="H112" t="inlineStr">
        <is>
          <t>TCNz004PH:SMS NewDev</t>
        </is>
      </c>
      <c r="I112" s="1" t="n">
        <v>45950</v>
      </c>
      <c r="J112" t="n">
        <v>3</v>
      </c>
      <c r="L112">
        <f>IFERROR(LEFT(K112,             FIND(",", K112) - 1), "-")</f>
        <v/>
      </c>
      <c r="M112">
        <f>IFERROR(MID(K112,             FIND(",", K112) + 1, LEN(K112) - FIND(",", K112)), K112)</f>
        <v/>
      </c>
      <c r="O112" s="2" t="n"/>
      <c r="P112" s="2" t="inlineStr">
        <is>
          <t>08:00</t>
        </is>
      </c>
      <c r="Q112" t="inlineStr">
        <is>
          <t>11:00</t>
        </is>
      </c>
    </row>
    <row r="113">
      <c r="A113" t="inlineStr">
        <is>
          <t xml:space="preserve">Caleon  Kevin Red </t>
        </is>
      </c>
      <c r="B113" t="inlineStr">
        <is>
          <t>TCNz004PH:SMS NewDev</t>
        </is>
      </c>
      <c r="D113">
        <f>L113</f>
        <v/>
      </c>
      <c r="E113">
        <f>SUMIFS(J:J, G:G,             A113, H:H, B113, L:L, L113)</f>
        <v/>
      </c>
      <c r="F113" t="inlineStr">
        <is>
          <t>PH0027</t>
        </is>
      </c>
      <c r="G113" t="inlineStr">
        <is>
          <t xml:space="preserve">Caleon  Kevin Red </t>
        </is>
      </c>
      <c r="H113" t="inlineStr">
        <is>
          <t>TCNz004PH:SMS NewDev</t>
        </is>
      </c>
      <c r="I113" s="1" t="n">
        <v>45950</v>
      </c>
      <c r="J113" t="n">
        <v>5</v>
      </c>
      <c r="L113">
        <f>IFERROR(LEFT(K113,             FIND(",", K113) - 1), "-")</f>
        <v/>
      </c>
      <c r="M113">
        <f>IFERROR(MID(K113,             FIND(",", K113) + 1, LEN(K113) - FIND(",", K113)), K113)</f>
        <v/>
      </c>
      <c r="O113" s="2" t="n"/>
      <c r="P113" s="2" t="inlineStr">
        <is>
          <t>12:00</t>
        </is>
      </c>
      <c r="Q113" t="inlineStr">
        <is>
          <t>17:00</t>
        </is>
      </c>
    </row>
    <row r="114">
      <c r="A114" t="inlineStr">
        <is>
          <t xml:space="preserve">Caleon  Kevin Red </t>
        </is>
      </c>
      <c r="B114" t="inlineStr">
        <is>
          <t>TCNz004PH:SMS NewDev</t>
        </is>
      </c>
      <c r="D114">
        <f>L114</f>
        <v/>
      </c>
      <c r="E114">
        <f>SUMIFS(J:J, G:G,             A114, H:H, B114, L:L, L114)</f>
        <v/>
      </c>
      <c r="F114" t="inlineStr">
        <is>
          <t>PH0027</t>
        </is>
      </c>
      <c r="G114" t="inlineStr">
        <is>
          <t xml:space="preserve">Caleon  Kevin Red </t>
        </is>
      </c>
      <c r="H114" t="inlineStr">
        <is>
          <t>TCNz004PH:SMS NewDev</t>
        </is>
      </c>
      <c r="I114" s="1" t="n">
        <v>45951</v>
      </c>
      <c r="J114" t="n">
        <v>3</v>
      </c>
      <c r="L114">
        <f>IFERROR(LEFT(K114,             FIND(",", K114) - 1), "-")</f>
        <v/>
      </c>
      <c r="M114">
        <f>IFERROR(MID(K114,             FIND(",", K114) + 1, LEN(K114) - FIND(",", K114)), K114)</f>
        <v/>
      </c>
      <c r="O114" s="2" t="n"/>
      <c r="P114" s="2" t="inlineStr">
        <is>
          <t>08:00</t>
        </is>
      </c>
      <c r="Q114" t="inlineStr">
        <is>
          <t>11:00</t>
        </is>
      </c>
    </row>
    <row r="115">
      <c r="A115" t="inlineStr">
        <is>
          <t xml:space="preserve">Caleon  Kevin Red </t>
        </is>
      </c>
      <c r="B115" t="inlineStr">
        <is>
          <t>TCNz004PH:SMS NewDev</t>
        </is>
      </c>
      <c r="D115">
        <f>L115</f>
        <v/>
      </c>
      <c r="E115">
        <f>SUMIFS(J:J, G:G,             A115, H:H, B115, L:L, L115)</f>
        <v/>
      </c>
      <c r="F115" t="inlineStr">
        <is>
          <t>PH0027</t>
        </is>
      </c>
      <c r="G115" t="inlineStr">
        <is>
          <t xml:space="preserve">Caleon  Kevin Red </t>
        </is>
      </c>
      <c r="H115" t="inlineStr">
        <is>
          <t>TCNz004PH:SMS NewDev</t>
        </is>
      </c>
      <c r="I115" s="1" t="n">
        <v>45951</v>
      </c>
      <c r="J115" t="n">
        <v>5</v>
      </c>
      <c r="L115">
        <f>IFERROR(LEFT(K115,             FIND(",", K115) - 1), "-")</f>
        <v/>
      </c>
      <c r="M115">
        <f>IFERROR(MID(K115,             FIND(",", K115) + 1, LEN(K115) - FIND(",", K115)), K115)</f>
        <v/>
      </c>
      <c r="O115" s="2" t="n"/>
      <c r="P115" s="2" t="inlineStr">
        <is>
          <t>12:00</t>
        </is>
      </c>
      <c r="Q115" t="inlineStr">
        <is>
          <t>17:00</t>
        </is>
      </c>
    </row>
    <row r="116">
      <c r="A116" t="inlineStr">
        <is>
          <t xml:space="preserve">Caleon  Kevin Red </t>
        </is>
      </c>
      <c r="B116" t="inlineStr">
        <is>
          <t>TCNz004PH:SMS NewDev</t>
        </is>
      </c>
      <c r="D116">
        <f>L116</f>
        <v/>
      </c>
      <c r="E116">
        <f>SUMIFS(J:J, G:G,             A116, H:H, B116, L:L, L116)</f>
        <v/>
      </c>
      <c r="F116" t="inlineStr">
        <is>
          <t>PH0027</t>
        </is>
      </c>
      <c r="G116" t="inlineStr">
        <is>
          <t xml:space="preserve">Caleon  Kevin Red </t>
        </is>
      </c>
      <c r="H116" t="inlineStr">
        <is>
          <t>TCNz004PH:SMS NewDev</t>
        </is>
      </c>
      <c r="I116" s="1" t="n">
        <v>45952</v>
      </c>
      <c r="J116" t="n">
        <v>3</v>
      </c>
      <c r="L116">
        <f>IFERROR(LEFT(K116,             FIND(",", K116) - 1), "-")</f>
        <v/>
      </c>
      <c r="M116">
        <f>IFERROR(MID(K116,             FIND(",", K116) + 1, LEN(K116) - FIND(",", K116)), K116)</f>
        <v/>
      </c>
      <c r="O116" s="2" t="n"/>
      <c r="P116" s="2" t="inlineStr">
        <is>
          <t>08:00</t>
        </is>
      </c>
      <c r="Q116" t="inlineStr">
        <is>
          <t>11:00</t>
        </is>
      </c>
    </row>
    <row r="117">
      <c r="A117" t="inlineStr">
        <is>
          <t xml:space="preserve">Caleon  Kevin Red </t>
        </is>
      </c>
      <c r="B117" t="inlineStr">
        <is>
          <t>TCNz004PH:SMS NewDev</t>
        </is>
      </c>
      <c r="D117">
        <f>L117</f>
        <v/>
      </c>
      <c r="E117">
        <f>SUMIFS(J:J, G:G,             A117, H:H, B117, L:L, L117)</f>
        <v/>
      </c>
      <c r="F117" t="inlineStr">
        <is>
          <t>PH0027</t>
        </is>
      </c>
      <c r="G117" t="inlineStr">
        <is>
          <t xml:space="preserve">Caleon  Kevin Red </t>
        </is>
      </c>
      <c r="H117" t="inlineStr">
        <is>
          <t>TCNz004PH:SMS NewDev</t>
        </is>
      </c>
      <c r="I117" s="1" t="n">
        <v>45952</v>
      </c>
      <c r="J117" t="n">
        <v>5</v>
      </c>
      <c r="L117">
        <f>IFERROR(LEFT(K117,             FIND(",", K117) - 1), "-")</f>
        <v/>
      </c>
      <c r="M117">
        <f>IFERROR(MID(K117,             FIND(",", K117) + 1, LEN(K117) - FIND(",", K117)), K117)</f>
        <v/>
      </c>
      <c r="O117" s="2" t="n"/>
      <c r="P117" s="2" t="inlineStr">
        <is>
          <t>12:00</t>
        </is>
      </c>
      <c r="Q117" t="inlineStr">
        <is>
          <t>17:00</t>
        </is>
      </c>
    </row>
    <row r="118">
      <c r="A118" t="inlineStr">
        <is>
          <t>Cervantes Irving Glenn</t>
        </is>
      </c>
      <c r="B118" t="inlineStr">
        <is>
          <t>SMMs001PH:SMM Support</t>
        </is>
      </c>
      <c r="C118">
        <f>SUMIFS(J:J, G:G,             A118, H:H, B118)</f>
        <v/>
      </c>
      <c r="D118">
        <f>L118</f>
        <v/>
      </c>
      <c r="E118">
        <f>SUMIFS(J:J, G:G,             A118, H:H, B118, L:L, L118)</f>
        <v/>
      </c>
      <c r="F118" t="inlineStr">
        <is>
          <t>PH0026</t>
        </is>
      </c>
      <c r="G118" t="inlineStr">
        <is>
          <t>Cervantes Irving Glenn</t>
        </is>
      </c>
      <c r="H118" t="inlineStr">
        <is>
          <t>SMMs001PH:SMM Support</t>
        </is>
      </c>
      <c r="I118" s="1" t="n">
        <v>45932</v>
      </c>
      <c r="J118" t="n">
        <v>3</v>
      </c>
      <c r="K118" t="inlineStr">
        <is>
          <t xml:space="preserve">95785 </t>
        </is>
      </c>
      <c r="L118">
        <f>IFERROR(LEFT(K118,             FIND(",", K118) - 1), "-")</f>
        <v/>
      </c>
      <c r="M118">
        <f>IFERROR(MID(K118,             FIND(",", K118) + 1, LEN(K118) - FIND(",", K118)), K118)</f>
        <v/>
      </c>
      <c r="N118" t="n">
        <v>1</v>
      </c>
      <c r="O118" s="2" t="n"/>
      <c r="P118" s="2" t="inlineStr">
        <is>
          <t>08:00</t>
        </is>
      </c>
      <c r="Q118" t="inlineStr">
        <is>
          <t>11:00</t>
        </is>
      </c>
    </row>
    <row r="119">
      <c r="A119" t="inlineStr">
        <is>
          <t>Cervantes Irving Glenn</t>
        </is>
      </c>
      <c r="B119" t="inlineStr">
        <is>
          <t>SMMs001PH:SMM Support</t>
        </is>
      </c>
      <c r="D119">
        <f>L119</f>
        <v/>
      </c>
      <c r="E119">
        <f>SUMIFS(J:J, G:G,             A119, H:H, B119, L:L, L119)</f>
        <v/>
      </c>
      <c r="F119" t="inlineStr">
        <is>
          <t>PH0026</t>
        </is>
      </c>
      <c r="G119" t="inlineStr">
        <is>
          <t>Cervantes Irving Glenn</t>
        </is>
      </c>
      <c r="H119" t="inlineStr">
        <is>
          <t>SMMs001PH:SMM Support</t>
        </is>
      </c>
      <c r="I119" s="1" t="n">
        <v>45933</v>
      </c>
      <c r="J119" t="n">
        <v>3</v>
      </c>
      <c r="K119" t="inlineStr">
        <is>
          <t xml:space="preserve">95785 </t>
        </is>
      </c>
      <c r="L119">
        <f>IFERROR(LEFT(K119,             FIND(",", K119) - 1), "-")</f>
        <v/>
      </c>
      <c r="M119">
        <f>IFERROR(MID(K119,             FIND(",", K119) + 1, LEN(K119) - FIND(",", K119)), K119)</f>
        <v/>
      </c>
      <c r="N119" t="n">
        <v>3</v>
      </c>
      <c r="O119" s="2" t="n"/>
      <c r="P119" s="2" t="inlineStr">
        <is>
          <t>08:00</t>
        </is>
      </c>
      <c r="Q119" t="inlineStr">
        <is>
          <t>11:00</t>
        </is>
      </c>
    </row>
    <row r="120">
      <c r="A120" t="inlineStr">
        <is>
          <t>Cervantes Irving Glenn</t>
        </is>
      </c>
      <c r="B120" t="inlineStr">
        <is>
          <t>SMMs001PH:SMM Support</t>
        </is>
      </c>
      <c r="D120">
        <f>L120</f>
        <v/>
      </c>
      <c r="E120">
        <f>SUMIFS(J:J, G:G,             A120, H:H, B120, L:L, L120)</f>
        <v/>
      </c>
      <c r="F120" t="inlineStr">
        <is>
          <t>PH0026</t>
        </is>
      </c>
      <c r="G120" t="inlineStr">
        <is>
          <t>Cervantes Irving Glenn</t>
        </is>
      </c>
      <c r="H120" t="inlineStr">
        <is>
          <t>SMMs001PH:SMM Support</t>
        </is>
      </c>
      <c r="I120" s="1" t="n">
        <v>45946</v>
      </c>
      <c r="J120" t="n">
        <v>0.25</v>
      </c>
      <c r="K120" t="inlineStr">
        <is>
          <t xml:space="preserve">95837 </t>
        </is>
      </c>
      <c r="L120">
        <f>IFERROR(LEFT(K120,             FIND(",", K120) - 1), "-")</f>
        <v/>
      </c>
      <c r="M120">
        <f>IFERROR(MID(K120,             FIND(",", K120) + 1, LEN(K120) - FIND(",", K120)), K120)</f>
        <v/>
      </c>
      <c r="N120" t="n">
        <v>1</v>
      </c>
      <c r="O120" s="2" t="n"/>
      <c r="P120" s="2" t="inlineStr">
        <is>
          <t>12:00</t>
        </is>
      </c>
      <c r="Q120" t="inlineStr">
        <is>
          <t>12:15</t>
        </is>
      </c>
    </row>
    <row r="121">
      <c r="A121" t="inlineStr">
        <is>
          <t>Cervantes Irving Glenn</t>
        </is>
      </c>
      <c r="B121" t="inlineStr">
        <is>
          <t>SSKs001PH:Shuruisouken support</t>
        </is>
      </c>
      <c r="C121">
        <f>SUMIFS(J:J, G:G,             A121, H:H, B121)</f>
        <v/>
      </c>
      <c r="D121">
        <f>L121</f>
        <v/>
      </c>
      <c r="E121">
        <f>SUMIFS(J:J, G:G,             A121, H:H, B121, L:L, L121)</f>
        <v/>
      </c>
      <c r="F121" t="inlineStr">
        <is>
          <t>PH0026</t>
        </is>
      </c>
      <c r="G121" t="inlineStr">
        <is>
          <t>Cervantes Irving Glenn</t>
        </is>
      </c>
      <c r="H121" t="inlineStr">
        <is>
          <t>SSKs001PH:Shuruisouken support</t>
        </is>
      </c>
      <c r="I121" s="1" t="n">
        <v>45950</v>
      </c>
      <c r="J121" t="n">
        <v>1</v>
      </c>
      <c r="K121" t="inlineStr">
        <is>
          <t xml:space="preserve">95841 </t>
        </is>
      </c>
      <c r="L121">
        <f>IFERROR(LEFT(K121,             FIND(",", K121) - 1), "-")</f>
        <v/>
      </c>
      <c r="M121">
        <f>IFERROR(MID(K121,             FIND(",", K121) + 1, LEN(K121) - FIND(",", K121)), K121)</f>
        <v/>
      </c>
      <c r="N121" t="n">
        <v>1</v>
      </c>
      <c r="O121" s="2" t="n"/>
      <c r="P121" s="2" t="inlineStr">
        <is>
          <t>12:00</t>
        </is>
      </c>
      <c r="Q121" t="inlineStr">
        <is>
          <t>13:00</t>
        </is>
      </c>
    </row>
    <row r="122">
      <c r="A122" t="inlineStr">
        <is>
          <t>Cervantes Irving Glenn</t>
        </is>
      </c>
      <c r="B122" t="inlineStr">
        <is>
          <t>SSKs001PH:Shuruisouken support</t>
        </is>
      </c>
      <c r="D122">
        <f>L122</f>
        <v/>
      </c>
      <c r="E122">
        <f>SUMIFS(J:J, G:G,             A122, H:H, B122, L:L, L122)</f>
        <v/>
      </c>
      <c r="F122" t="inlineStr">
        <is>
          <t>PH0026</t>
        </is>
      </c>
      <c r="G122" t="inlineStr">
        <is>
          <t>Cervantes Irving Glenn</t>
        </is>
      </c>
      <c r="H122" t="inlineStr">
        <is>
          <t>SSKs001PH:Shuruisouken support</t>
        </is>
      </c>
      <c r="I122" s="1" t="n">
        <v>45947</v>
      </c>
      <c r="J122" t="n">
        <v>0.5</v>
      </c>
      <c r="K122" t="inlineStr">
        <is>
          <t xml:space="preserve">95841  </t>
        </is>
      </c>
      <c r="L122">
        <f>IFERROR(LEFT(K122,             FIND(",", K122) - 1), "-")</f>
        <v/>
      </c>
      <c r="M122">
        <f>IFERROR(MID(K122,             FIND(",", K122) + 1, LEN(K122) - FIND(",", K122)), K122)</f>
        <v/>
      </c>
      <c r="N122" t="n">
        <v>1</v>
      </c>
      <c r="O122" s="2" t="n"/>
      <c r="P122" s="2" t="inlineStr">
        <is>
          <t>10:30</t>
        </is>
      </c>
      <c r="Q122" t="inlineStr">
        <is>
          <t>11:00</t>
        </is>
      </c>
    </row>
    <row r="123">
      <c r="A123" t="inlineStr">
        <is>
          <t>Cervantes Irving Glenn</t>
        </is>
      </c>
      <c r="B123" t="inlineStr">
        <is>
          <t>SSKs001PH:Shuruisouken support</t>
        </is>
      </c>
      <c r="D123">
        <f>L123</f>
        <v/>
      </c>
      <c r="E123">
        <f>SUMIFS(J:J, G:G,             A123, H:H, B123, L:L, L123)</f>
        <v/>
      </c>
      <c r="F123" t="inlineStr">
        <is>
          <t>PH0026</t>
        </is>
      </c>
      <c r="G123" t="inlineStr">
        <is>
          <t>Cervantes Irving Glenn</t>
        </is>
      </c>
      <c r="H123" t="inlineStr">
        <is>
          <t>SSKs001PH:Shuruisouken support</t>
        </is>
      </c>
      <c r="I123" s="1" t="n">
        <v>45952</v>
      </c>
      <c r="J123" t="n">
        <v>1</v>
      </c>
      <c r="K123" t="inlineStr">
        <is>
          <t xml:space="preserve">95854 </t>
        </is>
      </c>
      <c r="L123">
        <f>IFERROR(LEFT(K123,             FIND(",", K123) - 1), "-")</f>
        <v/>
      </c>
      <c r="M123">
        <f>IFERROR(MID(K123,             FIND(",", K123) + 1, LEN(K123) - FIND(",", K123)), K123)</f>
        <v/>
      </c>
      <c r="N123" t="n">
        <v>1</v>
      </c>
      <c r="O123" s="2" t="n"/>
      <c r="P123" s="2" t="inlineStr">
        <is>
          <t>12:00</t>
        </is>
      </c>
      <c r="Q123" t="inlineStr">
        <is>
          <t>13:00</t>
        </is>
      </c>
    </row>
    <row r="124">
      <c r="A124" t="inlineStr">
        <is>
          <t>Cervantes Irving Glenn</t>
        </is>
      </c>
      <c r="B124" t="inlineStr">
        <is>
          <t>TCNz001PH:Internal operations</t>
        </is>
      </c>
      <c r="C124">
        <f>SUMIFS(J:J, G:G,             A124, H:H, B124)</f>
        <v/>
      </c>
      <c r="D124">
        <f>L124</f>
        <v/>
      </c>
      <c r="E124">
        <f>SUMIFS(J:J, G:G,             A124, H:H, B124, L:L, L124)</f>
        <v/>
      </c>
      <c r="F124" t="inlineStr">
        <is>
          <t>PH0026</t>
        </is>
      </c>
      <c r="G124" t="inlineStr">
        <is>
          <t>Cervantes Irving Glenn</t>
        </is>
      </c>
      <c r="H124" t="inlineStr">
        <is>
          <t>TCNz001PH:Internal operations</t>
        </is>
      </c>
      <c r="I124" s="1" t="n">
        <v>45937</v>
      </c>
      <c r="J124" t="n">
        <v>1</v>
      </c>
      <c r="K124" t="inlineStr">
        <is>
          <t>Group meeting</t>
        </is>
      </c>
      <c r="L124">
        <f>IFERROR(LEFT(K124,             FIND(",", K124) - 1), "-")</f>
        <v/>
      </c>
      <c r="M124">
        <f>IFERROR(MID(K124,             FIND(",", K124) + 1, LEN(K124) - FIND(",", K124)), K124)</f>
        <v/>
      </c>
      <c r="N124" t="n">
        <v>5</v>
      </c>
      <c r="O124" s="2" t="n"/>
      <c r="P124" s="2" t="inlineStr">
        <is>
          <t>16:00</t>
        </is>
      </c>
      <c r="Q124" t="inlineStr">
        <is>
          <t>17:00</t>
        </is>
      </c>
    </row>
    <row r="125">
      <c r="A125" t="inlineStr">
        <is>
          <t>Cervantes Irving Glenn</t>
        </is>
      </c>
      <c r="B125" t="inlineStr">
        <is>
          <t>TCNz001PH:Internal operations</t>
        </is>
      </c>
      <c r="D125">
        <f>L125</f>
        <v/>
      </c>
      <c r="E125">
        <f>SUMIFS(J:J, G:G,             A125, H:H, B125, L:L, L125)</f>
        <v/>
      </c>
      <c r="F125" t="inlineStr">
        <is>
          <t>PH0026</t>
        </is>
      </c>
      <c r="G125" t="inlineStr">
        <is>
          <t>Cervantes Irving Glenn</t>
        </is>
      </c>
      <c r="H125" t="inlineStr">
        <is>
          <t>TCNz001PH:Internal operations</t>
        </is>
      </c>
      <c r="I125" s="1" t="n">
        <v>45943</v>
      </c>
      <c r="J125" t="n">
        <v>5</v>
      </c>
      <c r="K125" t="inlineStr">
        <is>
          <t>Nihongo level up</t>
        </is>
      </c>
      <c r="L125">
        <f>IFERROR(LEFT(K125,             FIND(",", K125) - 1), "-")</f>
        <v/>
      </c>
      <c r="M125">
        <f>IFERROR(MID(K125,             FIND(",", K125) + 1, LEN(K125) - FIND(",", K125)), K125)</f>
        <v/>
      </c>
      <c r="N125" t="n">
        <v>5</v>
      </c>
      <c r="O125" s="2" t="n"/>
      <c r="P125" s="2" t="inlineStr">
        <is>
          <t>12:00</t>
        </is>
      </c>
      <c r="Q125" t="inlineStr">
        <is>
          <t>17:00</t>
        </is>
      </c>
    </row>
    <row r="126">
      <c r="A126" t="inlineStr">
        <is>
          <t>Cervantes Irving Glenn</t>
        </is>
      </c>
      <c r="B126" t="inlineStr">
        <is>
          <t>TCNz001PH:Internal operations</t>
        </is>
      </c>
      <c r="D126">
        <f>L126</f>
        <v/>
      </c>
      <c r="E126">
        <f>SUMIFS(J:J, G:G,             A126, H:H, B126, L:L, L126)</f>
        <v/>
      </c>
      <c r="F126" t="inlineStr">
        <is>
          <t>PH0026</t>
        </is>
      </c>
      <c r="G126" t="inlineStr">
        <is>
          <t>Cervantes Irving Glenn</t>
        </is>
      </c>
      <c r="H126" t="inlineStr">
        <is>
          <t>TCNz001PH:Internal operations</t>
        </is>
      </c>
      <c r="I126" s="1" t="n">
        <v>45944</v>
      </c>
      <c r="J126" t="n">
        <v>2</v>
      </c>
      <c r="K126" t="inlineStr">
        <is>
          <t>Nihongo level up</t>
        </is>
      </c>
      <c r="L126">
        <f>IFERROR(LEFT(K126,             FIND(",", K126) - 1), "-")</f>
        <v/>
      </c>
      <c r="M126">
        <f>IFERROR(MID(K126,             FIND(",", K126) + 1, LEN(K126) - FIND(",", K126)), K126)</f>
        <v/>
      </c>
      <c r="N126" t="n">
        <v>5</v>
      </c>
      <c r="O126" s="2" t="n"/>
      <c r="P126" s="2" t="inlineStr">
        <is>
          <t>09:00</t>
        </is>
      </c>
      <c r="Q126" t="inlineStr">
        <is>
          <t>11:00</t>
        </is>
      </c>
    </row>
    <row r="127">
      <c r="A127" t="inlineStr">
        <is>
          <t>Cervantes Irving Glenn</t>
        </is>
      </c>
      <c r="B127" t="inlineStr">
        <is>
          <t>TCNz001PH:Internal operations</t>
        </is>
      </c>
      <c r="D127">
        <f>L127</f>
        <v/>
      </c>
      <c r="E127">
        <f>SUMIFS(J:J, G:G,             A127, H:H, B127, L:L, L127)</f>
        <v/>
      </c>
      <c r="F127" t="inlineStr">
        <is>
          <t>PH0026</t>
        </is>
      </c>
      <c r="G127" t="inlineStr">
        <is>
          <t>Cervantes Irving Glenn</t>
        </is>
      </c>
      <c r="H127" t="inlineStr">
        <is>
          <t>TCNz001PH:Internal operations</t>
        </is>
      </c>
      <c r="I127" s="1" t="n">
        <v>45947</v>
      </c>
      <c r="J127" t="n">
        <v>2</v>
      </c>
      <c r="K127" t="inlineStr">
        <is>
          <t>Nihongo level up</t>
        </is>
      </c>
      <c r="L127">
        <f>IFERROR(LEFT(K127,             FIND(",", K127) - 1), "-")</f>
        <v/>
      </c>
      <c r="M127">
        <f>IFERROR(MID(K127,             FIND(",", K127) + 1, LEN(K127) - FIND(",", K127)), K127)</f>
        <v/>
      </c>
      <c r="N127" t="n">
        <v>5</v>
      </c>
      <c r="O127" s="2" t="n"/>
      <c r="P127" s="2" t="inlineStr">
        <is>
          <t>08:30</t>
        </is>
      </c>
      <c r="Q127" t="inlineStr">
        <is>
          <t>10:30</t>
        </is>
      </c>
    </row>
    <row r="128">
      <c r="A128" t="inlineStr">
        <is>
          <t>Cervantes Irving Glenn</t>
        </is>
      </c>
      <c r="B128" t="inlineStr">
        <is>
          <t>TCNz002PH:Waiting for requests</t>
        </is>
      </c>
      <c r="C128">
        <f>SUMIFS(J:J, G:G,             A128, H:H, B128)</f>
        <v/>
      </c>
      <c r="D128">
        <f>L128</f>
        <v/>
      </c>
      <c r="E128">
        <f>SUMIFS(J:J, G:G,             A128, H:H, B128, L:L, L128)</f>
        <v/>
      </c>
      <c r="F128" t="inlineStr">
        <is>
          <t>PH0026</t>
        </is>
      </c>
      <c r="G128" t="inlineStr">
        <is>
          <t>Cervantes Irving Glenn</t>
        </is>
      </c>
      <c r="H128" t="inlineStr">
        <is>
          <t>TCNz002PH:Waiting for requests</t>
        </is>
      </c>
      <c r="I128" s="1" t="n">
        <v>45947</v>
      </c>
      <c r="J128" t="n">
        <v>4.5</v>
      </c>
      <c r="L128">
        <f>IFERROR(LEFT(K128,             FIND(",", K128) - 1), "-")</f>
        <v/>
      </c>
      <c r="M128">
        <f>IFERROR(MID(K128,             FIND(",", K128) + 1, LEN(K128) - FIND(",", K128)), K128)</f>
        <v/>
      </c>
      <c r="N128" t="n">
        <v>5</v>
      </c>
      <c r="O128" s="2" t="n"/>
      <c r="P128" s="2" t="inlineStr">
        <is>
          <t>12:30</t>
        </is>
      </c>
      <c r="Q128" t="inlineStr">
        <is>
          <t>17:00</t>
        </is>
      </c>
    </row>
    <row r="129">
      <c r="A129" t="inlineStr">
        <is>
          <t>Cervantes Irving Glenn</t>
        </is>
      </c>
      <c r="B129" t="inlineStr">
        <is>
          <t>TCNz004PH:SMS NewDev</t>
        </is>
      </c>
      <c r="C129">
        <f>SUMIFS(J:J, G:G,             A129, H:H, B129)</f>
        <v/>
      </c>
      <c r="D129">
        <f>L129</f>
        <v/>
      </c>
      <c r="E129">
        <f>SUMIFS(J:J, G:G,             A129, H:H, B129, L:L, L129)</f>
        <v/>
      </c>
      <c r="F129" t="inlineStr">
        <is>
          <t>PH0026</t>
        </is>
      </c>
      <c r="G129" t="inlineStr">
        <is>
          <t>Cervantes Irving Glenn</t>
        </is>
      </c>
      <c r="H129" t="inlineStr">
        <is>
          <t>TCNz004PH:SMS NewDev</t>
        </is>
      </c>
      <c r="I129" s="1" t="n">
        <v>45933</v>
      </c>
      <c r="J129" t="n">
        <v>5</v>
      </c>
      <c r="K129" t="inlineStr">
        <is>
          <t xml:space="preserve">95683 95789 95773 95772 </t>
        </is>
      </c>
      <c r="L129">
        <f>IFERROR(LEFT(K129,             FIND(",", K129) - 1), "-")</f>
        <v/>
      </c>
      <c r="M129">
        <f>IFERROR(MID(K129,             FIND(",", K129) + 1, LEN(K129) - FIND(",", K129)), K129)</f>
        <v/>
      </c>
      <c r="O129" s="2" t="n"/>
      <c r="P129" s="2" t="inlineStr">
        <is>
          <t>12:00</t>
        </is>
      </c>
      <c r="Q129" t="inlineStr">
        <is>
          <t>17:00</t>
        </is>
      </c>
    </row>
    <row r="130">
      <c r="A130" t="inlineStr">
        <is>
          <t>Cervantes Irving Glenn</t>
        </is>
      </c>
      <c r="B130" t="inlineStr">
        <is>
          <t>TCNz004PH:SMS NewDev</t>
        </is>
      </c>
      <c r="D130">
        <f>L130</f>
        <v/>
      </c>
      <c r="E130">
        <f>SUMIFS(J:J, G:G,             A130, H:H, B130, L:L, L130)</f>
        <v/>
      </c>
      <c r="F130" t="inlineStr">
        <is>
          <t>PH0026</t>
        </is>
      </c>
      <c r="G130" t="inlineStr">
        <is>
          <t>Cervantes Irving Glenn</t>
        </is>
      </c>
      <c r="H130" t="inlineStr">
        <is>
          <t>TCNz004PH:SMS NewDev</t>
        </is>
      </c>
      <c r="I130" s="1" t="n">
        <v>45950</v>
      </c>
      <c r="J130" t="n">
        <v>3.25</v>
      </c>
      <c r="K130" t="inlineStr">
        <is>
          <t xml:space="preserve">95719 95825 95824 95828 95840 </t>
        </is>
      </c>
      <c r="L130">
        <f>IFERROR(LEFT(K130,             FIND(",", K130) - 1), "-")</f>
        <v/>
      </c>
      <c r="M130">
        <f>IFERROR(MID(K130,             FIND(",", K130) + 1, LEN(K130) - FIND(",", K130)), K130)</f>
        <v/>
      </c>
      <c r="O130" s="2" t="n"/>
      <c r="P130" s="2" t="inlineStr">
        <is>
          <t>07:45</t>
        </is>
      </c>
      <c r="Q130" t="inlineStr">
        <is>
          <t>11:00</t>
        </is>
      </c>
    </row>
    <row r="131">
      <c r="A131" t="inlineStr">
        <is>
          <t>Cervantes Irving Glenn</t>
        </is>
      </c>
      <c r="B131" t="inlineStr">
        <is>
          <t>TCNz004PH:SMS NewDev</t>
        </is>
      </c>
      <c r="D131">
        <f>L131</f>
        <v/>
      </c>
      <c r="E131">
        <f>SUMIFS(J:J, G:G,             A131, H:H, B131, L:L, L131)</f>
        <v/>
      </c>
      <c r="F131" t="inlineStr">
        <is>
          <t>PH0026</t>
        </is>
      </c>
      <c r="G131" t="inlineStr">
        <is>
          <t>Cervantes Irving Glenn</t>
        </is>
      </c>
      <c r="H131" t="inlineStr">
        <is>
          <t>TCNz004PH:SMS NewDev</t>
        </is>
      </c>
      <c r="I131" s="1" t="n">
        <v>45950</v>
      </c>
      <c r="J131" t="n">
        <v>4</v>
      </c>
      <c r="K131" t="inlineStr">
        <is>
          <t xml:space="preserve">95719 95825 95824 95828 95840 </t>
        </is>
      </c>
      <c r="L131">
        <f>IFERROR(LEFT(K131,             FIND(",", K131) - 1), "-")</f>
        <v/>
      </c>
      <c r="M131">
        <f>IFERROR(MID(K131,             FIND(",", K131) + 1, LEN(K131) - FIND(",", K131)), K131)</f>
        <v/>
      </c>
      <c r="O131" s="2" t="n"/>
      <c r="P131" s="2" t="inlineStr">
        <is>
          <t>13:00</t>
        </is>
      </c>
      <c r="Q131" t="inlineStr">
        <is>
          <t>17:00</t>
        </is>
      </c>
    </row>
    <row r="132">
      <c r="A132" t="inlineStr">
        <is>
          <t>Cervantes Irving Glenn</t>
        </is>
      </c>
      <c r="B132" t="inlineStr">
        <is>
          <t>TCNz004PH:SMS NewDev</t>
        </is>
      </c>
      <c r="D132">
        <f>L132</f>
        <v/>
      </c>
      <c r="E132">
        <f>SUMIFS(J:J, G:G,             A132, H:H, B132, L:L, L132)</f>
        <v/>
      </c>
      <c r="F132" t="inlineStr">
        <is>
          <t>PH0026</t>
        </is>
      </c>
      <c r="G132" t="inlineStr">
        <is>
          <t>Cervantes Irving Glenn</t>
        </is>
      </c>
      <c r="H132" t="inlineStr">
        <is>
          <t>TCNz004PH:SMS NewDev</t>
        </is>
      </c>
      <c r="I132" s="1" t="n">
        <v>45944</v>
      </c>
      <c r="J132" t="n">
        <v>1</v>
      </c>
      <c r="K132" t="inlineStr">
        <is>
          <t xml:space="preserve">95737 </t>
        </is>
      </c>
      <c r="L132">
        <f>IFERROR(LEFT(K132,             FIND(",", K132) - 1), "-")</f>
        <v/>
      </c>
      <c r="M132">
        <f>IFERROR(MID(K132,             FIND(",", K132) + 1, LEN(K132) - FIND(",", K132)), K132)</f>
        <v/>
      </c>
      <c r="O132" s="2" t="n"/>
      <c r="P132" s="2" t="inlineStr">
        <is>
          <t>08:00</t>
        </is>
      </c>
      <c r="Q132" t="inlineStr">
        <is>
          <t>09:00</t>
        </is>
      </c>
    </row>
    <row r="133">
      <c r="A133" t="inlineStr">
        <is>
          <t>Cervantes Irving Glenn</t>
        </is>
      </c>
      <c r="B133" t="inlineStr">
        <is>
          <t>TCNz004PH:SMS NewDev</t>
        </is>
      </c>
      <c r="D133">
        <f>L133</f>
        <v/>
      </c>
      <c r="E133">
        <f>SUMIFS(J:J, G:G,             A133, H:H, B133, L:L, L133)</f>
        <v/>
      </c>
      <c r="F133" t="inlineStr">
        <is>
          <t>PH0026</t>
        </is>
      </c>
      <c r="G133" t="inlineStr">
        <is>
          <t>Cervantes Irving Glenn</t>
        </is>
      </c>
      <c r="H133" t="inlineStr">
        <is>
          <t>TCNz004PH:SMS NewDev</t>
        </is>
      </c>
      <c r="I133" s="1" t="n">
        <v>45944</v>
      </c>
      <c r="J133" t="n">
        <v>3</v>
      </c>
      <c r="K133" t="inlineStr">
        <is>
          <t xml:space="preserve">95737 </t>
        </is>
      </c>
      <c r="L133">
        <f>IFERROR(LEFT(K133,             FIND(",", K133) - 1), "-")</f>
        <v/>
      </c>
      <c r="M133">
        <f>IFERROR(MID(K133,             FIND(",", K133) + 1, LEN(K133) - FIND(",", K133)), K133)</f>
        <v/>
      </c>
      <c r="O133" s="2" t="n"/>
      <c r="P133" s="2" t="inlineStr">
        <is>
          <t>12:00</t>
        </is>
      </c>
      <c r="Q133" t="inlineStr">
        <is>
          <t>15:00</t>
        </is>
      </c>
    </row>
    <row r="134">
      <c r="A134" t="inlineStr">
        <is>
          <t>Cervantes Irving Glenn</t>
        </is>
      </c>
      <c r="B134" t="inlineStr">
        <is>
          <t>TCNz004PH:SMS NewDev</t>
        </is>
      </c>
      <c r="D134">
        <f>L134</f>
        <v/>
      </c>
      <c r="E134">
        <f>SUMIFS(J:J, G:G,             A134, H:H, B134, L:L, L134)</f>
        <v/>
      </c>
      <c r="F134" t="inlineStr">
        <is>
          <t>PH0026</t>
        </is>
      </c>
      <c r="G134" t="inlineStr">
        <is>
          <t>Cervantes Irving Glenn</t>
        </is>
      </c>
      <c r="H134" t="inlineStr">
        <is>
          <t>TCNz004PH:SMS NewDev</t>
        </is>
      </c>
      <c r="I134" s="1" t="n">
        <v>45943</v>
      </c>
      <c r="J134" t="n">
        <v>3.25</v>
      </c>
      <c r="K134" t="inlineStr">
        <is>
          <t>95737 95818  95816</t>
        </is>
      </c>
      <c r="L134">
        <f>IFERROR(LEFT(K134,             FIND(",", K134) - 1), "-")</f>
        <v/>
      </c>
      <c r="M134">
        <f>IFERROR(MID(K134,             FIND(",", K134) + 1, LEN(K134) - FIND(",", K134)), K134)</f>
        <v/>
      </c>
      <c r="O134" s="2" t="n"/>
      <c r="P134" s="2" t="inlineStr">
        <is>
          <t>07:45</t>
        </is>
      </c>
      <c r="Q134" t="inlineStr">
        <is>
          <t>11:00</t>
        </is>
      </c>
    </row>
    <row r="135">
      <c r="A135" t="inlineStr">
        <is>
          <t>Cervantes Irving Glenn</t>
        </is>
      </c>
      <c r="B135" t="inlineStr">
        <is>
          <t>TCNz004PH:SMS NewDev</t>
        </is>
      </c>
      <c r="D135">
        <f>L135</f>
        <v/>
      </c>
      <c r="E135">
        <f>SUMIFS(J:J, G:G,             A135, H:H, B135, L:L, L135)</f>
        <v/>
      </c>
      <c r="F135" t="inlineStr">
        <is>
          <t>PH0026</t>
        </is>
      </c>
      <c r="G135" t="inlineStr">
        <is>
          <t>Cervantes Irving Glenn</t>
        </is>
      </c>
      <c r="H135" t="inlineStr">
        <is>
          <t>TCNz004PH:SMS NewDev</t>
        </is>
      </c>
      <c r="I135" s="1" t="n">
        <v>45940</v>
      </c>
      <c r="J135" t="n">
        <v>4</v>
      </c>
      <c r="K135" t="inlineStr">
        <is>
          <t>95740 95737 95816</t>
        </is>
      </c>
      <c r="L135">
        <f>IFERROR(LEFT(K135,             FIND(",", K135) - 1), "-")</f>
        <v/>
      </c>
      <c r="M135">
        <f>IFERROR(MID(K135,             FIND(",", K135) + 1, LEN(K135) - FIND(",", K135)), K135)</f>
        <v/>
      </c>
      <c r="O135" s="2" t="n"/>
      <c r="P135" s="2" t="inlineStr">
        <is>
          <t>12:00</t>
        </is>
      </c>
      <c r="Q135" t="inlineStr">
        <is>
          <t>16:00</t>
        </is>
      </c>
    </row>
    <row r="136">
      <c r="A136" t="inlineStr">
        <is>
          <t>Cervantes Irving Glenn</t>
        </is>
      </c>
      <c r="B136" t="inlineStr">
        <is>
          <t>TCNz004PH:SMS NewDev</t>
        </is>
      </c>
      <c r="D136">
        <f>L136</f>
        <v/>
      </c>
      <c r="E136">
        <f>SUMIFS(J:J, G:G,             A136, H:H, B136, L:L, L136)</f>
        <v/>
      </c>
      <c r="F136" t="inlineStr">
        <is>
          <t>PH0026</t>
        </is>
      </c>
      <c r="G136" t="inlineStr">
        <is>
          <t>Cervantes Irving Glenn</t>
        </is>
      </c>
      <c r="H136" t="inlineStr">
        <is>
          <t>TCNz004PH:SMS NewDev</t>
        </is>
      </c>
      <c r="I136" s="1" t="n">
        <v>45931</v>
      </c>
      <c r="J136" t="n">
        <v>3.25</v>
      </c>
      <c r="K136" t="inlineStr">
        <is>
          <t xml:space="preserve">95770 95772 </t>
        </is>
      </c>
      <c r="L136">
        <f>IFERROR(LEFT(K136,             FIND(",", K136) - 1), "-")</f>
        <v/>
      </c>
      <c r="M136">
        <f>IFERROR(MID(K136,             FIND(",", K136) + 1, LEN(K136) - FIND(",", K136)), K136)</f>
        <v/>
      </c>
      <c r="O136" s="2" t="n"/>
      <c r="P136" s="2" t="inlineStr">
        <is>
          <t>07:45</t>
        </is>
      </c>
      <c r="Q136" t="inlineStr">
        <is>
          <t>11:00</t>
        </is>
      </c>
    </row>
    <row r="137">
      <c r="A137" t="inlineStr">
        <is>
          <t>Cervantes Irving Glenn</t>
        </is>
      </c>
      <c r="B137" t="inlineStr">
        <is>
          <t>TCNz004PH:SMS NewDev</t>
        </is>
      </c>
      <c r="D137">
        <f>L137</f>
        <v/>
      </c>
      <c r="E137">
        <f>SUMIFS(J:J, G:G,             A137, H:H, B137, L:L, L137)</f>
        <v/>
      </c>
      <c r="F137" t="inlineStr">
        <is>
          <t>PH0026</t>
        </is>
      </c>
      <c r="G137" t="inlineStr">
        <is>
          <t>Cervantes Irving Glenn</t>
        </is>
      </c>
      <c r="H137" t="inlineStr">
        <is>
          <t>TCNz004PH:SMS NewDev</t>
        </is>
      </c>
      <c r="I137" s="1" t="n">
        <v>45931</v>
      </c>
      <c r="J137" t="n">
        <v>5</v>
      </c>
      <c r="K137" t="inlineStr">
        <is>
          <t xml:space="preserve">95770 95772 </t>
        </is>
      </c>
      <c r="L137">
        <f>IFERROR(LEFT(K137,             FIND(",", K137) - 1), "-")</f>
        <v/>
      </c>
      <c r="M137">
        <f>IFERROR(MID(K137,             FIND(",", K137) + 1, LEN(K137) - FIND(",", K137)), K137)</f>
        <v/>
      </c>
      <c r="O137" s="2" t="n"/>
      <c r="P137" s="2" t="inlineStr">
        <is>
          <t>12:00</t>
        </is>
      </c>
      <c r="Q137" t="inlineStr">
        <is>
          <t>17:00</t>
        </is>
      </c>
    </row>
    <row r="138">
      <c r="A138" t="inlineStr">
        <is>
          <t>Cervantes Irving Glenn</t>
        </is>
      </c>
      <c r="B138" t="inlineStr">
        <is>
          <t>TCNz004PH:SMS NewDev</t>
        </is>
      </c>
      <c r="D138">
        <f>L138</f>
        <v/>
      </c>
      <c r="E138">
        <f>SUMIFS(J:J, G:G,             A138, H:H, B138, L:L, L138)</f>
        <v/>
      </c>
      <c r="F138" t="inlineStr">
        <is>
          <t>PH0026</t>
        </is>
      </c>
      <c r="G138" t="inlineStr">
        <is>
          <t>Cervantes Irving Glenn</t>
        </is>
      </c>
      <c r="H138" t="inlineStr">
        <is>
          <t>TCNz004PH:SMS NewDev</t>
        </is>
      </c>
      <c r="I138" s="1" t="n">
        <v>45932</v>
      </c>
      <c r="J138" t="n">
        <v>5.25</v>
      </c>
      <c r="K138" t="inlineStr">
        <is>
          <t xml:space="preserve">95770 95772 </t>
        </is>
      </c>
      <c r="L138">
        <f>IFERROR(LEFT(K138,             FIND(",", K138) - 1), "-")</f>
        <v/>
      </c>
      <c r="M138">
        <f>IFERROR(MID(K138,             FIND(",", K138) + 1, LEN(K138) - FIND(",", K138)), K138)</f>
        <v/>
      </c>
      <c r="O138" s="2" t="n"/>
      <c r="P138" s="2" t="inlineStr">
        <is>
          <t>12:00</t>
        </is>
      </c>
      <c r="Q138" t="inlineStr">
        <is>
          <t>17:15</t>
        </is>
      </c>
    </row>
    <row r="139">
      <c r="A139" t="inlineStr">
        <is>
          <t>Cervantes Irving Glenn</t>
        </is>
      </c>
      <c r="B139" t="inlineStr">
        <is>
          <t>TCNz004PH:SMS NewDev</t>
        </is>
      </c>
      <c r="D139">
        <f>L139</f>
        <v/>
      </c>
      <c r="E139">
        <f>SUMIFS(J:J, G:G,             A139, H:H, B139, L:L, L139)</f>
        <v/>
      </c>
      <c r="F139" t="inlineStr">
        <is>
          <t>PH0026</t>
        </is>
      </c>
      <c r="G139" t="inlineStr">
        <is>
          <t>Cervantes Irving Glenn</t>
        </is>
      </c>
      <c r="H139" t="inlineStr">
        <is>
          <t>TCNz004PH:SMS NewDev</t>
        </is>
      </c>
      <c r="I139" s="1" t="n">
        <v>45936</v>
      </c>
      <c r="J139" t="n">
        <v>3</v>
      </c>
      <c r="K139" t="inlineStr">
        <is>
          <t>95772  95791 95773</t>
        </is>
      </c>
      <c r="L139">
        <f>IFERROR(LEFT(K139,             FIND(",", K139) - 1), "-")</f>
        <v/>
      </c>
      <c r="M139">
        <f>IFERROR(MID(K139,             FIND(",", K139) + 1, LEN(K139) - FIND(",", K139)), K139)</f>
        <v/>
      </c>
      <c r="O139" s="2" t="n"/>
      <c r="P139" s="2" t="inlineStr">
        <is>
          <t>08:00</t>
        </is>
      </c>
      <c r="Q139" t="inlineStr">
        <is>
          <t>11:00</t>
        </is>
      </c>
    </row>
    <row r="140">
      <c r="A140" t="inlineStr">
        <is>
          <t>Cervantes Irving Glenn</t>
        </is>
      </c>
      <c r="B140" t="inlineStr">
        <is>
          <t>TCNz004PH:SMS NewDev</t>
        </is>
      </c>
      <c r="D140">
        <f>L140</f>
        <v/>
      </c>
      <c r="E140">
        <f>SUMIFS(J:J, G:G,             A140, H:H, B140, L:L, L140)</f>
        <v/>
      </c>
      <c r="F140" t="inlineStr">
        <is>
          <t>PH0026</t>
        </is>
      </c>
      <c r="G140" t="inlineStr">
        <is>
          <t>Cervantes Irving Glenn</t>
        </is>
      </c>
      <c r="H140" t="inlineStr">
        <is>
          <t>TCNz004PH:SMS NewDev</t>
        </is>
      </c>
      <c r="I140" s="1" t="n">
        <v>45936</v>
      </c>
      <c r="J140" t="n">
        <v>5</v>
      </c>
      <c r="K140" t="inlineStr">
        <is>
          <t>95789</t>
        </is>
      </c>
      <c r="L140">
        <f>IFERROR(LEFT(K140,             FIND(",", K140) - 1), "-")</f>
        <v/>
      </c>
      <c r="M140">
        <f>IFERROR(MID(K140,             FIND(",", K140) + 1, LEN(K140) - FIND(",", K140)), K140)</f>
        <v/>
      </c>
      <c r="O140" s="2" t="n"/>
      <c r="P140" s="2" t="inlineStr">
        <is>
          <t>12:00</t>
        </is>
      </c>
      <c r="Q140" t="inlineStr">
        <is>
          <t>17:00</t>
        </is>
      </c>
    </row>
    <row r="141">
      <c r="A141" t="inlineStr">
        <is>
          <t>Cervantes Irving Glenn</t>
        </is>
      </c>
      <c r="B141" t="inlineStr">
        <is>
          <t>TCNz004PH:SMS NewDev</t>
        </is>
      </c>
      <c r="D141">
        <f>L141</f>
        <v/>
      </c>
      <c r="E141">
        <f>SUMIFS(J:J, G:G,             A141, H:H, B141, L:L, L141)</f>
        <v/>
      </c>
      <c r="F141" t="inlineStr">
        <is>
          <t>PH0026</t>
        </is>
      </c>
      <c r="G141" t="inlineStr">
        <is>
          <t>Cervantes Irving Glenn</t>
        </is>
      </c>
      <c r="H141" t="inlineStr">
        <is>
          <t>TCNz004PH:SMS NewDev</t>
        </is>
      </c>
      <c r="I141" s="1" t="n">
        <v>45939</v>
      </c>
      <c r="J141" t="n">
        <v>3</v>
      </c>
      <c r="K141" t="inlineStr">
        <is>
          <t>95789  95483 95801 95773  95809  95808</t>
        </is>
      </c>
      <c r="L141">
        <f>IFERROR(LEFT(K141,             FIND(",", K141) - 1), "-")</f>
        <v/>
      </c>
      <c r="M141">
        <f>IFERROR(MID(K141,             FIND(",", K141) + 1, LEN(K141) - FIND(",", K141)), K141)</f>
        <v/>
      </c>
      <c r="O141" s="2" t="n"/>
      <c r="P141" s="2" t="inlineStr">
        <is>
          <t>08:00</t>
        </is>
      </c>
      <c r="Q141" t="inlineStr">
        <is>
          <t>11:00</t>
        </is>
      </c>
    </row>
    <row r="142">
      <c r="A142" t="inlineStr">
        <is>
          <t>Cervantes Irving Glenn</t>
        </is>
      </c>
      <c r="B142" t="inlineStr">
        <is>
          <t>TCNz004PH:SMS NewDev</t>
        </is>
      </c>
      <c r="D142">
        <f>L142</f>
        <v/>
      </c>
      <c r="E142">
        <f>SUMIFS(J:J, G:G,             A142, H:H, B142, L:L, L142)</f>
        <v/>
      </c>
      <c r="F142" t="inlineStr">
        <is>
          <t>PH0026</t>
        </is>
      </c>
      <c r="G142" t="inlineStr">
        <is>
          <t>Cervantes Irving Glenn</t>
        </is>
      </c>
      <c r="H142" t="inlineStr">
        <is>
          <t>TCNz004PH:SMS NewDev</t>
        </is>
      </c>
      <c r="I142" s="1" t="n">
        <v>45939</v>
      </c>
      <c r="J142" t="n">
        <v>5</v>
      </c>
      <c r="K142" t="inlineStr">
        <is>
          <t>95789  95483 95801 95773  95809  95808</t>
        </is>
      </c>
      <c r="L142">
        <f>IFERROR(LEFT(K142,             FIND(",", K142) - 1), "-")</f>
        <v/>
      </c>
      <c r="M142">
        <f>IFERROR(MID(K142,             FIND(",", K142) + 1, LEN(K142) - FIND(",", K142)), K142)</f>
        <v/>
      </c>
      <c r="O142" s="2" t="n"/>
      <c r="P142" s="2" t="inlineStr">
        <is>
          <t>12:00</t>
        </is>
      </c>
      <c r="Q142" t="inlineStr">
        <is>
          <t>17:00</t>
        </is>
      </c>
    </row>
    <row r="143">
      <c r="A143" t="inlineStr">
        <is>
          <t>Cervantes Irving Glenn</t>
        </is>
      </c>
      <c r="B143" t="inlineStr">
        <is>
          <t>TCNz004PH:SMS NewDev</t>
        </is>
      </c>
      <c r="D143">
        <f>L143</f>
        <v/>
      </c>
      <c r="E143">
        <f>SUMIFS(J:J, G:G,             A143, H:H, B143, L:L, L143)</f>
        <v/>
      </c>
      <c r="F143" t="inlineStr">
        <is>
          <t>PH0026</t>
        </is>
      </c>
      <c r="G143" t="inlineStr">
        <is>
          <t>Cervantes Irving Glenn</t>
        </is>
      </c>
      <c r="H143" t="inlineStr">
        <is>
          <t>TCNz004PH:SMS NewDev</t>
        </is>
      </c>
      <c r="I143" s="1" t="n">
        <v>45937</v>
      </c>
      <c r="J143" t="n">
        <v>3</v>
      </c>
      <c r="K143" t="inlineStr">
        <is>
          <t>95791</t>
        </is>
      </c>
      <c r="L143">
        <f>IFERROR(LEFT(K143,             FIND(",", K143) - 1), "-")</f>
        <v/>
      </c>
      <c r="M143">
        <f>IFERROR(MID(K143,             FIND(",", K143) + 1, LEN(K143) - FIND(",", K143)), K143)</f>
        <v/>
      </c>
      <c r="O143" s="2" t="n"/>
      <c r="P143" s="2" t="inlineStr">
        <is>
          <t>08:00</t>
        </is>
      </c>
      <c r="Q143" t="inlineStr">
        <is>
          <t>11:00</t>
        </is>
      </c>
    </row>
    <row r="144">
      <c r="A144" t="inlineStr">
        <is>
          <t>Cervantes Irving Glenn</t>
        </is>
      </c>
      <c r="B144" t="inlineStr">
        <is>
          <t>TCNz004PH:SMS NewDev</t>
        </is>
      </c>
      <c r="D144">
        <f>L144</f>
        <v/>
      </c>
      <c r="E144">
        <f>SUMIFS(J:J, G:G,             A144, H:H, B144, L:L, L144)</f>
        <v/>
      </c>
      <c r="F144" t="inlineStr">
        <is>
          <t>PH0026</t>
        </is>
      </c>
      <c r="G144" t="inlineStr">
        <is>
          <t>Cervantes Irving Glenn</t>
        </is>
      </c>
      <c r="H144" t="inlineStr">
        <is>
          <t>TCNz004PH:SMS NewDev</t>
        </is>
      </c>
      <c r="I144" s="1" t="n">
        <v>45937</v>
      </c>
      <c r="J144" t="n">
        <v>4</v>
      </c>
      <c r="K144" t="inlineStr">
        <is>
          <t>95791  95770   95801</t>
        </is>
      </c>
      <c r="L144">
        <f>IFERROR(LEFT(K144,             FIND(",", K144) - 1), "-")</f>
        <v/>
      </c>
      <c r="M144">
        <f>IFERROR(MID(K144,             FIND(",", K144) + 1, LEN(K144) - FIND(",", K144)), K144)</f>
        <v/>
      </c>
      <c r="O144" s="2" t="n"/>
      <c r="P144" s="2" t="inlineStr">
        <is>
          <t>12:00</t>
        </is>
      </c>
      <c r="Q144" t="inlineStr">
        <is>
          <t>16:00</t>
        </is>
      </c>
    </row>
    <row r="145">
      <c r="A145" t="inlineStr">
        <is>
          <t>Cervantes Irving Glenn</t>
        </is>
      </c>
      <c r="B145" t="inlineStr">
        <is>
          <t>TCNz004PH:SMS NewDev</t>
        </is>
      </c>
      <c r="D145">
        <f>L145</f>
        <v/>
      </c>
      <c r="E145">
        <f>SUMIFS(J:J, G:G,             A145, H:H, B145, L:L, L145)</f>
        <v/>
      </c>
      <c r="F145" t="inlineStr">
        <is>
          <t>PH0026</t>
        </is>
      </c>
      <c r="G145" t="inlineStr">
        <is>
          <t>Cervantes Irving Glenn</t>
        </is>
      </c>
      <c r="H145" t="inlineStr">
        <is>
          <t>TCNz004PH:SMS NewDev</t>
        </is>
      </c>
      <c r="I145" s="1" t="n">
        <v>45938</v>
      </c>
      <c r="J145" t="n">
        <v>3</v>
      </c>
      <c r="K145" t="inlineStr">
        <is>
          <t>95799  95800  95801</t>
        </is>
      </c>
      <c r="L145">
        <f>IFERROR(LEFT(K145,             FIND(",", K145) - 1), "-")</f>
        <v/>
      </c>
      <c r="M145">
        <f>IFERROR(MID(K145,             FIND(",", K145) + 1, LEN(K145) - FIND(",", K145)), K145)</f>
        <v/>
      </c>
      <c r="O145" s="2" t="n"/>
      <c r="P145" s="2" t="inlineStr">
        <is>
          <t>08:00</t>
        </is>
      </c>
      <c r="Q145" t="inlineStr">
        <is>
          <t>11:00</t>
        </is>
      </c>
    </row>
    <row r="146">
      <c r="A146" t="inlineStr">
        <is>
          <t>Cervantes Irving Glenn</t>
        </is>
      </c>
      <c r="B146" t="inlineStr">
        <is>
          <t>TCNz004PH:SMS NewDev</t>
        </is>
      </c>
      <c r="D146">
        <f>L146</f>
        <v/>
      </c>
      <c r="E146">
        <f>SUMIFS(J:J, G:G,             A146, H:H, B146, L:L, L146)</f>
        <v/>
      </c>
      <c r="F146" t="inlineStr">
        <is>
          <t>PH0026</t>
        </is>
      </c>
      <c r="G146" t="inlineStr">
        <is>
          <t>Cervantes Irving Glenn</t>
        </is>
      </c>
      <c r="H146" t="inlineStr">
        <is>
          <t>TCNz004PH:SMS NewDev</t>
        </is>
      </c>
      <c r="I146" s="1" t="n">
        <v>45938</v>
      </c>
      <c r="J146" t="n">
        <v>5</v>
      </c>
      <c r="K146" t="inlineStr">
        <is>
          <t>95799  95800  95801</t>
        </is>
      </c>
      <c r="L146">
        <f>IFERROR(LEFT(K146,             FIND(",", K146) - 1), "-")</f>
        <v/>
      </c>
      <c r="M146">
        <f>IFERROR(MID(K146,             FIND(",", K146) + 1, LEN(K146) - FIND(",", K146)), K146)</f>
        <v/>
      </c>
      <c r="O146" s="2" t="n"/>
      <c r="P146" s="2" t="inlineStr">
        <is>
          <t>12:00</t>
        </is>
      </c>
      <c r="Q146" t="inlineStr">
        <is>
          <t>17:00</t>
        </is>
      </c>
    </row>
    <row r="147">
      <c r="A147" t="inlineStr">
        <is>
          <t>Cervantes Irving Glenn</t>
        </is>
      </c>
      <c r="B147" t="inlineStr">
        <is>
          <t>TCNz004PH:SMS NewDev</t>
        </is>
      </c>
      <c r="D147">
        <f>L147</f>
        <v/>
      </c>
      <c r="E147">
        <f>SUMIFS(J:J, G:G,             A147, H:H, B147, L:L, L147)</f>
        <v/>
      </c>
      <c r="F147" t="inlineStr">
        <is>
          <t>PH0026</t>
        </is>
      </c>
      <c r="G147" t="inlineStr">
        <is>
          <t>Cervantes Irving Glenn</t>
        </is>
      </c>
      <c r="H147" t="inlineStr">
        <is>
          <t>TCNz004PH:SMS NewDev</t>
        </is>
      </c>
      <c r="I147" s="1" t="n">
        <v>45940</v>
      </c>
      <c r="J147" t="n">
        <v>2</v>
      </c>
      <c r="K147" t="inlineStr">
        <is>
          <t>95801 95740</t>
        </is>
      </c>
      <c r="L147">
        <f>IFERROR(LEFT(K147,             FIND(",", K147) - 1), "-")</f>
        <v/>
      </c>
      <c r="M147">
        <f>IFERROR(MID(K147,             FIND(",", K147) + 1, LEN(K147) - FIND(",", K147)), K147)</f>
        <v/>
      </c>
      <c r="O147" s="2" t="n"/>
      <c r="P147" s="2" t="inlineStr">
        <is>
          <t>08:00</t>
        </is>
      </c>
      <c r="Q147" t="inlineStr">
        <is>
          <t>10:00</t>
        </is>
      </c>
    </row>
    <row r="148">
      <c r="A148" t="inlineStr">
        <is>
          <t>Cervantes Irving Glenn</t>
        </is>
      </c>
      <c r="B148" t="inlineStr">
        <is>
          <t>TCNz004PH:SMS NewDev</t>
        </is>
      </c>
      <c r="D148">
        <f>L148</f>
        <v/>
      </c>
      <c r="E148">
        <f>SUMIFS(J:J, G:G,             A148, H:H, B148, L:L, L148)</f>
        <v/>
      </c>
      <c r="F148" t="inlineStr">
        <is>
          <t>PH0026</t>
        </is>
      </c>
      <c r="G148" t="inlineStr">
        <is>
          <t>Cervantes Irving Glenn</t>
        </is>
      </c>
      <c r="H148" t="inlineStr">
        <is>
          <t>TCNz004PH:SMS NewDev</t>
        </is>
      </c>
      <c r="I148" s="1" t="n">
        <v>45944</v>
      </c>
      <c r="J148" t="n">
        <v>2</v>
      </c>
      <c r="K148" t="inlineStr">
        <is>
          <t>95820</t>
        </is>
      </c>
      <c r="L148">
        <f>IFERROR(LEFT(K148,             FIND(",", K148) - 1), "-")</f>
        <v/>
      </c>
      <c r="M148">
        <f>IFERROR(MID(K148,             FIND(",", K148) + 1, LEN(K148) - FIND(",", K148)), K148)</f>
        <v/>
      </c>
      <c r="O148" s="2" t="n"/>
      <c r="P148" s="2" t="inlineStr">
        <is>
          <t>15:00</t>
        </is>
      </c>
      <c r="Q148" t="inlineStr">
        <is>
          <t>17:00</t>
        </is>
      </c>
    </row>
    <row r="149">
      <c r="A149" t="inlineStr">
        <is>
          <t>Cervantes Irving Glenn</t>
        </is>
      </c>
      <c r="B149" t="inlineStr">
        <is>
          <t>TCNz004PH:SMS NewDev</t>
        </is>
      </c>
      <c r="D149">
        <f>L149</f>
        <v/>
      </c>
      <c r="E149">
        <f>SUMIFS(J:J, G:G,             A149, H:H, B149, L:L, L149)</f>
        <v/>
      </c>
      <c r="F149" t="inlineStr">
        <is>
          <t>PH0026</t>
        </is>
      </c>
      <c r="G149" t="inlineStr">
        <is>
          <t>Cervantes Irving Glenn</t>
        </is>
      </c>
      <c r="H149" t="inlineStr">
        <is>
          <t>TCNz004PH:SMS NewDev</t>
        </is>
      </c>
      <c r="I149" s="1" t="n">
        <v>45945</v>
      </c>
      <c r="J149" t="n">
        <v>3.25</v>
      </c>
      <c r="K149" t="inlineStr">
        <is>
          <t>95820 95799 95801 95773</t>
        </is>
      </c>
      <c r="L149">
        <f>IFERROR(LEFT(K149,             FIND(",", K149) - 1), "-")</f>
        <v/>
      </c>
      <c r="M149">
        <f>IFERROR(MID(K149,             FIND(",", K149) + 1, LEN(K149) - FIND(",", K149)), K149)</f>
        <v/>
      </c>
      <c r="O149" s="2" t="n"/>
      <c r="P149" s="2" t="inlineStr">
        <is>
          <t>07:45</t>
        </is>
      </c>
      <c r="Q149" t="inlineStr">
        <is>
          <t>11:00</t>
        </is>
      </c>
    </row>
    <row r="150">
      <c r="A150" t="inlineStr">
        <is>
          <t>Cervantes Irving Glenn</t>
        </is>
      </c>
      <c r="B150" t="inlineStr">
        <is>
          <t>TCNz004PH:SMS NewDev</t>
        </is>
      </c>
      <c r="D150">
        <f>L150</f>
        <v/>
      </c>
      <c r="E150">
        <f>SUMIFS(J:J, G:G,             A150, H:H, B150, L:L, L150)</f>
        <v/>
      </c>
      <c r="F150" t="inlineStr">
        <is>
          <t>PH0026</t>
        </is>
      </c>
      <c r="G150" t="inlineStr">
        <is>
          <t>Cervantes Irving Glenn</t>
        </is>
      </c>
      <c r="H150" t="inlineStr">
        <is>
          <t>TCNz004PH:SMS NewDev</t>
        </is>
      </c>
      <c r="I150" s="1" t="n">
        <v>45946</v>
      </c>
      <c r="J150" t="n">
        <v>3.25</v>
      </c>
      <c r="K150" t="inlineStr">
        <is>
          <t>95824 95809 95808 95825 95801</t>
        </is>
      </c>
      <c r="L150">
        <f>IFERROR(LEFT(K150,             FIND(",", K150) - 1), "-")</f>
        <v/>
      </c>
      <c r="M150">
        <f>IFERROR(MID(K150,             FIND(",", K150) + 1, LEN(K150) - FIND(",", K150)), K150)</f>
        <v/>
      </c>
      <c r="O150" s="2" t="n"/>
      <c r="P150" s="2" t="inlineStr">
        <is>
          <t>07:45</t>
        </is>
      </c>
      <c r="Q150" t="inlineStr">
        <is>
          <t>11:00</t>
        </is>
      </c>
    </row>
    <row r="151">
      <c r="A151" t="inlineStr">
        <is>
          <t>Cervantes Irving Glenn</t>
        </is>
      </c>
      <c r="B151" t="inlineStr">
        <is>
          <t>TCNz004PH:SMS NewDev</t>
        </is>
      </c>
      <c r="D151">
        <f>L151</f>
        <v/>
      </c>
      <c r="E151">
        <f>SUMIFS(J:J, G:G,             A151, H:H, B151, L:L, L151)</f>
        <v/>
      </c>
      <c r="F151" t="inlineStr">
        <is>
          <t>PH0026</t>
        </is>
      </c>
      <c r="G151" t="inlineStr">
        <is>
          <t>Cervantes Irving Glenn</t>
        </is>
      </c>
      <c r="H151" t="inlineStr">
        <is>
          <t>TCNz004PH:SMS NewDev</t>
        </is>
      </c>
      <c r="I151" s="1" t="n">
        <v>45946</v>
      </c>
      <c r="J151" t="n">
        <v>4.75</v>
      </c>
      <c r="K151" t="inlineStr">
        <is>
          <t>95824 95809 95808 95825 95801</t>
        </is>
      </c>
      <c r="L151">
        <f>IFERROR(LEFT(K151,             FIND(",", K151) - 1), "-")</f>
        <v/>
      </c>
      <c r="M151">
        <f>IFERROR(MID(K151,             FIND(",", K151) + 1, LEN(K151) - FIND(",", K151)), K151)</f>
        <v/>
      </c>
      <c r="O151" s="2" t="n"/>
      <c r="P151" s="2" t="inlineStr">
        <is>
          <t>12:15</t>
        </is>
      </c>
      <c r="Q151" t="inlineStr">
        <is>
          <t>17:00</t>
        </is>
      </c>
    </row>
    <row r="152">
      <c r="A152" t="inlineStr">
        <is>
          <t>Cervantes Irving Glenn</t>
        </is>
      </c>
      <c r="B152" t="inlineStr">
        <is>
          <t>TCNz004PH:SMS NewDev</t>
        </is>
      </c>
      <c r="D152">
        <f>L152</f>
        <v/>
      </c>
      <c r="E152">
        <f>SUMIFS(J:J, G:G,             A152, H:H, B152, L:L, L152)</f>
        <v/>
      </c>
      <c r="F152" t="inlineStr">
        <is>
          <t>PH0026</t>
        </is>
      </c>
      <c r="G152" t="inlineStr">
        <is>
          <t>Cervantes Irving Glenn</t>
        </is>
      </c>
      <c r="H152" t="inlineStr">
        <is>
          <t>TCNz004PH:SMS NewDev</t>
        </is>
      </c>
      <c r="I152" s="1" t="n">
        <v>45945</v>
      </c>
      <c r="J152" t="n">
        <v>5</v>
      </c>
      <c r="K152" t="inlineStr">
        <is>
          <t>95825 95824 95828 95809 95808</t>
        </is>
      </c>
      <c r="L152">
        <f>IFERROR(LEFT(K152,             FIND(",", K152) - 1), "-")</f>
        <v/>
      </c>
      <c r="M152">
        <f>IFERROR(MID(K152,             FIND(",", K152) + 1, LEN(K152) - FIND(",", K152)), K152)</f>
        <v/>
      </c>
      <c r="O152" s="2" t="n"/>
      <c r="P152" s="2" t="inlineStr">
        <is>
          <t>12:00</t>
        </is>
      </c>
      <c r="Q152" t="inlineStr">
        <is>
          <t>17:00</t>
        </is>
      </c>
    </row>
    <row r="153">
      <c r="A153" t="inlineStr">
        <is>
          <t>Cervantes Irving Glenn</t>
        </is>
      </c>
      <c r="B153" t="inlineStr">
        <is>
          <t>TCNz004PH:SMS NewDev</t>
        </is>
      </c>
      <c r="D153">
        <f>L153</f>
        <v/>
      </c>
      <c r="E153">
        <f>SUMIFS(J:J, G:G,             A153, H:H, B153, L:L, L153)</f>
        <v/>
      </c>
      <c r="F153" t="inlineStr">
        <is>
          <t>PH0026</t>
        </is>
      </c>
      <c r="G153" t="inlineStr">
        <is>
          <t>Cervantes Irving Glenn</t>
        </is>
      </c>
      <c r="H153" t="inlineStr">
        <is>
          <t>TCNz004PH:SMS NewDev</t>
        </is>
      </c>
      <c r="I153" s="1" t="n">
        <v>45947</v>
      </c>
      <c r="J153" t="n">
        <v>0.5</v>
      </c>
      <c r="K153" t="inlineStr">
        <is>
          <t xml:space="preserve">95840 </t>
        </is>
      </c>
      <c r="L153">
        <f>IFERROR(LEFT(K153,             FIND(",", K153) - 1), "-")</f>
        <v/>
      </c>
      <c r="M153">
        <f>IFERROR(MID(K153,             FIND(",", K153) + 1, LEN(K153) - FIND(",", K153)), K153)</f>
        <v/>
      </c>
      <c r="O153" s="2" t="n"/>
      <c r="P153" s="2" t="inlineStr">
        <is>
          <t>08:00</t>
        </is>
      </c>
      <c r="Q153" t="inlineStr">
        <is>
          <t>08:30</t>
        </is>
      </c>
    </row>
    <row r="154">
      <c r="A154" t="inlineStr">
        <is>
          <t>Cervantes Irving Glenn</t>
        </is>
      </c>
      <c r="B154" t="inlineStr">
        <is>
          <t>TCNz004PH:SMS NewDev</t>
        </is>
      </c>
      <c r="D154">
        <f>L154</f>
        <v/>
      </c>
      <c r="E154">
        <f>SUMIFS(J:J, G:G,             A154, H:H, B154, L:L, L154)</f>
        <v/>
      </c>
      <c r="F154" t="inlineStr">
        <is>
          <t>PH0026</t>
        </is>
      </c>
      <c r="G154" t="inlineStr">
        <is>
          <t>Cervantes Irving Glenn</t>
        </is>
      </c>
      <c r="H154" t="inlineStr">
        <is>
          <t>TCNz004PH:SMS NewDev</t>
        </is>
      </c>
      <c r="I154" s="1" t="n">
        <v>45947</v>
      </c>
      <c r="J154" t="n">
        <v>0.5</v>
      </c>
      <c r="K154" t="inlineStr">
        <is>
          <t xml:space="preserve">95840 </t>
        </is>
      </c>
      <c r="L154">
        <f>IFERROR(LEFT(K154,             FIND(",", K154) - 1), "-")</f>
        <v/>
      </c>
      <c r="M154">
        <f>IFERROR(MID(K154,             FIND(",", K154) + 1, LEN(K154) - FIND(",", K154)), K154)</f>
        <v/>
      </c>
      <c r="O154" s="2" t="n"/>
      <c r="P154" s="2" t="inlineStr">
        <is>
          <t>12:00</t>
        </is>
      </c>
      <c r="Q154" t="inlineStr">
        <is>
          <t>12:30</t>
        </is>
      </c>
    </row>
    <row r="155">
      <c r="A155" t="inlineStr">
        <is>
          <t>Cervantes Irving Glenn</t>
        </is>
      </c>
      <c r="B155" t="inlineStr">
        <is>
          <t>TCNz004PH:SMS NewDev</t>
        </is>
      </c>
      <c r="D155">
        <f>L155</f>
        <v/>
      </c>
      <c r="E155">
        <f>SUMIFS(J:J, G:G,             A155, H:H, B155, L:L, L155)</f>
        <v/>
      </c>
      <c r="F155" t="inlineStr">
        <is>
          <t>PH0026</t>
        </is>
      </c>
      <c r="G155" t="inlineStr">
        <is>
          <t>Cervantes Irving Glenn</t>
        </is>
      </c>
      <c r="H155" t="inlineStr">
        <is>
          <t>TCNz004PH:SMS NewDev</t>
        </is>
      </c>
      <c r="I155" s="1" t="n">
        <v>45951</v>
      </c>
      <c r="J155" t="n">
        <v>3.25</v>
      </c>
      <c r="K155" t="inlineStr">
        <is>
          <t>95843 95824  95825  95719</t>
        </is>
      </c>
      <c r="L155">
        <f>IFERROR(LEFT(K155,             FIND(",", K155) - 1), "-")</f>
        <v/>
      </c>
      <c r="M155">
        <f>IFERROR(MID(K155,             FIND(",", K155) + 1, LEN(K155) - FIND(",", K155)), K155)</f>
        <v/>
      </c>
      <c r="O155" s="2" t="n"/>
      <c r="P155" s="2" t="inlineStr">
        <is>
          <t>07:45</t>
        </is>
      </c>
      <c r="Q155" t="inlineStr">
        <is>
          <t>11:00</t>
        </is>
      </c>
    </row>
    <row r="156">
      <c r="A156" t="inlineStr">
        <is>
          <t>Cervantes Irving Glenn</t>
        </is>
      </c>
      <c r="B156" t="inlineStr">
        <is>
          <t>TCNz004PH:SMS NewDev</t>
        </is>
      </c>
      <c r="D156">
        <f>L156</f>
        <v/>
      </c>
      <c r="E156">
        <f>SUMIFS(J:J, G:G,             A156, H:H, B156, L:L, L156)</f>
        <v/>
      </c>
      <c r="F156" t="inlineStr">
        <is>
          <t>PH0026</t>
        </is>
      </c>
      <c r="G156" t="inlineStr">
        <is>
          <t>Cervantes Irving Glenn</t>
        </is>
      </c>
      <c r="H156" t="inlineStr">
        <is>
          <t>TCNz004PH:SMS NewDev</t>
        </is>
      </c>
      <c r="I156" s="1" t="n">
        <v>45951</v>
      </c>
      <c r="J156" t="n">
        <v>5</v>
      </c>
      <c r="K156" t="inlineStr">
        <is>
          <t>95843 95824  95825  95719</t>
        </is>
      </c>
      <c r="L156">
        <f>IFERROR(LEFT(K156,             FIND(",", K156) - 1), "-")</f>
        <v/>
      </c>
      <c r="M156">
        <f>IFERROR(MID(K156,             FIND(",", K156) + 1, LEN(K156) - FIND(",", K156)), K156)</f>
        <v/>
      </c>
      <c r="O156" s="2" t="n"/>
      <c r="P156" s="2" t="inlineStr">
        <is>
          <t>12:00</t>
        </is>
      </c>
      <c r="Q156" t="inlineStr">
        <is>
          <t>17:00</t>
        </is>
      </c>
    </row>
    <row r="157">
      <c r="A157" t="inlineStr">
        <is>
          <t>Cervantes Irving Glenn</t>
        </is>
      </c>
      <c r="B157" t="inlineStr">
        <is>
          <t>TCNz004PH:SMS NewDev</t>
        </is>
      </c>
      <c r="D157">
        <f>L157</f>
        <v/>
      </c>
      <c r="E157">
        <f>SUMIFS(J:J, G:G,             A157, H:H, B157, L:L, L157)</f>
        <v/>
      </c>
      <c r="F157" t="inlineStr">
        <is>
          <t>PH0026</t>
        </is>
      </c>
      <c r="G157" t="inlineStr">
        <is>
          <t>Cervantes Irving Glenn</t>
        </is>
      </c>
      <c r="H157" t="inlineStr">
        <is>
          <t>TCNz004PH:SMS NewDev</t>
        </is>
      </c>
      <c r="I157" s="1" t="n">
        <v>45952</v>
      </c>
      <c r="J157" t="n">
        <v>3.25</v>
      </c>
      <c r="K157" t="inlineStr">
        <is>
          <t>95844 95846 95845</t>
        </is>
      </c>
      <c r="L157">
        <f>IFERROR(LEFT(K157,             FIND(",", K157) - 1), "-")</f>
        <v/>
      </c>
      <c r="M157">
        <f>IFERROR(MID(K157,             FIND(",", K157) + 1, LEN(K157) - FIND(",", K157)), K157)</f>
        <v/>
      </c>
      <c r="O157" s="2" t="n"/>
      <c r="P157" s="2" t="inlineStr">
        <is>
          <t>07:45</t>
        </is>
      </c>
      <c r="Q157" t="inlineStr">
        <is>
          <t>11:00</t>
        </is>
      </c>
    </row>
    <row r="158">
      <c r="A158" t="inlineStr">
        <is>
          <t>Cervantes Irving Glenn</t>
        </is>
      </c>
      <c r="B158" t="inlineStr">
        <is>
          <t>TCNz004PH:SMS NewDev</t>
        </is>
      </c>
      <c r="D158">
        <f>L158</f>
        <v/>
      </c>
      <c r="E158">
        <f>SUMIFS(J:J, G:G,             A158, H:H, B158, L:L, L158)</f>
        <v/>
      </c>
      <c r="F158" t="inlineStr">
        <is>
          <t>PH0026</t>
        </is>
      </c>
      <c r="G158" t="inlineStr">
        <is>
          <t>Cervantes Irving Glenn</t>
        </is>
      </c>
      <c r="H158" t="inlineStr">
        <is>
          <t>TCNz004PH:SMS NewDev</t>
        </is>
      </c>
      <c r="I158" s="1" t="n">
        <v>45952</v>
      </c>
      <c r="J158" t="n">
        <v>4.25</v>
      </c>
      <c r="K158" t="inlineStr">
        <is>
          <t>95844 95846 95845</t>
        </is>
      </c>
      <c r="L158">
        <f>IFERROR(LEFT(K158,             FIND(",", K158) - 1), "-")</f>
        <v/>
      </c>
      <c r="M158">
        <f>IFERROR(MID(K158,             FIND(",", K158) + 1, LEN(K158) - FIND(",", K158)), K158)</f>
        <v/>
      </c>
      <c r="O158" s="2" t="n"/>
      <c r="P158" s="2" t="inlineStr">
        <is>
          <t>13:00</t>
        </is>
      </c>
      <c r="Q158" t="inlineStr">
        <is>
          <t>17:15</t>
        </is>
      </c>
    </row>
    <row r="159">
      <c r="A159" t="inlineStr">
        <is>
          <t>Cervantes Irving Glenn</t>
        </is>
      </c>
      <c r="B159" t="inlineStr">
        <is>
          <t>ZZZs001PH:Support in general</t>
        </is>
      </c>
      <c r="C159">
        <f>SUMIFS(J:J, G:G,             A159, H:H, B159)</f>
        <v/>
      </c>
      <c r="D159">
        <f>L159</f>
        <v/>
      </c>
      <c r="E159">
        <f>SUMIFS(J:J, G:G,             A159, H:H, B159, L:L, L159)</f>
        <v/>
      </c>
      <c r="F159" t="inlineStr">
        <is>
          <t>PH0026</t>
        </is>
      </c>
      <c r="G159" t="inlineStr">
        <is>
          <t>Cervantes Irving Glenn</t>
        </is>
      </c>
      <c r="H159" t="inlineStr">
        <is>
          <t>ZZZs001PH:Support in general</t>
        </is>
      </c>
      <c r="I159" s="1" t="n">
        <v>45940</v>
      </c>
      <c r="J159" t="n">
        <v>1</v>
      </c>
      <c r="K159" t="inlineStr">
        <is>
          <t xml:space="preserve">95814 </t>
        </is>
      </c>
      <c r="L159">
        <f>IFERROR(LEFT(K159,             FIND(",", K159) - 1), "-")</f>
        <v/>
      </c>
      <c r="M159">
        <f>IFERROR(MID(K159,             FIND(",", K159) + 1, LEN(K159) - FIND(",", K159)), K159)</f>
        <v/>
      </c>
      <c r="N159" t="n">
        <v>1</v>
      </c>
      <c r="O159" s="2" t="n"/>
      <c r="P159" s="2" t="inlineStr">
        <is>
          <t>10:00</t>
        </is>
      </c>
      <c r="Q159" t="inlineStr">
        <is>
          <t>11:00</t>
        </is>
      </c>
    </row>
    <row r="160">
      <c r="A160" t="inlineStr">
        <is>
          <t>Cervantes Irving Glenn</t>
        </is>
      </c>
      <c r="B160" t="inlineStr">
        <is>
          <t>ZZZs001PH:Support in general</t>
        </is>
      </c>
      <c r="D160">
        <f>L160</f>
        <v/>
      </c>
      <c r="E160">
        <f>SUMIFS(J:J, G:G,             A160, H:H, B160, L:L, L160)</f>
        <v/>
      </c>
      <c r="F160" t="inlineStr">
        <is>
          <t>PH0026</t>
        </is>
      </c>
      <c r="G160" t="inlineStr">
        <is>
          <t>Cervantes Irving Glenn</t>
        </is>
      </c>
      <c r="H160" t="inlineStr">
        <is>
          <t>ZZZs001PH:Support in general</t>
        </is>
      </c>
      <c r="I160" s="1" t="n">
        <v>45940</v>
      </c>
      <c r="J160" t="n">
        <v>1</v>
      </c>
      <c r="K160" t="inlineStr">
        <is>
          <t xml:space="preserve">95814 </t>
        </is>
      </c>
      <c r="L160">
        <f>IFERROR(LEFT(K160,             FIND(",", K160) - 1), "-")</f>
        <v/>
      </c>
      <c r="M160">
        <f>IFERROR(MID(K160,             FIND(",", K160) + 1, LEN(K160) - FIND(",", K160)), K160)</f>
        <v/>
      </c>
      <c r="N160" t="n">
        <v>1</v>
      </c>
      <c r="O160" s="2" t="n"/>
      <c r="P160" s="2" t="inlineStr">
        <is>
          <t>16:00</t>
        </is>
      </c>
      <c r="Q160" t="inlineStr">
        <is>
          <t>17:00</t>
        </is>
      </c>
    </row>
    <row r="161">
      <c r="A161" t="inlineStr">
        <is>
          <t>Cuevas Roy</t>
        </is>
      </c>
      <c r="B161" t="inlineStr">
        <is>
          <t>KSUs001PH:KYUSYUU Support</t>
        </is>
      </c>
      <c r="C161">
        <f>SUMIFS(J:J, G:G,             A161, H:H, B161)</f>
        <v/>
      </c>
      <c r="D161">
        <f>L161</f>
        <v/>
      </c>
      <c r="E161">
        <f>SUMIFS(J:J, G:G,             A161, H:H, B161, L:L, L161)</f>
        <v/>
      </c>
      <c r="F161" t="inlineStr">
        <is>
          <t>PH0016</t>
        </is>
      </c>
      <c r="G161" t="inlineStr">
        <is>
          <t>Cuevas Roy</t>
        </is>
      </c>
      <c r="H161" t="inlineStr">
        <is>
          <t>KSUs001PH:KYUSYUU Support</t>
        </is>
      </c>
      <c r="I161" s="1" t="n">
        <v>45952</v>
      </c>
      <c r="J161" t="n">
        <v>0.75</v>
      </c>
      <c r="K161" t="inlineStr">
        <is>
          <t>TR: 95853</t>
        </is>
      </c>
      <c r="L161">
        <f>IFERROR(LEFT(K161,             FIND(",", K161) - 1), "-")</f>
        <v/>
      </c>
      <c r="M161">
        <f>IFERROR(MID(K161,             FIND(",", K161) + 1, LEN(K161) - FIND(",", K161)), K161)</f>
        <v/>
      </c>
      <c r="N161" t="n">
        <v>2</v>
      </c>
      <c r="O161" s="2" t="n"/>
      <c r="P161" s="2" t="inlineStr">
        <is>
          <t>13:30</t>
        </is>
      </c>
      <c r="Q161" t="inlineStr">
        <is>
          <t>14:15</t>
        </is>
      </c>
    </row>
    <row r="162">
      <c r="A162" t="inlineStr">
        <is>
          <t>Cuevas Roy</t>
        </is>
      </c>
      <c r="B162" t="inlineStr">
        <is>
          <t>KSUs001PH:KYUSYUU Support</t>
        </is>
      </c>
      <c r="D162">
        <f>L162</f>
        <v/>
      </c>
      <c r="E162">
        <f>SUMIFS(J:J, G:G,             A162, H:H, B162, L:L, L162)</f>
        <v/>
      </c>
      <c r="F162" t="inlineStr">
        <is>
          <t>PH0016</t>
        </is>
      </c>
      <c r="G162" t="inlineStr">
        <is>
          <t>Cuevas Roy</t>
        </is>
      </c>
      <c r="H162" t="inlineStr">
        <is>
          <t>KSUs001PH:KYUSYUU Support</t>
        </is>
      </c>
      <c r="I162" s="1" t="n">
        <v>45952</v>
      </c>
      <c r="J162" t="n">
        <v>0.5</v>
      </c>
      <c r="K162" t="inlineStr">
        <is>
          <t>TR: 95853</t>
        </is>
      </c>
      <c r="L162">
        <f>IFERROR(LEFT(K162,             FIND(",", K162) - 1), "-")</f>
        <v/>
      </c>
      <c r="M162">
        <f>IFERROR(MID(K162,             FIND(",", K162) + 1, LEN(K162) - FIND(",", K162)), K162)</f>
        <v/>
      </c>
      <c r="N162" t="n">
        <v>2</v>
      </c>
      <c r="O162" s="2" t="n"/>
      <c r="P162" s="2" t="inlineStr">
        <is>
          <t>16:00</t>
        </is>
      </c>
      <c r="Q162" t="inlineStr">
        <is>
          <t>16:30</t>
        </is>
      </c>
    </row>
    <row r="163">
      <c r="A163" t="inlineStr">
        <is>
          <t>Cuevas Roy</t>
        </is>
      </c>
      <c r="B163" t="inlineStr">
        <is>
          <t>TCNz001PH:Internal operations</t>
        </is>
      </c>
      <c r="C163">
        <f>SUMIFS(J:J, G:G,             A163, H:H, B163)</f>
        <v/>
      </c>
      <c r="D163">
        <f>L163</f>
        <v/>
      </c>
      <c r="E163">
        <f>SUMIFS(J:J, G:G,             A163, H:H, B163, L:L, L163)</f>
        <v/>
      </c>
      <c r="F163" t="inlineStr">
        <is>
          <t>PH0016</t>
        </is>
      </c>
      <c r="G163" t="inlineStr">
        <is>
          <t>Cuevas Roy</t>
        </is>
      </c>
      <c r="H163" t="inlineStr">
        <is>
          <t>TCNz001PH:Internal operations</t>
        </is>
      </c>
      <c r="I163" s="1" t="n">
        <v>45937</v>
      </c>
      <c r="J163" t="n">
        <v>0.75</v>
      </c>
      <c r="K163" t="inlineStr">
        <is>
          <t>PH Team Meeting</t>
        </is>
      </c>
      <c r="L163">
        <f>IFERROR(LEFT(K163,             FIND(",", K163) - 1), "-")</f>
        <v/>
      </c>
      <c r="M163">
        <f>IFERROR(MID(K163,             FIND(",", K163) + 1, LEN(K163) - FIND(",", K163)), K163)</f>
        <v/>
      </c>
      <c r="N163" t="n">
        <v>5</v>
      </c>
      <c r="O163" s="2" t="n"/>
      <c r="P163" s="2" t="inlineStr">
        <is>
          <t>16:00</t>
        </is>
      </c>
      <c r="Q163" t="inlineStr">
        <is>
          <t>16:45</t>
        </is>
      </c>
    </row>
    <row r="164">
      <c r="A164" t="inlineStr">
        <is>
          <t>Cuevas Roy</t>
        </is>
      </c>
      <c r="B164" t="inlineStr">
        <is>
          <t>TCNz001PH:Internal operations</t>
        </is>
      </c>
      <c r="D164">
        <f>L164</f>
        <v/>
      </c>
      <c r="E164">
        <f>SUMIFS(J:J, G:G,             A164, H:H, B164, L:L, L164)</f>
        <v/>
      </c>
      <c r="F164" t="inlineStr">
        <is>
          <t>PH0016</t>
        </is>
      </c>
      <c r="G164" t="inlineStr">
        <is>
          <t>Cuevas Roy</t>
        </is>
      </c>
      <c r="H164" t="inlineStr">
        <is>
          <t>TCNz001PH:Internal operations</t>
        </is>
      </c>
      <c r="I164" s="1" t="n">
        <v>45936</v>
      </c>
      <c r="J164" t="n">
        <v>2.25</v>
      </c>
      <c r="K164" t="inlineStr">
        <is>
          <t>Reading programming materials</t>
        </is>
      </c>
      <c r="L164">
        <f>IFERROR(LEFT(K164,             FIND(",", K164) - 1), "-")</f>
        <v/>
      </c>
      <c r="M164">
        <f>IFERROR(MID(K164,             FIND(",", K164) + 1, LEN(K164) - FIND(",", K164)), K164)</f>
        <v/>
      </c>
      <c r="N164" t="n">
        <v>5</v>
      </c>
      <c r="O164" s="2" t="n"/>
      <c r="P164" s="2" t="inlineStr">
        <is>
          <t>13:00</t>
        </is>
      </c>
      <c r="Q164" t="inlineStr">
        <is>
          <t>15:15</t>
        </is>
      </c>
    </row>
    <row r="165">
      <c r="A165" t="inlineStr">
        <is>
          <t>Cuevas Roy</t>
        </is>
      </c>
      <c r="B165" t="inlineStr">
        <is>
          <t>TCNz001PH:Internal operations</t>
        </is>
      </c>
      <c r="D165">
        <f>L165</f>
        <v/>
      </c>
      <c r="E165">
        <f>SUMIFS(J:J, G:G,             A165, H:H, B165, L:L, L165)</f>
        <v/>
      </c>
      <c r="F165" t="inlineStr">
        <is>
          <t>PH0016</t>
        </is>
      </c>
      <c r="G165" t="inlineStr">
        <is>
          <t>Cuevas Roy</t>
        </is>
      </c>
      <c r="H165" t="inlineStr">
        <is>
          <t>TCNz001PH:Internal operations</t>
        </is>
      </c>
      <c r="I165" s="1" t="n">
        <v>45936</v>
      </c>
      <c r="J165" t="n">
        <v>1.5</v>
      </c>
      <c r="K165" t="inlineStr">
        <is>
          <t>Reading programming materials</t>
        </is>
      </c>
      <c r="L165">
        <f>IFERROR(LEFT(K165,             FIND(",", K165) - 1), "-")</f>
        <v/>
      </c>
      <c r="M165">
        <f>IFERROR(MID(K165,             FIND(",", K165) + 1, LEN(K165) - FIND(",", K165)), K165)</f>
        <v/>
      </c>
      <c r="N165" t="n">
        <v>5</v>
      </c>
      <c r="O165" s="2" t="n"/>
      <c r="P165" s="2" t="inlineStr">
        <is>
          <t>15:30</t>
        </is>
      </c>
      <c r="Q165" t="inlineStr">
        <is>
          <t>17:00</t>
        </is>
      </c>
    </row>
    <row r="166">
      <c r="A166" t="inlineStr">
        <is>
          <t>Cuevas Roy</t>
        </is>
      </c>
      <c r="B166" t="inlineStr">
        <is>
          <t>TCNz002PH:Waiting for requests</t>
        </is>
      </c>
      <c r="C166">
        <f>SUMIFS(J:J, G:G,             A166, H:H, B166)</f>
        <v/>
      </c>
      <c r="D166">
        <f>L166</f>
        <v/>
      </c>
      <c r="E166">
        <f>SUMIFS(J:J, G:G,             A166, H:H, B166, L:L, L166)</f>
        <v/>
      </c>
      <c r="F166" t="inlineStr">
        <is>
          <t>PH0016</t>
        </is>
      </c>
      <c r="G166" t="inlineStr">
        <is>
          <t>Cuevas Roy</t>
        </is>
      </c>
      <c r="H166" t="inlineStr">
        <is>
          <t>TCNz002PH:Waiting for requests</t>
        </is>
      </c>
      <c r="I166" s="1" t="n">
        <v>45931</v>
      </c>
      <c r="J166" t="n">
        <v>3</v>
      </c>
      <c r="K166" t="inlineStr">
        <is>
          <t>Code review (SMS)</t>
        </is>
      </c>
      <c r="L166">
        <f>IFERROR(LEFT(K166,             FIND(",", K166) - 1), "-")</f>
        <v/>
      </c>
      <c r="M166">
        <f>IFERROR(MID(K166,             FIND(",", K166) + 1, LEN(K166) - FIND(",", K166)), K166)</f>
        <v/>
      </c>
      <c r="N166" t="n">
        <v>5</v>
      </c>
      <c r="O166" s="2" t="n"/>
      <c r="P166" s="2" t="inlineStr">
        <is>
          <t>08:00</t>
        </is>
      </c>
      <c r="Q166" t="inlineStr">
        <is>
          <t>11:00</t>
        </is>
      </c>
    </row>
    <row r="167">
      <c r="A167" t="inlineStr">
        <is>
          <t>Cuevas Roy</t>
        </is>
      </c>
      <c r="B167" t="inlineStr">
        <is>
          <t>TCNz002PH:Waiting for requests</t>
        </is>
      </c>
      <c r="D167">
        <f>L167</f>
        <v/>
      </c>
      <c r="E167">
        <f>SUMIFS(J:J, G:G,             A167, H:H, B167, L:L, L167)</f>
        <v/>
      </c>
      <c r="F167" t="inlineStr">
        <is>
          <t>PH0016</t>
        </is>
      </c>
      <c r="G167" t="inlineStr">
        <is>
          <t>Cuevas Roy</t>
        </is>
      </c>
      <c r="H167" t="inlineStr">
        <is>
          <t>TCNz002PH:Waiting for requests</t>
        </is>
      </c>
      <c r="I167" s="1" t="n">
        <v>45931</v>
      </c>
      <c r="J167" t="n">
        <v>3.25</v>
      </c>
      <c r="K167" t="inlineStr">
        <is>
          <t>Code review (SMS)</t>
        </is>
      </c>
      <c r="L167">
        <f>IFERROR(LEFT(K167,             FIND(",", K167) - 1), "-")</f>
        <v/>
      </c>
      <c r="M167">
        <f>IFERROR(MID(K167,             FIND(",", K167) + 1, LEN(K167) - FIND(",", K167)), K167)</f>
        <v/>
      </c>
      <c r="N167" t="n">
        <v>5</v>
      </c>
      <c r="O167" s="2" t="n"/>
      <c r="P167" s="2" t="inlineStr">
        <is>
          <t>12:00</t>
        </is>
      </c>
      <c r="Q167" t="inlineStr">
        <is>
          <t>15:15</t>
        </is>
      </c>
    </row>
    <row r="168">
      <c r="A168" t="inlineStr">
        <is>
          <t>Cuevas Roy</t>
        </is>
      </c>
      <c r="B168" t="inlineStr">
        <is>
          <t>TCNz002PH:Waiting for requests</t>
        </is>
      </c>
      <c r="D168">
        <f>L168</f>
        <v/>
      </c>
      <c r="E168">
        <f>SUMIFS(J:J, G:G,             A168, H:H, B168, L:L, L168)</f>
        <v/>
      </c>
      <c r="F168" t="inlineStr">
        <is>
          <t>PH0016</t>
        </is>
      </c>
      <c r="G168" t="inlineStr">
        <is>
          <t>Cuevas Roy</t>
        </is>
      </c>
      <c r="H168" t="inlineStr">
        <is>
          <t>TCNz002PH:Waiting for requests</t>
        </is>
      </c>
      <c r="I168" s="1" t="n">
        <v>45931</v>
      </c>
      <c r="J168" t="n">
        <v>0.5</v>
      </c>
      <c r="K168" t="inlineStr">
        <is>
          <t>Code review (SMS)</t>
        </is>
      </c>
      <c r="L168">
        <f>IFERROR(LEFT(K168,             FIND(",", K168) - 1), "-")</f>
        <v/>
      </c>
      <c r="M168">
        <f>IFERROR(MID(K168,             FIND(",", K168) + 1, LEN(K168) - FIND(",", K168)), K168)</f>
        <v/>
      </c>
      <c r="N168" t="n">
        <v>5</v>
      </c>
      <c r="O168" s="2" t="n"/>
      <c r="P168" s="2" t="inlineStr">
        <is>
          <t>15:30</t>
        </is>
      </c>
      <c r="Q168" t="inlineStr">
        <is>
          <t>16:00</t>
        </is>
      </c>
    </row>
    <row r="169">
      <c r="A169" t="inlineStr">
        <is>
          <t>Cuevas Roy</t>
        </is>
      </c>
      <c r="B169" t="inlineStr">
        <is>
          <t>TCNz002PH:Waiting for requests</t>
        </is>
      </c>
      <c r="D169">
        <f>L169</f>
        <v/>
      </c>
      <c r="E169">
        <f>SUMIFS(J:J, G:G,             A169, H:H, B169, L:L, L169)</f>
        <v/>
      </c>
      <c r="F169" t="inlineStr">
        <is>
          <t>PH0016</t>
        </is>
      </c>
      <c r="G169" t="inlineStr">
        <is>
          <t>Cuevas Roy</t>
        </is>
      </c>
      <c r="H169" t="inlineStr">
        <is>
          <t>TCNz002PH:Waiting for requests</t>
        </is>
      </c>
      <c r="I169" s="1" t="n">
        <v>45931</v>
      </c>
      <c r="J169" t="n">
        <v>0.75</v>
      </c>
      <c r="K169" t="inlineStr">
        <is>
          <t>Code review (SMS)</t>
        </is>
      </c>
      <c r="L169">
        <f>IFERROR(LEFT(K169,             FIND(",", K169) - 1), "-")</f>
        <v/>
      </c>
      <c r="M169">
        <f>IFERROR(MID(K169,             FIND(",", K169) + 1, LEN(K169) - FIND(",", K169)), K169)</f>
        <v/>
      </c>
      <c r="N169" t="n">
        <v>5</v>
      </c>
      <c r="O169" s="2" t="n"/>
      <c r="P169" s="2" t="inlineStr">
        <is>
          <t>16:15</t>
        </is>
      </c>
      <c r="Q169" t="inlineStr">
        <is>
          <t>17:00</t>
        </is>
      </c>
    </row>
    <row r="170">
      <c r="A170" t="inlineStr">
        <is>
          <t>Cuevas Roy</t>
        </is>
      </c>
      <c r="B170" t="inlineStr">
        <is>
          <t>TCNz002PH:Waiting for requests</t>
        </is>
      </c>
      <c r="D170">
        <f>L170</f>
        <v/>
      </c>
      <c r="E170">
        <f>SUMIFS(J:J, G:G,             A170, H:H, B170, L:L, L170)</f>
        <v/>
      </c>
      <c r="F170" t="inlineStr">
        <is>
          <t>PH0016</t>
        </is>
      </c>
      <c r="G170" t="inlineStr">
        <is>
          <t>Cuevas Roy</t>
        </is>
      </c>
      <c r="H170" t="inlineStr">
        <is>
          <t>TCNz002PH:Waiting for requests</t>
        </is>
      </c>
      <c r="I170" s="1" t="n">
        <v>45932</v>
      </c>
      <c r="J170" t="n">
        <v>1.5</v>
      </c>
      <c r="K170" t="inlineStr">
        <is>
          <t>Code review (SMS)</t>
        </is>
      </c>
      <c r="L170">
        <f>IFERROR(LEFT(K170,             FIND(",", K170) - 1), "-")</f>
        <v/>
      </c>
      <c r="M170">
        <f>IFERROR(MID(K170,             FIND(",", K170) + 1, LEN(K170) - FIND(",", K170)), K170)</f>
        <v/>
      </c>
      <c r="N170" t="n">
        <v>5</v>
      </c>
      <c r="O170" s="2" t="n"/>
      <c r="P170" s="2" t="inlineStr">
        <is>
          <t>08:00</t>
        </is>
      </c>
      <c r="Q170" t="inlineStr">
        <is>
          <t>09:30</t>
        </is>
      </c>
    </row>
    <row r="171">
      <c r="A171" t="inlineStr">
        <is>
          <t>Cuevas Roy</t>
        </is>
      </c>
      <c r="B171" t="inlineStr">
        <is>
          <t>TCNz002PH:Waiting for requests</t>
        </is>
      </c>
      <c r="D171">
        <f>L171</f>
        <v/>
      </c>
      <c r="E171">
        <f>SUMIFS(J:J, G:G,             A171, H:H, B171, L:L, L171)</f>
        <v/>
      </c>
      <c r="F171" t="inlineStr">
        <is>
          <t>PH0016</t>
        </is>
      </c>
      <c r="G171" t="inlineStr">
        <is>
          <t>Cuevas Roy</t>
        </is>
      </c>
      <c r="H171" t="inlineStr">
        <is>
          <t>TCNz002PH:Waiting for requests</t>
        </is>
      </c>
      <c r="I171" s="1" t="n">
        <v>45932</v>
      </c>
      <c r="J171" t="n">
        <v>1.25</v>
      </c>
      <c r="K171" t="inlineStr">
        <is>
          <t>Code review (SMS)</t>
        </is>
      </c>
      <c r="L171">
        <f>IFERROR(LEFT(K171,             FIND(",", K171) - 1), "-")</f>
        <v/>
      </c>
      <c r="M171">
        <f>IFERROR(MID(K171,             FIND(",", K171) + 1, LEN(K171) - FIND(",", K171)), K171)</f>
        <v/>
      </c>
      <c r="N171" t="n">
        <v>5</v>
      </c>
      <c r="O171" s="2" t="n"/>
      <c r="P171" s="2" t="inlineStr">
        <is>
          <t>09:45</t>
        </is>
      </c>
      <c r="Q171" t="inlineStr">
        <is>
          <t>11:00</t>
        </is>
      </c>
    </row>
    <row r="172">
      <c r="A172" t="inlineStr">
        <is>
          <t>Cuevas Roy</t>
        </is>
      </c>
      <c r="B172" t="inlineStr">
        <is>
          <t>TCNz002PH:Waiting for requests</t>
        </is>
      </c>
      <c r="D172">
        <f>L172</f>
        <v/>
      </c>
      <c r="E172">
        <f>SUMIFS(J:J, G:G,             A172, H:H, B172, L:L, L172)</f>
        <v/>
      </c>
      <c r="F172" t="inlineStr">
        <is>
          <t>PH0016</t>
        </is>
      </c>
      <c r="G172" t="inlineStr">
        <is>
          <t>Cuevas Roy</t>
        </is>
      </c>
      <c r="H172" t="inlineStr">
        <is>
          <t>TCNz002PH:Waiting for requests</t>
        </is>
      </c>
      <c r="I172" s="1" t="n">
        <v>45932</v>
      </c>
      <c r="J172" t="n">
        <v>3.25</v>
      </c>
      <c r="K172" t="inlineStr">
        <is>
          <t>Code review (SMS)</t>
        </is>
      </c>
      <c r="L172">
        <f>IFERROR(LEFT(K172,             FIND(",", K172) - 1), "-")</f>
        <v/>
      </c>
      <c r="M172">
        <f>IFERROR(MID(K172,             FIND(",", K172) + 1, LEN(K172) - FIND(",", K172)), K172)</f>
        <v/>
      </c>
      <c r="N172" t="n">
        <v>5</v>
      </c>
      <c r="O172" s="2" t="n"/>
      <c r="P172" s="2" t="inlineStr">
        <is>
          <t>12:00</t>
        </is>
      </c>
      <c r="Q172" t="inlineStr">
        <is>
          <t>15:15</t>
        </is>
      </c>
    </row>
    <row r="173">
      <c r="A173" t="inlineStr">
        <is>
          <t>Cuevas Roy</t>
        </is>
      </c>
      <c r="B173" t="inlineStr">
        <is>
          <t>TCNz002PH:Waiting for requests</t>
        </is>
      </c>
      <c r="D173">
        <f>L173</f>
        <v/>
      </c>
      <c r="E173">
        <f>SUMIFS(J:J, G:G,             A173, H:H, B173, L:L, L173)</f>
        <v/>
      </c>
      <c r="F173" t="inlineStr">
        <is>
          <t>PH0016</t>
        </is>
      </c>
      <c r="G173" t="inlineStr">
        <is>
          <t>Cuevas Roy</t>
        </is>
      </c>
      <c r="H173" t="inlineStr">
        <is>
          <t>TCNz002PH:Waiting for requests</t>
        </is>
      </c>
      <c r="I173" s="1" t="n">
        <v>45932</v>
      </c>
      <c r="J173" t="n">
        <v>1.5</v>
      </c>
      <c r="K173" t="inlineStr">
        <is>
          <t>Code review (SMS)</t>
        </is>
      </c>
      <c r="L173">
        <f>IFERROR(LEFT(K173,             FIND(",", K173) - 1), "-")</f>
        <v/>
      </c>
      <c r="M173">
        <f>IFERROR(MID(K173,             FIND(",", K173) + 1, LEN(K173) - FIND(",", K173)), K173)</f>
        <v/>
      </c>
      <c r="N173" t="n">
        <v>5</v>
      </c>
      <c r="O173" s="2" t="n"/>
      <c r="P173" s="2" t="inlineStr">
        <is>
          <t>15:30</t>
        </is>
      </c>
      <c r="Q173" t="inlineStr">
        <is>
          <t>17:00</t>
        </is>
      </c>
    </row>
    <row r="174">
      <c r="A174" t="inlineStr">
        <is>
          <t>Cuevas Roy</t>
        </is>
      </c>
      <c r="B174" t="inlineStr">
        <is>
          <t>TCNz002PH:Waiting for requests</t>
        </is>
      </c>
      <c r="D174">
        <f>L174</f>
        <v/>
      </c>
      <c r="E174">
        <f>SUMIFS(J:J, G:G,             A174, H:H, B174, L:L, L174)</f>
        <v/>
      </c>
      <c r="F174" t="inlineStr">
        <is>
          <t>PH0016</t>
        </is>
      </c>
      <c r="G174" t="inlineStr">
        <is>
          <t>Cuevas Roy</t>
        </is>
      </c>
      <c r="H174" t="inlineStr">
        <is>
          <t>TCNz002PH:Waiting for requests</t>
        </is>
      </c>
      <c r="I174" s="1" t="n">
        <v>45933</v>
      </c>
      <c r="J174" t="n">
        <v>1.5</v>
      </c>
      <c r="K174" t="inlineStr">
        <is>
          <t>Code review (SMS)</t>
        </is>
      </c>
      <c r="L174">
        <f>IFERROR(LEFT(K174,             FIND(",", K174) - 1), "-")</f>
        <v/>
      </c>
      <c r="M174">
        <f>IFERROR(MID(K174,             FIND(",", K174) + 1, LEN(K174) - FIND(",", K174)), K174)</f>
        <v/>
      </c>
      <c r="N174" t="n">
        <v>5</v>
      </c>
      <c r="O174" s="2" t="n"/>
      <c r="P174" s="2" t="inlineStr">
        <is>
          <t>08:00</t>
        </is>
      </c>
      <c r="Q174" t="inlineStr">
        <is>
          <t>09:30</t>
        </is>
      </c>
    </row>
    <row r="175">
      <c r="A175" t="inlineStr">
        <is>
          <t>Cuevas Roy</t>
        </is>
      </c>
      <c r="B175" t="inlineStr">
        <is>
          <t>TCNz002PH:Waiting for requests</t>
        </is>
      </c>
      <c r="D175">
        <f>L175</f>
        <v/>
      </c>
      <c r="E175">
        <f>SUMIFS(J:J, G:G,             A175, H:H, B175, L:L, L175)</f>
        <v/>
      </c>
      <c r="F175" t="inlineStr">
        <is>
          <t>PH0016</t>
        </is>
      </c>
      <c r="G175" t="inlineStr">
        <is>
          <t>Cuevas Roy</t>
        </is>
      </c>
      <c r="H175" t="inlineStr">
        <is>
          <t>TCNz002PH:Waiting for requests</t>
        </is>
      </c>
      <c r="I175" s="1" t="n">
        <v>45933</v>
      </c>
      <c r="J175" t="n">
        <v>1.25</v>
      </c>
      <c r="K175" t="inlineStr">
        <is>
          <t>Code review (SMS)</t>
        </is>
      </c>
      <c r="L175">
        <f>IFERROR(LEFT(K175,             FIND(",", K175) - 1), "-")</f>
        <v/>
      </c>
      <c r="M175">
        <f>IFERROR(MID(K175,             FIND(",", K175) + 1, LEN(K175) - FIND(",", K175)), K175)</f>
        <v/>
      </c>
      <c r="N175" t="n">
        <v>5</v>
      </c>
      <c r="O175" s="2" t="n"/>
      <c r="P175" s="2" t="inlineStr">
        <is>
          <t>09:45</t>
        </is>
      </c>
      <c r="Q175" t="inlineStr">
        <is>
          <t>11:00</t>
        </is>
      </c>
    </row>
    <row r="176">
      <c r="A176" t="inlineStr">
        <is>
          <t>Cuevas Roy</t>
        </is>
      </c>
      <c r="B176" t="inlineStr">
        <is>
          <t>TCNz002PH:Waiting for requests</t>
        </is>
      </c>
      <c r="D176">
        <f>L176</f>
        <v/>
      </c>
      <c r="E176">
        <f>SUMIFS(J:J, G:G,             A176, H:H, B176, L:L, L176)</f>
        <v/>
      </c>
      <c r="F176" t="inlineStr">
        <is>
          <t>PH0016</t>
        </is>
      </c>
      <c r="G176" t="inlineStr">
        <is>
          <t>Cuevas Roy</t>
        </is>
      </c>
      <c r="H176" t="inlineStr">
        <is>
          <t>TCNz002PH:Waiting for requests</t>
        </is>
      </c>
      <c r="I176" s="1" t="n">
        <v>45933</v>
      </c>
      <c r="J176" t="n">
        <v>1.5</v>
      </c>
      <c r="K176" t="inlineStr">
        <is>
          <t>Code review (SMS)</t>
        </is>
      </c>
      <c r="L176">
        <f>IFERROR(LEFT(K176,             FIND(",", K176) - 1), "-")</f>
        <v/>
      </c>
      <c r="M176">
        <f>IFERROR(MID(K176,             FIND(",", K176) + 1, LEN(K176) - FIND(",", K176)), K176)</f>
        <v/>
      </c>
      <c r="N176" t="n">
        <v>5</v>
      </c>
      <c r="O176" s="2" t="n"/>
      <c r="P176" s="2" t="inlineStr">
        <is>
          <t>12:00</t>
        </is>
      </c>
      <c r="Q176" t="inlineStr">
        <is>
          <t>13:30</t>
        </is>
      </c>
    </row>
    <row r="177">
      <c r="A177" t="inlineStr">
        <is>
          <t>Cuevas Roy</t>
        </is>
      </c>
      <c r="B177" t="inlineStr">
        <is>
          <t>TCNz002PH:Waiting for requests</t>
        </is>
      </c>
      <c r="D177">
        <f>L177</f>
        <v/>
      </c>
      <c r="E177">
        <f>SUMIFS(J:J, G:G,             A177, H:H, B177, L:L, L177)</f>
        <v/>
      </c>
      <c r="F177" t="inlineStr">
        <is>
          <t>PH0016</t>
        </is>
      </c>
      <c r="G177" t="inlineStr">
        <is>
          <t>Cuevas Roy</t>
        </is>
      </c>
      <c r="H177" t="inlineStr">
        <is>
          <t>TCNz002PH:Waiting for requests</t>
        </is>
      </c>
      <c r="I177" s="1" t="n">
        <v>45933</v>
      </c>
      <c r="J177" t="n">
        <v>1</v>
      </c>
      <c r="K177" t="inlineStr">
        <is>
          <t>Code review (SMS)</t>
        </is>
      </c>
      <c r="L177">
        <f>IFERROR(LEFT(K177,             FIND(",", K177) - 1), "-")</f>
        <v/>
      </c>
      <c r="M177">
        <f>IFERROR(MID(K177,             FIND(",", K177) + 1, LEN(K177) - FIND(",", K177)), K177)</f>
        <v/>
      </c>
      <c r="N177" t="n">
        <v>5</v>
      </c>
      <c r="O177" s="2" t="n"/>
      <c r="P177" s="2" t="inlineStr">
        <is>
          <t>14:15</t>
        </is>
      </c>
      <c r="Q177" t="inlineStr">
        <is>
          <t>15:15</t>
        </is>
      </c>
    </row>
    <row r="178">
      <c r="A178" t="inlineStr">
        <is>
          <t>Cuevas Roy</t>
        </is>
      </c>
      <c r="B178" t="inlineStr">
        <is>
          <t>TCNz002PH:Waiting for requests</t>
        </is>
      </c>
      <c r="D178">
        <f>L178</f>
        <v/>
      </c>
      <c r="E178">
        <f>SUMIFS(J:J, G:G,             A178, H:H, B178, L:L, L178)</f>
        <v/>
      </c>
      <c r="F178" t="inlineStr">
        <is>
          <t>PH0016</t>
        </is>
      </c>
      <c r="G178" t="inlineStr">
        <is>
          <t>Cuevas Roy</t>
        </is>
      </c>
      <c r="H178" t="inlineStr">
        <is>
          <t>TCNz002PH:Waiting for requests</t>
        </is>
      </c>
      <c r="I178" s="1" t="n">
        <v>45933</v>
      </c>
      <c r="J178" t="n">
        <v>1.5</v>
      </c>
      <c r="K178" t="inlineStr">
        <is>
          <t>Code review (SMS)</t>
        </is>
      </c>
      <c r="L178">
        <f>IFERROR(LEFT(K178,             FIND(",", K178) - 1), "-")</f>
        <v/>
      </c>
      <c r="M178">
        <f>IFERROR(MID(K178,             FIND(",", K178) + 1, LEN(K178) - FIND(",", K178)), K178)</f>
        <v/>
      </c>
      <c r="N178" t="n">
        <v>5</v>
      </c>
      <c r="O178" s="2" t="n"/>
      <c r="P178" s="2" t="inlineStr">
        <is>
          <t>15:30</t>
        </is>
      </c>
      <c r="Q178" t="inlineStr">
        <is>
          <t>17:00</t>
        </is>
      </c>
    </row>
    <row r="179">
      <c r="A179" t="inlineStr">
        <is>
          <t>Cuevas Roy</t>
        </is>
      </c>
      <c r="B179" t="inlineStr">
        <is>
          <t>TCNz002PH:Waiting for requests</t>
        </is>
      </c>
      <c r="D179">
        <f>L179</f>
        <v/>
      </c>
      <c r="E179">
        <f>SUMIFS(J:J, G:G,             A179, H:H, B179, L:L, L179)</f>
        <v/>
      </c>
      <c r="F179" t="inlineStr">
        <is>
          <t>PH0016</t>
        </is>
      </c>
      <c r="G179" t="inlineStr">
        <is>
          <t>Cuevas Roy</t>
        </is>
      </c>
      <c r="H179" t="inlineStr">
        <is>
          <t>TCNz002PH:Waiting for requests</t>
        </is>
      </c>
      <c r="I179" s="1" t="n">
        <v>45936</v>
      </c>
      <c r="J179" t="n">
        <v>1.5</v>
      </c>
      <c r="K179" t="inlineStr">
        <is>
          <t>Code review (SMS)</t>
        </is>
      </c>
      <c r="L179">
        <f>IFERROR(LEFT(K179,             FIND(",", K179) - 1), "-")</f>
        <v/>
      </c>
      <c r="M179">
        <f>IFERROR(MID(K179,             FIND(",", K179) + 1, LEN(K179) - FIND(",", K179)), K179)</f>
        <v/>
      </c>
      <c r="N179" t="n">
        <v>5</v>
      </c>
      <c r="O179" s="2" t="n"/>
      <c r="P179" s="2" t="inlineStr">
        <is>
          <t>08:00</t>
        </is>
      </c>
      <c r="Q179" t="inlineStr">
        <is>
          <t>09:30</t>
        </is>
      </c>
    </row>
    <row r="180">
      <c r="A180" t="inlineStr">
        <is>
          <t>Cuevas Roy</t>
        </is>
      </c>
      <c r="B180" t="inlineStr">
        <is>
          <t>TCNz002PH:Waiting for requests</t>
        </is>
      </c>
      <c r="D180">
        <f>L180</f>
        <v/>
      </c>
      <c r="E180">
        <f>SUMIFS(J:J, G:G,             A180, H:H, B180, L:L, L180)</f>
        <v/>
      </c>
      <c r="F180" t="inlineStr">
        <is>
          <t>PH0016</t>
        </is>
      </c>
      <c r="G180" t="inlineStr">
        <is>
          <t>Cuevas Roy</t>
        </is>
      </c>
      <c r="H180" t="inlineStr">
        <is>
          <t>TCNz002PH:Waiting for requests</t>
        </is>
      </c>
      <c r="I180" s="1" t="n">
        <v>45936</v>
      </c>
      <c r="J180" t="n">
        <v>1.25</v>
      </c>
      <c r="K180" t="inlineStr">
        <is>
          <t>Code review (SMS)</t>
        </is>
      </c>
      <c r="L180">
        <f>IFERROR(LEFT(K180,             FIND(",", K180) - 1), "-")</f>
        <v/>
      </c>
      <c r="M180">
        <f>IFERROR(MID(K180,             FIND(",", K180) + 1, LEN(K180) - FIND(",", K180)), K180)</f>
        <v/>
      </c>
      <c r="N180" t="n">
        <v>5</v>
      </c>
      <c r="O180" s="2" t="n"/>
      <c r="P180" s="2" t="inlineStr">
        <is>
          <t>09:45</t>
        </is>
      </c>
      <c r="Q180" t="inlineStr">
        <is>
          <t>11:00</t>
        </is>
      </c>
    </row>
    <row r="181">
      <c r="A181" t="inlineStr">
        <is>
          <t>Cuevas Roy</t>
        </is>
      </c>
      <c r="B181" t="inlineStr">
        <is>
          <t>TCNz002PH:Waiting for requests</t>
        </is>
      </c>
      <c r="D181">
        <f>L181</f>
        <v/>
      </c>
      <c r="E181">
        <f>SUMIFS(J:J, G:G,             A181, H:H, B181, L:L, L181)</f>
        <v/>
      </c>
      <c r="F181" t="inlineStr">
        <is>
          <t>PH0016</t>
        </is>
      </c>
      <c r="G181" t="inlineStr">
        <is>
          <t>Cuevas Roy</t>
        </is>
      </c>
      <c r="H181" t="inlineStr">
        <is>
          <t>TCNz002PH:Waiting for requests</t>
        </is>
      </c>
      <c r="I181" s="1" t="n">
        <v>45936</v>
      </c>
      <c r="J181" t="n">
        <v>1</v>
      </c>
      <c r="K181" t="inlineStr">
        <is>
          <t>Code review (SMS)</t>
        </is>
      </c>
      <c r="L181">
        <f>IFERROR(LEFT(K181,             FIND(",", K181) - 1), "-")</f>
        <v/>
      </c>
      <c r="M181">
        <f>IFERROR(MID(K181,             FIND(",", K181) + 1, LEN(K181) - FIND(",", K181)), K181)</f>
        <v/>
      </c>
      <c r="N181" t="n">
        <v>5</v>
      </c>
      <c r="O181" s="2" t="n"/>
      <c r="P181" s="2" t="inlineStr">
        <is>
          <t>12:00</t>
        </is>
      </c>
      <c r="Q181" t="inlineStr">
        <is>
          <t>13:00</t>
        </is>
      </c>
    </row>
    <row r="182">
      <c r="A182" t="inlineStr">
        <is>
          <t>Cuevas Roy</t>
        </is>
      </c>
      <c r="B182" t="inlineStr">
        <is>
          <t>TCNz002PH:Waiting for requests</t>
        </is>
      </c>
      <c r="D182">
        <f>L182</f>
        <v/>
      </c>
      <c r="E182">
        <f>SUMIFS(J:J, G:G,             A182, H:H, B182, L:L, L182)</f>
        <v/>
      </c>
      <c r="F182" t="inlineStr">
        <is>
          <t>PH0016</t>
        </is>
      </c>
      <c r="G182" t="inlineStr">
        <is>
          <t>Cuevas Roy</t>
        </is>
      </c>
      <c r="H182" t="inlineStr">
        <is>
          <t>TCNz002PH:Waiting for requests</t>
        </is>
      </c>
      <c r="I182" s="1" t="n">
        <v>45937</v>
      </c>
      <c r="J182" t="n">
        <v>1.5</v>
      </c>
      <c r="K182" t="inlineStr">
        <is>
          <t>Code review (SMS)</t>
        </is>
      </c>
      <c r="L182">
        <f>IFERROR(LEFT(K182,             FIND(",", K182) - 1), "-")</f>
        <v/>
      </c>
      <c r="M182">
        <f>IFERROR(MID(K182,             FIND(",", K182) + 1, LEN(K182) - FIND(",", K182)), K182)</f>
        <v/>
      </c>
      <c r="N182" t="n">
        <v>5</v>
      </c>
      <c r="O182" s="2" t="n"/>
      <c r="P182" s="2" t="inlineStr">
        <is>
          <t>08:00</t>
        </is>
      </c>
      <c r="Q182" t="inlineStr">
        <is>
          <t>09:30</t>
        </is>
      </c>
    </row>
    <row r="183">
      <c r="A183" t="inlineStr">
        <is>
          <t>Cuevas Roy</t>
        </is>
      </c>
      <c r="B183" t="inlineStr">
        <is>
          <t>TCNz002PH:Waiting for requests</t>
        </is>
      </c>
      <c r="D183">
        <f>L183</f>
        <v/>
      </c>
      <c r="E183">
        <f>SUMIFS(J:J, G:G,             A183, H:H, B183, L:L, L183)</f>
        <v/>
      </c>
      <c r="F183" t="inlineStr">
        <is>
          <t>PH0016</t>
        </is>
      </c>
      <c r="G183" t="inlineStr">
        <is>
          <t>Cuevas Roy</t>
        </is>
      </c>
      <c r="H183" t="inlineStr">
        <is>
          <t>TCNz002PH:Waiting for requests</t>
        </is>
      </c>
      <c r="I183" s="1" t="n">
        <v>45937</v>
      </c>
      <c r="J183" t="n">
        <v>0.25</v>
      </c>
      <c r="K183" t="inlineStr">
        <is>
          <t>Code review (SMS)</t>
        </is>
      </c>
      <c r="L183">
        <f>IFERROR(LEFT(K183,             FIND(",", K183) - 1), "-")</f>
        <v/>
      </c>
      <c r="M183">
        <f>IFERROR(MID(K183,             FIND(",", K183) + 1, LEN(K183) - FIND(",", K183)), K183)</f>
        <v/>
      </c>
      <c r="N183" t="n">
        <v>5</v>
      </c>
      <c r="O183" s="2" t="n"/>
      <c r="P183" s="2" t="inlineStr">
        <is>
          <t>09:45</t>
        </is>
      </c>
      <c r="Q183" t="inlineStr">
        <is>
          <t>10:00</t>
        </is>
      </c>
    </row>
    <row r="184">
      <c r="A184" t="inlineStr">
        <is>
          <t>Cuevas Roy</t>
        </is>
      </c>
      <c r="B184" t="inlineStr">
        <is>
          <t>TCNz002PH:Waiting for requests</t>
        </is>
      </c>
      <c r="D184">
        <f>L184</f>
        <v/>
      </c>
      <c r="E184">
        <f>SUMIFS(J:J, G:G,             A184, H:H, B184, L:L, L184)</f>
        <v/>
      </c>
      <c r="F184" t="inlineStr">
        <is>
          <t>PH0016</t>
        </is>
      </c>
      <c r="G184" t="inlineStr">
        <is>
          <t>Cuevas Roy</t>
        </is>
      </c>
      <c r="H184" t="inlineStr">
        <is>
          <t>TCNz002PH:Waiting for requests</t>
        </is>
      </c>
      <c r="I184" s="1" t="n">
        <v>45943</v>
      </c>
      <c r="J184" t="n">
        <v>0.75</v>
      </c>
      <c r="K184" t="inlineStr">
        <is>
          <t>Code review (SMS)</t>
        </is>
      </c>
      <c r="L184">
        <f>IFERROR(LEFT(K184,             FIND(",", K184) - 1), "-")</f>
        <v/>
      </c>
      <c r="M184">
        <f>IFERROR(MID(K184,             FIND(",", K184) + 1, LEN(K184) - FIND(",", K184)), K184)</f>
        <v/>
      </c>
      <c r="N184" t="n">
        <v>5</v>
      </c>
      <c r="O184" s="2" t="n"/>
      <c r="P184" s="2" t="inlineStr">
        <is>
          <t>16:15</t>
        </is>
      </c>
      <c r="Q184" t="inlineStr">
        <is>
          <t>17:00</t>
        </is>
      </c>
    </row>
    <row r="185">
      <c r="A185" t="inlineStr">
        <is>
          <t>Cuevas Roy</t>
        </is>
      </c>
      <c r="B185" t="inlineStr">
        <is>
          <t>TCNz002PH:Waiting for requests</t>
        </is>
      </c>
      <c r="D185">
        <f>L185</f>
        <v/>
      </c>
      <c r="E185">
        <f>SUMIFS(J:J, G:G,             A185, H:H, B185, L:L, L185)</f>
        <v/>
      </c>
      <c r="F185" t="inlineStr">
        <is>
          <t>PH0016</t>
        </is>
      </c>
      <c r="G185" t="inlineStr">
        <is>
          <t>Cuevas Roy</t>
        </is>
      </c>
      <c r="H185" t="inlineStr">
        <is>
          <t>TCNz002PH:Waiting for requests</t>
        </is>
      </c>
      <c r="I185" s="1" t="n">
        <v>45944</v>
      </c>
      <c r="J185" t="n">
        <v>1.5</v>
      </c>
      <c r="K185" t="inlineStr">
        <is>
          <t>Code review (SMS)</t>
        </is>
      </c>
      <c r="L185">
        <f>IFERROR(LEFT(K185,             FIND(",", K185) - 1), "-")</f>
        <v/>
      </c>
      <c r="M185">
        <f>IFERROR(MID(K185,             FIND(",", K185) + 1, LEN(K185) - FIND(",", K185)), K185)</f>
        <v/>
      </c>
      <c r="N185" t="n">
        <v>5</v>
      </c>
      <c r="O185" s="2" t="n"/>
      <c r="P185" s="2" t="inlineStr">
        <is>
          <t>08:00</t>
        </is>
      </c>
      <c r="Q185" t="inlineStr">
        <is>
          <t>09:30</t>
        </is>
      </c>
    </row>
    <row r="186">
      <c r="A186" t="inlineStr">
        <is>
          <t>Cuevas Roy</t>
        </is>
      </c>
      <c r="B186" t="inlineStr">
        <is>
          <t>TCNz002PH:Waiting for requests</t>
        </is>
      </c>
      <c r="D186">
        <f>L186</f>
        <v/>
      </c>
      <c r="E186">
        <f>SUMIFS(J:J, G:G,             A186, H:H, B186, L:L, L186)</f>
        <v/>
      </c>
      <c r="F186" t="inlineStr">
        <is>
          <t>PH0016</t>
        </is>
      </c>
      <c r="G186" t="inlineStr">
        <is>
          <t>Cuevas Roy</t>
        </is>
      </c>
      <c r="H186" t="inlineStr">
        <is>
          <t>TCNz002PH:Waiting for requests</t>
        </is>
      </c>
      <c r="I186" s="1" t="n">
        <v>45944</v>
      </c>
      <c r="J186" t="n">
        <v>1.25</v>
      </c>
      <c r="K186" t="inlineStr">
        <is>
          <t>Code review (SMS)</t>
        </is>
      </c>
      <c r="L186">
        <f>IFERROR(LEFT(K186,             FIND(",", K186) - 1), "-")</f>
        <v/>
      </c>
      <c r="M186">
        <f>IFERROR(MID(K186,             FIND(",", K186) + 1, LEN(K186) - FIND(",", K186)), K186)</f>
        <v/>
      </c>
      <c r="N186" t="n">
        <v>5</v>
      </c>
      <c r="O186" s="2" t="n"/>
      <c r="P186" s="2" t="inlineStr">
        <is>
          <t>09:45</t>
        </is>
      </c>
      <c r="Q186" t="inlineStr">
        <is>
          <t>11:00</t>
        </is>
      </c>
    </row>
    <row r="187">
      <c r="A187" t="inlineStr">
        <is>
          <t>Cuevas Roy</t>
        </is>
      </c>
      <c r="B187" t="inlineStr">
        <is>
          <t>TCNz002PH:Waiting for requests</t>
        </is>
      </c>
      <c r="D187">
        <f>L187</f>
        <v/>
      </c>
      <c r="E187">
        <f>SUMIFS(J:J, G:G,             A187, H:H, B187, L:L, L187)</f>
        <v/>
      </c>
      <c r="F187" t="inlineStr">
        <is>
          <t>PH0016</t>
        </is>
      </c>
      <c r="G187" t="inlineStr">
        <is>
          <t>Cuevas Roy</t>
        </is>
      </c>
      <c r="H187" t="inlineStr">
        <is>
          <t>TCNz002PH:Waiting for requests</t>
        </is>
      </c>
      <c r="I187" s="1" t="n">
        <v>45944</v>
      </c>
      <c r="J187" t="n">
        <v>1.5</v>
      </c>
      <c r="K187" t="inlineStr">
        <is>
          <t>Code review (SMS)</t>
        </is>
      </c>
      <c r="L187">
        <f>IFERROR(LEFT(K187,             FIND(",", K187) - 1), "-")</f>
        <v/>
      </c>
      <c r="M187">
        <f>IFERROR(MID(K187,             FIND(",", K187) + 1, LEN(K187) - FIND(",", K187)), K187)</f>
        <v/>
      </c>
      <c r="N187" t="n">
        <v>5</v>
      </c>
      <c r="O187" s="2" t="n"/>
      <c r="P187" s="2" t="inlineStr">
        <is>
          <t>12:00</t>
        </is>
      </c>
      <c r="Q187" t="inlineStr">
        <is>
          <t>13:30</t>
        </is>
      </c>
    </row>
    <row r="188">
      <c r="A188" t="inlineStr">
        <is>
          <t>Cuevas Roy</t>
        </is>
      </c>
      <c r="B188" t="inlineStr">
        <is>
          <t>TCNz002PH:Waiting for requests</t>
        </is>
      </c>
      <c r="D188">
        <f>L188</f>
        <v/>
      </c>
      <c r="E188">
        <f>SUMIFS(J:J, G:G,             A188, H:H, B188, L:L, L188)</f>
        <v/>
      </c>
      <c r="F188" t="inlineStr">
        <is>
          <t>PH0016</t>
        </is>
      </c>
      <c r="G188" t="inlineStr">
        <is>
          <t>Cuevas Roy</t>
        </is>
      </c>
      <c r="H188" t="inlineStr">
        <is>
          <t>TCNz002PH:Waiting for requests</t>
        </is>
      </c>
      <c r="I188" s="1" t="n">
        <v>45946</v>
      </c>
      <c r="J188" t="n">
        <v>0.75</v>
      </c>
      <c r="K188" t="inlineStr">
        <is>
          <t>Code review (SMS)</t>
        </is>
      </c>
      <c r="L188">
        <f>IFERROR(LEFT(K188,             FIND(",", K188) - 1), "-")</f>
        <v/>
      </c>
      <c r="M188">
        <f>IFERROR(MID(K188,             FIND(",", K188) + 1, LEN(K188) - FIND(",", K188)), K188)</f>
        <v/>
      </c>
      <c r="N188" t="n">
        <v>5</v>
      </c>
      <c r="O188" s="2" t="n"/>
      <c r="P188" s="2" t="inlineStr">
        <is>
          <t>16:15</t>
        </is>
      </c>
      <c r="Q188" t="inlineStr">
        <is>
          <t>17:00</t>
        </is>
      </c>
    </row>
    <row r="189">
      <c r="A189" t="inlineStr">
        <is>
          <t>Cuevas Roy</t>
        </is>
      </c>
      <c r="B189" t="inlineStr">
        <is>
          <t>TCNz002PH:Waiting for requests</t>
        </is>
      </c>
      <c r="D189">
        <f>L189</f>
        <v/>
      </c>
      <c r="E189">
        <f>SUMIFS(J:J, G:G,             A189, H:H, B189, L:L, L189)</f>
        <v/>
      </c>
      <c r="F189" t="inlineStr">
        <is>
          <t>PH0016</t>
        </is>
      </c>
      <c r="G189" t="inlineStr">
        <is>
          <t>Cuevas Roy</t>
        </is>
      </c>
      <c r="H189" t="inlineStr">
        <is>
          <t>TCNz002PH:Waiting for requests</t>
        </is>
      </c>
      <c r="I189" s="1" t="n">
        <v>45953</v>
      </c>
      <c r="J189" t="n">
        <v>1</v>
      </c>
      <c r="K189" t="inlineStr">
        <is>
          <t>Code review (TFrame)</t>
        </is>
      </c>
      <c r="L189">
        <f>IFERROR(LEFT(K189,             FIND(",", K189) - 1), "-")</f>
        <v/>
      </c>
      <c r="M189">
        <f>IFERROR(MID(K189,             FIND(",", K189) + 1, LEN(K189) - FIND(",", K189)), K189)</f>
        <v/>
      </c>
      <c r="N189" t="n">
        <v>5</v>
      </c>
      <c r="O189" s="2" t="n"/>
      <c r="P189" s="2" t="inlineStr">
        <is>
          <t>12:30</t>
        </is>
      </c>
      <c r="Q189" t="inlineStr">
        <is>
          <t>13:30</t>
        </is>
      </c>
    </row>
    <row r="190">
      <c r="A190" t="inlineStr">
        <is>
          <t>Cuevas Roy</t>
        </is>
      </c>
      <c r="B190" t="inlineStr">
        <is>
          <t>TCNz004PH:SMS NewDev</t>
        </is>
      </c>
      <c r="C190">
        <f>SUMIFS(J:J, G:G,             A190, H:H, B190)</f>
        <v/>
      </c>
      <c r="D190">
        <f>L190</f>
        <v/>
      </c>
      <c r="E190">
        <f>SUMIFS(J:J, G:G,             A190, H:H, B190, L:L, L190)</f>
        <v/>
      </c>
      <c r="F190" t="inlineStr">
        <is>
          <t>PH0016</t>
        </is>
      </c>
      <c r="G190" t="inlineStr">
        <is>
          <t>Cuevas Roy</t>
        </is>
      </c>
      <c r="H190" t="inlineStr">
        <is>
          <t>TCNz004PH:SMS NewDev</t>
        </is>
      </c>
      <c r="I190" s="1" t="n">
        <v>45943</v>
      </c>
      <c r="J190" t="n">
        <v>1.5</v>
      </c>
      <c r="K190" t="inlineStr">
        <is>
          <t>TR: 95798</t>
        </is>
      </c>
      <c r="L190">
        <f>IFERROR(LEFT(K190,             FIND(",", K190) - 1), "-")</f>
        <v/>
      </c>
      <c r="M190">
        <f>IFERROR(MID(K190,             FIND(",", K190) + 1, LEN(K190) - FIND(",", K190)), K190)</f>
        <v/>
      </c>
      <c r="O190" s="2" t="n"/>
      <c r="P190" s="2" t="inlineStr">
        <is>
          <t>08:00</t>
        </is>
      </c>
      <c r="Q190" t="inlineStr">
        <is>
          <t>09:30</t>
        </is>
      </c>
    </row>
    <row r="191">
      <c r="A191" t="inlineStr">
        <is>
          <t>Cuevas Roy</t>
        </is>
      </c>
      <c r="B191" t="inlineStr">
        <is>
          <t>TCNz004PH:SMS NewDev</t>
        </is>
      </c>
      <c r="D191">
        <f>L191</f>
        <v/>
      </c>
      <c r="E191">
        <f>SUMIFS(J:J, G:G,             A191, H:H, B191, L:L, L191)</f>
        <v/>
      </c>
      <c r="F191" t="inlineStr">
        <is>
          <t>PH0016</t>
        </is>
      </c>
      <c r="G191" t="inlineStr">
        <is>
          <t>Cuevas Roy</t>
        </is>
      </c>
      <c r="H191" t="inlineStr">
        <is>
          <t>TCNz004PH:SMS NewDev</t>
        </is>
      </c>
      <c r="I191" s="1" t="n">
        <v>45943</v>
      </c>
      <c r="J191" t="n">
        <v>1.25</v>
      </c>
      <c r="K191" t="inlineStr">
        <is>
          <t>TR: 95798</t>
        </is>
      </c>
      <c r="L191">
        <f>IFERROR(LEFT(K191,             FIND(",", K191) - 1), "-")</f>
        <v/>
      </c>
      <c r="M191">
        <f>IFERROR(MID(K191,             FIND(",", K191) + 1, LEN(K191) - FIND(",", K191)), K191)</f>
        <v/>
      </c>
      <c r="O191" s="2" t="n"/>
      <c r="P191" s="2" t="inlineStr">
        <is>
          <t>09:45</t>
        </is>
      </c>
      <c r="Q191" t="inlineStr">
        <is>
          <t>11:00</t>
        </is>
      </c>
    </row>
    <row r="192">
      <c r="A192" t="inlineStr">
        <is>
          <t>Cuevas Roy</t>
        </is>
      </c>
      <c r="B192" t="inlineStr">
        <is>
          <t>TCNz004PH:SMS NewDev</t>
        </is>
      </c>
      <c r="D192">
        <f>L192</f>
        <v/>
      </c>
      <c r="E192">
        <f>SUMIFS(J:J, G:G,             A192, H:H, B192, L:L, L192)</f>
        <v/>
      </c>
      <c r="F192" t="inlineStr">
        <is>
          <t>PH0016</t>
        </is>
      </c>
      <c r="G192" t="inlineStr">
        <is>
          <t>Cuevas Roy</t>
        </is>
      </c>
      <c r="H192" t="inlineStr">
        <is>
          <t>TCNz004PH:SMS NewDev</t>
        </is>
      </c>
      <c r="I192" s="1" t="n">
        <v>45943</v>
      </c>
      <c r="J192" t="n">
        <v>3.25</v>
      </c>
      <c r="K192" t="inlineStr">
        <is>
          <t>TR: 95798</t>
        </is>
      </c>
      <c r="L192">
        <f>IFERROR(LEFT(K192,             FIND(",", K192) - 1), "-")</f>
        <v/>
      </c>
      <c r="M192">
        <f>IFERROR(MID(K192,             FIND(",", K192) + 1, LEN(K192) - FIND(",", K192)), K192)</f>
        <v/>
      </c>
      <c r="O192" s="2" t="n"/>
      <c r="P192" s="2" t="inlineStr">
        <is>
          <t>12:00</t>
        </is>
      </c>
      <c r="Q192" t="inlineStr">
        <is>
          <t>15:15</t>
        </is>
      </c>
    </row>
    <row r="193">
      <c r="A193" t="inlineStr">
        <is>
          <t>Cuevas Roy</t>
        </is>
      </c>
      <c r="B193" t="inlineStr">
        <is>
          <t>TCNz004PH:SMS NewDev</t>
        </is>
      </c>
      <c r="D193">
        <f>L193</f>
        <v/>
      </c>
      <c r="E193">
        <f>SUMIFS(J:J, G:G,             A193, H:H, B193, L:L, L193)</f>
        <v/>
      </c>
      <c r="F193" t="inlineStr">
        <is>
          <t>PH0016</t>
        </is>
      </c>
      <c r="G193" t="inlineStr">
        <is>
          <t>Cuevas Roy</t>
        </is>
      </c>
      <c r="H193" t="inlineStr">
        <is>
          <t>TCNz004PH:SMS NewDev</t>
        </is>
      </c>
      <c r="I193" s="1" t="n">
        <v>45943</v>
      </c>
      <c r="J193" t="n">
        <v>0.75</v>
      </c>
      <c r="K193" t="inlineStr">
        <is>
          <t>TR: 95798</t>
        </is>
      </c>
      <c r="L193">
        <f>IFERROR(LEFT(K193,             FIND(",", K193) - 1), "-")</f>
        <v/>
      </c>
      <c r="M193">
        <f>IFERROR(MID(K193,             FIND(",", K193) + 1, LEN(K193) - FIND(",", K193)), K193)</f>
        <v/>
      </c>
      <c r="O193" s="2" t="n"/>
      <c r="P193" s="2" t="inlineStr">
        <is>
          <t>15:30</t>
        </is>
      </c>
      <c r="Q193" t="inlineStr">
        <is>
          <t>16:15</t>
        </is>
      </c>
    </row>
    <row r="194">
      <c r="A194" t="inlineStr">
        <is>
          <t>Cuevas Roy</t>
        </is>
      </c>
      <c r="B194" t="inlineStr">
        <is>
          <t>TCNz004PH:SMS NewDev</t>
        </is>
      </c>
      <c r="D194">
        <f>L194</f>
        <v/>
      </c>
      <c r="E194">
        <f>SUMIFS(J:J, G:G,             A194, H:H, B194, L:L, L194)</f>
        <v/>
      </c>
      <c r="F194" t="inlineStr">
        <is>
          <t>PH0016</t>
        </is>
      </c>
      <c r="G194" t="inlineStr">
        <is>
          <t>Cuevas Roy</t>
        </is>
      </c>
      <c r="H194" t="inlineStr">
        <is>
          <t>TCNz004PH:SMS NewDev</t>
        </is>
      </c>
      <c r="I194" s="1" t="n">
        <v>45944</v>
      </c>
      <c r="J194" t="n">
        <v>1.75</v>
      </c>
      <c r="K194" t="inlineStr">
        <is>
          <t>TR: 95798</t>
        </is>
      </c>
      <c r="L194">
        <f>IFERROR(LEFT(K194,             FIND(",", K194) - 1), "-")</f>
        <v/>
      </c>
      <c r="M194">
        <f>IFERROR(MID(K194,             FIND(",", K194) + 1, LEN(K194) - FIND(",", K194)), K194)</f>
        <v/>
      </c>
      <c r="O194" s="2" t="n"/>
      <c r="P194" s="2" t="inlineStr">
        <is>
          <t>13:30</t>
        </is>
      </c>
      <c r="Q194" t="inlineStr">
        <is>
          <t>15:15</t>
        </is>
      </c>
    </row>
    <row r="195">
      <c r="A195" t="inlineStr">
        <is>
          <t>Cuevas Roy</t>
        </is>
      </c>
      <c r="B195" t="inlineStr">
        <is>
          <t>TCNz004PH:SMS NewDev</t>
        </is>
      </c>
      <c r="D195">
        <f>L195</f>
        <v/>
      </c>
      <c r="E195">
        <f>SUMIFS(J:J, G:G,             A195, H:H, B195, L:L, L195)</f>
        <v/>
      </c>
      <c r="F195" t="inlineStr">
        <is>
          <t>PH0016</t>
        </is>
      </c>
      <c r="G195" t="inlineStr">
        <is>
          <t>Cuevas Roy</t>
        </is>
      </c>
      <c r="H195" t="inlineStr">
        <is>
          <t>TCNz004PH:SMS NewDev</t>
        </is>
      </c>
      <c r="I195" s="1" t="n">
        <v>45944</v>
      </c>
      <c r="J195" t="n">
        <v>1.5</v>
      </c>
      <c r="K195" t="inlineStr">
        <is>
          <t>TR: 95798</t>
        </is>
      </c>
      <c r="L195">
        <f>IFERROR(LEFT(K195,             FIND(",", K195) - 1), "-")</f>
        <v/>
      </c>
      <c r="M195">
        <f>IFERROR(MID(K195,             FIND(",", K195) + 1, LEN(K195) - FIND(",", K195)), K195)</f>
        <v/>
      </c>
      <c r="O195" s="2" t="n"/>
      <c r="P195" s="2" t="inlineStr">
        <is>
          <t>15:30</t>
        </is>
      </c>
      <c r="Q195" t="inlineStr">
        <is>
          <t>17:00</t>
        </is>
      </c>
    </row>
    <row r="196">
      <c r="A196" t="inlineStr">
        <is>
          <t>Cuevas Roy</t>
        </is>
      </c>
      <c r="B196" t="inlineStr">
        <is>
          <t>TCNz004PH:SMS NewDev</t>
        </is>
      </c>
      <c r="D196">
        <f>L196</f>
        <v/>
      </c>
      <c r="E196">
        <f>SUMIFS(J:J, G:G,             A196, H:H, B196, L:L, L196)</f>
        <v/>
      </c>
      <c r="F196" t="inlineStr">
        <is>
          <t>PH0016</t>
        </is>
      </c>
      <c r="G196" t="inlineStr">
        <is>
          <t>Cuevas Roy</t>
        </is>
      </c>
      <c r="H196" t="inlineStr">
        <is>
          <t>TCNz004PH:SMS NewDev</t>
        </is>
      </c>
      <c r="I196" s="1" t="n">
        <v>45945</v>
      </c>
      <c r="J196" t="n">
        <v>1.5</v>
      </c>
      <c r="K196" t="inlineStr">
        <is>
          <t>TR: 95798</t>
        </is>
      </c>
      <c r="L196">
        <f>IFERROR(LEFT(K196,             FIND(",", K196) - 1), "-")</f>
        <v/>
      </c>
      <c r="M196">
        <f>IFERROR(MID(K196,             FIND(",", K196) + 1, LEN(K196) - FIND(",", K196)), K196)</f>
        <v/>
      </c>
      <c r="O196" s="2" t="n"/>
      <c r="P196" s="2" t="inlineStr">
        <is>
          <t>08:00</t>
        </is>
      </c>
      <c r="Q196" t="inlineStr">
        <is>
          <t>09:30</t>
        </is>
      </c>
    </row>
    <row r="197">
      <c r="A197" t="inlineStr">
        <is>
          <t>Cuevas Roy</t>
        </is>
      </c>
      <c r="B197" t="inlineStr">
        <is>
          <t>TCNz004PH:SMS NewDev</t>
        </is>
      </c>
      <c r="D197">
        <f>L197</f>
        <v/>
      </c>
      <c r="E197">
        <f>SUMIFS(J:J, G:G,             A197, H:H, B197, L:L, L197)</f>
        <v/>
      </c>
      <c r="F197" t="inlineStr">
        <is>
          <t>PH0016</t>
        </is>
      </c>
      <c r="G197" t="inlineStr">
        <is>
          <t>Cuevas Roy</t>
        </is>
      </c>
      <c r="H197" t="inlineStr">
        <is>
          <t>TCNz004PH:SMS NewDev</t>
        </is>
      </c>
      <c r="I197" s="1" t="n">
        <v>45945</v>
      </c>
      <c r="J197" t="n">
        <v>1.25</v>
      </c>
      <c r="K197" t="inlineStr">
        <is>
          <t>TR: 95798</t>
        </is>
      </c>
      <c r="L197">
        <f>IFERROR(LEFT(K197,             FIND(",", K197) - 1), "-")</f>
        <v/>
      </c>
      <c r="M197">
        <f>IFERROR(MID(K197,             FIND(",", K197) + 1, LEN(K197) - FIND(",", K197)), K197)</f>
        <v/>
      </c>
      <c r="O197" s="2" t="n"/>
      <c r="P197" s="2" t="inlineStr">
        <is>
          <t>09:45</t>
        </is>
      </c>
      <c r="Q197" t="inlineStr">
        <is>
          <t>11:00</t>
        </is>
      </c>
    </row>
    <row r="198">
      <c r="A198" t="inlineStr">
        <is>
          <t>Cuevas Roy</t>
        </is>
      </c>
      <c r="B198" t="inlineStr">
        <is>
          <t>TCNz004PH:SMS NewDev</t>
        </is>
      </c>
      <c r="D198">
        <f>L198</f>
        <v/>
      </c>
      <c r="E198">
        <f>SUMIFS(J:J, G:G,             A198, H:H, B198, L:L, L198)</f>
        <v/>
      </c>
      <c r="F198" t="inlineStr">
        <is>
          <t>PH0016</t>
        </is>
      </c>
      <c r="G198" t="inlineStr">
        <is>
          <t>Cuevas Roy</t>
        </is>
      </c>
      <c r="H198" t="inlineStr">
        <is>
          <t>TCNz004PH:SMS NewDev</t>
        </is>
      </c>
      <c r="I198" s="1" t="n">
        <v>45945</v>
      </c>
      <c r="J198" t="n">
        <v>3.25</v>
      </c>
      <c r="K198" t="inlineStr">
        <is>
          <t>TR: 95798</t>
        </is>
      </c>
      <c r="L198">
        <f>IFERROR(LEFT(K198,             FIND(",", K198) - 1), "-")</f>
        <v/>
      </c>
      <c r="M198">
        <f>IFERROR(MID(K198,             FIND(",", K198) + 1, LEN(K198) - FIND(",", K198)), K198)</f>
        <v/>
      </c>
      <c r="O198" s="2" t="n"/>
      <c r="P198" s="2" t="inlineStr">
        <is>
          <t>12:00</t>
        </is>
      </c>
      <c r="Q198" t="inlineStr">
        <is>
          <t>15:15</t>
        </is>
      </c>
    </row>
    <row r="199">
      <c r="A199" t="inlineStr">
        <is>
          <t>Cuevas Roy</t>
        </is>
      </c>
      <c r="B199" t="inlineStr">
        <is>
          <t>TCNz004PH:SMS NewDev</t>
        </is>
      </c>
      <c r="D199">
        <f>L199</f>
        <v/>
      </c>
      <c r="E199">
        <f>SUMIFS(J:J, G:G,             A199, H:H, B199, L:L, L199)</f>
        <v/>
      </c>
      <c r="F199" t="inlineStr">
        <is>
          <t>PH0016</t>
        </is>
      </c>
      <c r="G199" t="inlineStr">
        <is>
          <t>Cuevas Roy</t>
        </is>
      </c>
      <c r="H199" t="inlineStr">
        <is>
          <t>TCNz004PH:SMS NewDev</t>
        </is>
      </c>
      <c r="I199" s="1" t="n">
        <v>45945</v>
      </c>
      <c r="J199" t="n">
        <v>1.5</v>
      </c>
      <c r="K199" t="inlineStr">
        <is>
          <t>TR: 95798</t>
        </is>
      </c>
      <c r="L199">
        <f>IFERROR(LEFT(K199,             FIND(",", K199) - 1), "-")</f>
        <v/>
      </c>
      <c r="M199">
        <f>IFERROR(MID(K199,             FIND(",", K199) + 1, LEN(K199) - FIND(",", K199)), K199)</f>
        <v/>
      </c>
      <c r="O199" s="2" t="n"/>
      <c r="P199" s="2" t="inlineStr">
        <is>
          <t>15:30</t>
        </is>
      </c>
      <c r="Q199" t="inlineStr">
        <is>
          <t>17:00</t>
        </is>
      </c>
    </row>
    <row r="200">
      <c r="A200" t="inlineStr">
        <is>
          <t>Cuevas Roy</t>
        </is>
      </c>
      <c r="B200" t="inlineStr">
        <is>
          <t>TCNz004PH:SMS NewDev</t>
        </is>
      </c>
      <c r="D200">
        <f>L200</f>
        <v/>
      </c>
      <c r="E200">
        <f>SUMIFS(J:J, G:G,             A200, H:H, B200, L:L, L200)</f>
        <v/>
      </c>
      <c r="F200" t="inlineStr">
        <is>
          <t>PH0016</t>
        </is>
      </c>
      <c r="G200" t="inlineStr">
        <is>
          <t>Cuevas Roy</t>
        </is>
      </c>
      <c r="H200" t="inlineStr">
        <is>
          <t>TCNz004PH:SMS NewDev</t>
        </is>
      </c>
      <c r="I200" s="1" t="n">
        <v>45946</v>
      </c>
      <c r="J200" t="n">
        <v>1.5</v>
      </c>
      <c r="K200" t="inlineStr">
        <is>
          <t>TR: 95798</t>
        </is>
      </c>
      <c r="L200">
        <f>IFERROR(LEFT(K200,             FIND(",", K200) - 1), "-")</f>
        <v/>
      </c>
      <c r="M200">
        <f>IFERROR(MID(K200,             FIND(",", K200) + 1, LEN(K200) - FIND(",", K200)), K200)</f>
        <v/>
      </c>
      <c r="P200" t="inlineStr">
        <is>
          <t>08:00</t>
        </is>
      </c>
      <c r="Q200" t="inlineStr">
        <is>
          <t>09:30</t>
        </is>
      </c>
    </row>
    <row r="201">
      <c r="A201" t="inlineStr">
        <is>
          <t>Cuevas Roy</t>
        </is>
      </c>
      <c r="B201" t="inlineStr">
        <is>
          <t>TCNz004PH:SMS NewDev</t>
        </is>
      </c>
      <c r="D201">
        <f>L201</f>
        <v/>
      </c>
      <c r="E201">
        <f>SUMIFS(J:J, G:G,             A201, H:H, B201, L:L, L201)</f>
        <v/>
      </c>
      <c r="F201" t="inlineStr">
        <is>
          <t>PH0016</t>
        </is>
      </c>
      <c r="G201" t="inlineStr">
        <is>
          <t>Cuevas Roy</t>
        </is>
      </c>
      <c r="H201" t="inlineStr">
        <is>
          <t>TCNz004PH:SMS NewDev</t>
        </is>
      </c>
      <c r="I201" s="1" t="n">
        <v>45946</v>
      </c>
      <c r="J201" t="n">
        <v>1.25</v>
      </c>
      <c r="K201" t="inlineStr">
        <is>
          <t>TR: 95798</t>
        </is>
      </c>
      <c r="L201">
        <f>IFERROR(LEFT(K201,             FIND(",", K201) - 1), "-")</f>
        <v/>
      </c>
      <c r="M201">
        <f>IFERROR(MID(K201,             FIND(",", K201) + 1, LEN(K201) - FIND(",", K201)), K201)</f>
        <v/>
      </c>
      <c r="P201" t="inlineStr">
        <is>
          <t>09:45</t>
        </is>
      </c>
      <c r="Q201" t="inlineStr">
        <is>
          <t>11:00</t>
        </is>
      </c>
    </row>
    <row r="202">
      <c r="A202" t="inlineStr">
        <is>
          <t>Cuevas Roy</t>
        </is>
      </c>
      <c r="B202" t="inlineStr">
        <is>
          <t>TCNz004PH:SMS NewDev</t>
        </is>
      </c>
      <c r="D202">
        <f>L202</f>
        <v/>
      </c>
      <c r="E202">
        <f>SUMIFS(J:J, G:G,             A202, H:H, B202, L:L, L202)</f>
        <v/>
      </c>
      <c r="F202" t="inlineStr">
        <is>
          <t>PH0016</t>
        </is>
      </c>
      <c r="G202" t="inlineStr">
        <is>
          <t>Cuevas Roy</t>
        </is>
      </c>
      <c r="H202" t="inlineStr">
        <is>
          <t>TCNz004PH:SMS NewDev</t>
        </is>
      </c>
      <c r="I202" s="1" t="n">
        <v>45946</v>
      </c>
      <c r="J202" t="n">
        <v>3.25</v>
      </c>
      <c r="K202" t="inlineStr">
        <is>
          <t>TR: 95798</t>
        </is>
      </c>
      <c r="L202">
        <f>IFERROR(LEFT(K202,             FIND(",", K202) - 1), "-")</f>
        <v/>
      </c>
      <c r="M202">
        <f>IFERROR(MID(K202,             FIND(",", K202) + 1, LEN(K202) - FIND(",", K202)), K202)</f>
        <v/>
      </c>
      <c r="P202" t="inlineStr">
        <is>
          <t>12:00</t>
        </is>
      </c>
      <c r="Q202" t="inlineStr">
        <is>
          <t>15:15</t>
        </is>
      </c>
    </row>
    <row r="203">
      <c r="A203" t="inlineStr">
        <is>
          <t>Cuevas Roy</t>
        </is>
      </c>
      <c r="B203" t="inlineStr">
        <is>
          <t>TCNz004PH:SMS NewDev</t>
        </is>
      </c>
      <c r="D203">
        <f>L203</f>
        <v/>
      </c>
      <c r="E203">
        <f>SUMIFS(J:J, G:G,             A203, H:H, B203, L:L, L203)</f>
        <v/>
      </c>
      <c r="F203" t="inlineStr">
        <is>
          <t>PH0016</t>
        </is>
      </c>
      <c r="G203" t="inlineStr">
        <is>
          <t>Cuevas Roy</t>
        </is>
      </c>
      <c r="H203" t="inlineStr">
        <is>
          <t>TCNz004PH:SMS NewDev</t>
        </is>
      </c>
      <c r="I203" s="1" t="n">
        <v>45946</v>
      </c>
      <c r="J203" t="n">
        <v>0.75</v>
      </c>
      <c r="K203" t="inlineStr">
        <is>
          <t>TR: 95798</t>
        </is>
      </c>
      <c r="L203">
        <f>IFERROR(LEFT(K203,             FIND(",", K203) - 1), "-")</f>
        <v/>
      </c>
      <c r="M203">
        <f>IFERROR(MID(K203,             FIND(",", K203) + 1, LEN(K203) - FIND(",", K203)), K203)</f>
        <v/>
      </c>
      <c r="P203" t="inlineStr">
        <is>
          <t>15:30</t>
        </is>
      </c>
      <c r="Q203" t="inlineStr">
        <is>
          <t>16:15</t>
        </is>
      </c>
    </row>
    <row r="204">
      <c r="A204" t="inlineStr">
        <is>
          <t>Cuevas Roy</t>
        </is>
      </c>
      <c r="B204" t="inlineStr">
        <is>
          <t>TCNz004PH:SMS NewDev</t>
        </is>
      </c>
      <c r="D204">
        <f>L204</f>
        <v/>
      </c>
      <c r="E204">
        <f>SUMIFS(J:J, G:G,             A204, H:H, B204, L:L, L204)</f>
        <v/>
      </c>
      <c r="F204" t="inlineStr">
        <is>
          <t>PH0016</t>
        </is>
      </c>
      <c r="G204" t="inlineStr">
        <is>
          <t>Cuevas Roy</t>
        </is>
      </c>
      <c r="H204" t="inlineStr">
        <is>
          <t>TCNz004PH:SMS NewDev</t>
        </is>
      </c>
      <c r="I204" s="1" t="n">
        <v>45937</v>
      </c>
      <c r="J204" t="n">
        <v>1</v>
      </c>
      <c r="K204" t="inlineStr">
        <is>
          <t>TR: TCNz004PH</t>
        </is>
      </c>
      <c r="L204">
        <f>IFERROR(LEFT(K204,             FIND(",", K204) - 1), "-")</f>
        <v/>
      </c>
      <c r="M204">
        <f>IFERROR(MID(K204,             FIND(",", K204) + 1, LEN(K204) - FIND(",", K204)), K204)</f>
        <v/>
      </c>
      <c r="P204" t="inlineStr">
        <is>
          <t>10:00</t>
        </is>
      </c>
      <c r="Q204" t="inlineStr">
        <is>
          <t>11:00</t>
        </is>
      </c>
    </row>
    <row r="205">
      <c r="A205" t="inlineStr">
        <is>
          <t>Cuevas Roy</t>
        </is>
      </c>
      <c r="B205" t="inlineStr">
        <is>
          <t>TCNz004PH:SMS NewDev</t>
        </is>
      </c>
      <c r="D205">
        <f>L205</f>
        <v/>
      </c>
      <c r="E205">
        <f>SUMIFS(J:J, G:G,             A205, H:H, B205, L:L, L205)</f>
        <v/>
      </c>
      <c r="F205" t="inlineStr">
        <is>
          <t>PH0016</t>
        </is>
      </c>
      <c r="G205" t="inlineStr">
        <is>
          <t>Cuevas Roy</t>
        </is>
      </c>
      <c r="H205" t="inlineStr">
        <is>
          <t>TCNz004PH:SMS NewDev</t>
        </is>
      </c>
      <c r="I205" s="1" t="n">
        <v>45937</v>
      </c>
      <c r="J205" t="n">
        <v>3.25</v>
      </c>
      <c r="K205" t="inlineStr">
        <is>
          <t>TR: TCNz004PH</t>
        </is>
      </c>
      <c r="L205">
        <f>IFERROR(LEFT(K205,             FIND(",", K205) - 1), "-")</f>
        <v/>
      </c>
      <c r="M205">
        <f>IFERROR(MID(K205,             FIND(",", K205) + 1, LEN(K205) - FIND(",", K205)), K205)</f>
        <v/>
      </c>
      <c r="P205" t="inlineStr">
        <is>
          <t>12:00</t>
        </is>
      </c>
      <c r="Q205" t="inlineStr">
        <is>
          <t>15:15</t>
        </is>
      </c>
    </row>
    <row r="206">
      <c r="A206" t="inlineStr">
        <is>
          <t>Cuevas Roy</t>
        </is>
      </c>
      <c r="B206" t="inlineStr">
        <is>
          <t>TCNz004PH:SMS NewDev</t>
        </is>
      </c>
      <c r="D206">
        <f>L206</f>
        <v/>
      </c>
      <c r="E206">
        <f>SUMIFS(J:J, G:G,             A206, H:H, B206, L:L, L206)</f>
        <v/>
      </c>
      <c r="F206" t="inlineStr">
        <is>
          <t>PH0016</t>
        </is>
      </c>
      <c r="G206" t="inlineStr">
        <is>
          <t>Cuevas Roy</t>
        </is>
      </c>
      <c r="H206" t="inlineStr">
        <is>
          <t>TCNz004PH:SMS NewDev</t>
        </is>
      </c>
      <c r="I206" s="1" t="n">
        <v>45937</v>
      </c>
      <c r="J206" t="n">
        <v>0.5</v>
      </c>
      <c r="K206" t="inlineStr">
        <is>
          <t>TR: TCNz004PH</t>
        </is>
      </c>
      <c r="L206">
        <f>IFERROR(LEFT(K206,             FIND(",", K206) - 1), "-")</f>
        <v/>
      </c>
      <c r="M206">
        <f>IFERROR(MID(K206,             FIND(",", K206) + 1, LEN(K206) - FIND(",", K206)), K206)</f>
        <v/>
      </c>
      <c r="P206" t="inlineStr">
        <is>
          <t>15:30</t>
        </is>
      </c>
      <c r="Q206" t="inlineStr">
        <is>
          <t>16:00</t>
        </is>
      </c>
    </row>
    <row r="207">
      <c r="A207" t="inlineStr">
        <is>
          <t>Cuevas Roy</t>
        </is>
      </c>
      <c r="B207" t="inlineStr">
        <is>
          <t>TCNz004PH:SMS NewDev</t>
        </is>
      </c>
      <c r="D207">
        <f>L207</f>
        <v/>
      </c>
      <c r="E207">
        <f>SUMIFS(J:J, G:G,             A207, H:H, B207, L:L, L207)</f>
        <v/>
      </c>
      <c r="F207" t="inlineStr">
        <is>
          <t>PH0016</t>
        </is>
      </c>
      <c r="G207" t="inlineStr">
        <is>
          <t>Cuevas Roy</t>
        </is>
      </c>
      <c r="H207" t="inlineStr">
        <is>
          <t>TCNz004PH:SMS NewDev</t>
        </is>
      </c>
      <c r="I207" s="1" t="n">
        <v>45937</v>
      </c>
      <c r="J207" t="n">
        <v>0.25</v>
      </c>
      <c r="K207" t="inlineStr">
        <is>
          <t>TR: TCNz004PH</t>
        </is>
      </c>
      <c r="L207">
        <f>IFERROR(LEFT(K207,             FIND(",", K207) - 1), "-")</f>
        <v/>
      </c>
      <c r="M207">
        <f>IFERROR(MID(K207,             FIND(",", K207) + 1, LEN(K207) - FIND(",", K207)), K207)</f>
        <v/>
      </c>
      <c r="P207" t="inlineStr">
        <is>
          <t>16:45</t>
        </is>
      </c>
      <c r="Q207" t="inlineStr">
        <is>
          <t>17:00</t>
        </is>
      </c>
    </row>
    <row r="208">
      <c r="A208" t="inlineStr">
        <is>
          <t>Cuevas Roy</t>
        </is>
      </c>
      <c r="B208" t="inlineStr">
        <is>
          <t>TCNz004PH:SMS NewDev</t>
        </is>
      </c>
      <c r="D208">
        <f>L208</f>
        <v/>
      </c>
      <c r="E208">
        <f>SUMIFS(J:J, G:G,             A208, H:H, B208, L:L, L208)</f>
        <v/>
      </c>
      <c r="F208" t="inlineStr">
        <is>
          <t>PH0016</t>
        </is>
      </c>
      <c r="G208" t="inlineStr">
        <is>
          <t>Cuevas Roy</t>
        </is>
      </c>
      <c r="H208" t="inlineStr">
        <is>
          <t>TCNz004PH:SMS NewDev</t>
        </is>
      </c>
      <c r="I208" s="1" t="n">
        <v>45938</v>
      </c>
      <c r="J208" t="n">
        <v>1.5</v>
      </c>
      <c r="K208" t="inlineStr">
        <is>
          <t>TR: TCNz004PH</t>
        </is>
      </c>
      <c r="L208">
        <f>IFERROR(LEFT(K208,             FIND(",", K208) - 1), "-")</f>
        <v/>
      </c>
      <c r="M208">
        <f>IFERROR(MID(K208,             FIND(",", K208) + 1, LEN(K208) - FIND(",", K208)), K208)</f>
        <v/>
      </c>
      <c r="P208" t="inlineStr">
        <is>
          <t>08:00</t>
        </is>
      </c>
      <c r="Q208" t="inlineStr">
        <is>
          <t>09:30</t>
        </is>
      </c>
    </row>
    <row r="209">
      <c r="A209" t="inlineStr">
        <is>
          <t>Cuevas Roy</t>
        </is>
      </c>
      <c r="B209" t="inlineStr">
        <is>
          <t>TCNz004PH:SMS NewDev</t>
        </is>
      </c>
      <c r="D209">
        <f>L209</f>
        <v/>
      </c>
      <c r="E209">
        <f>SUMIFS(J:J, G:G,             A209, H:H, B209, L:L, L209)</f>
        <v/>
      </c>
      <c r="F209" t="inlineStr">
        <is>
          <t>PH0016</t>
        </is>
      </c>
      <c r="G209" t="inlineStr">
        <is>
          <t>Cuevas Roy</t>
        </is>
      </c>
      <c r="H209" t="inlineStr">
        <is>
          <t>TCNz004PH:SMS NewDev</t>
        </is>
      </c>
      <c r="I209" s="1" t="n">
        <v>45938</v>
      </c>
      <c r="J209" t="n">
        <v>1.25</v>
      </c>
      <c r="K209" t="inlineStr">
        <is>
          <t>TR: TCNz004PH</t>
        </is>
      </c>
      <c r="L209">
        <f>IFERROR(LEFT(K209,             FIND(",", K209) - 1), "-")</f>
        <v/>
      </c>
      <c r="M209">
        <f>IFERROR(MID(K209,             FIND(",", K209) + 1, LEN(K209) - FIND(",", K209)), K209)</f>
        <v/>
      </c>
      <c r="P209" t="inlineStr">
        <is>
          <t>09:45</t>
        </is>
      </c>
      <c r="Q209" t="inlineStr">
        <is>
          <t>11:00</t>
        </is>
      </c>
    </row>
    <row r="210">
      <c r="A210" t="inlineStr">
        <is>
          <t>Cuevas Roy</t>
        </is>
      </c>
      <c r="B210" t="inlineStr">
        <is>
          <t>TCNz004PH:SMS NewDev</t>
        </is>
      </c>
      <c r="D210">
        <f>L210</f>
        <v/>
      </c>
      <c r="E210">
        <f>SUMIFS(J:J, G:G,             A210, H:H, B210, L:L, L210)</f>
        <v/>
      </c>
      <c r="F210" t="inlineStr">
        <is>
          <t>PH0016</t>
        </is>
      </c>
      <c r="G210" t="inlineStr">
        <is>
          <t>Cuevas Roy</t>
        </is>
      </c>
      <c r="H210" t="inlineStr">
        <is>
          <t>TCNz004PH:SMS NewDev</t>
        </is>
      </c>
      <c r="I210" s="1" t="n">
        <v>45938</v>
      </c>
      <c r="J210" t="n">
        <v>3.25</v>
      </c>
      <c r="K210" t="inlineStr">
        <is>
          <t>TR: TCNz004PH</t>
        </is>
      </c>
      <c r="L210">
        <f>IFERROR(LEFT(K210,             FIND(",", K210) - 1), "-")</f>
        <v/>
      </c>
      <c r="M210">
        <f>IFERROR(MID(K210,             FIND(",", K210) + 1, LEN(K210) - FIND(",", K210)), K210)</f>
        <v/>
      </c>
      <c r="P210" t="inlineStr">
        <is>
          <t>12:00</t>
        </is>
      </c>
      <c r="Q210" t="inlineStr">
        <is>
          <t>15:15</t>
        </is>
      </c>
    </row>
    <row r="211">
      <c r="A211" t="inlineStr">
        <is>
          <t>Cuevas Roy</t>
        </is>
      </c>
      <c r="B211" t="inlineStr">
        <is>
          <t>TCNz004PH:SMS NewDev</t>
        </is>
      </c>
      <c r="D211">
        <f>L211</f>
        <v/>
      </c>
      <c r="E211">
        <f>SUMIFS(J:J, G:G,             A211, H:H, B211, L:L, L211)</f>
        <v/>
      </c>
      <c r="F211" t="inlineStr">
        <is>
          <t>PH0016</t>
        </is>
      </c>
      <c r="G211" t="inlineStr">
        <is>
          <t>Cuevas Roy</t>
        </is>
      </c>
      <c r="H211" t="inlineStr">
        <is>
          <t>TCNz004PH:SMS NewDev</t>
        </is>
      </c>
      <c r="I211" s="1" t="n">
        <v>45938</v>
      </c>
      <c r="J211" t="n">
        <v>1.5</v>
      </c>
      <c r="K211" t="inlineStr">
        <is>
          <t>TR: TCNz004PH</t>
        </is>
      </c>
      <c r="L211">
        <f>IFERROR(LEFT(K211,             FIND(",", K211) - 1), "-")</f>
        <v/>
      </c>
      <c r="M211">
        <f>IFERROR(MID(K211,             FIND(",", K211) + 1, LEN(K211) - FIND(",", K211)), K211)</f>
        <v/>
      </c>
      <c r="P211" t="inlineStr">
        <is>
          <t>15:30</t>
        </is>
      </c>
      <c r="Q211" t="inlineStr">
        <is>
          <t>17:00</t>
        </is>
      </c>
    </row>
    <row r="212">
      <c r="A212" t="inlineStr">
        <is>
          <t>Cuevas Roy</t>
        </is>
      </c>
      <c r="B212" t="inlineStr">
        <is>
          <t>TCNz004PH:SMS NewDev</t>
        </is>
      </c>
      <c r="D212">
        <f>L212</f>
        <v/>
      </c>
      <c r="E212">
        <f>SUMIFS(J:J, G:G,             A212, H:H, B212, L:L, L212)</f>
        <v/>
      </c>
      <c r="F212" t="inlineStr">
        <is>
          <t>PH0016</t>
        </is>
      </c>
      <c r="G212" t="inlineStr">
        <is>
          <t>Cuevas Roy</t>
        </is>
      </c>
      <c r="H212" t="inlineStr">
        <is>
          <t>TCNz004PH:SMS NewDev</t>
        </is>
      </c>
      <c r="I212" s="1" t="n">
        <v>45939</v>
      </c>
      <c r="J212" t="n">
        <v>1.5</v>
      </c>
      <c r="K212" t="inlineStr">
        <is>
          <t>TR: TCNz004PH</t>
        </is>
      </c>
      <c r="L212">
        <f>IFERROR(LEFT(K212,             FIND(",", K212) - 1), "-")</f>
        <v/>
      </c>
      <c r="M212">
        <f>IFERROR(MID(K212,             FIND(",", K212) + 1, LEN(K212) - FIND(",", K212)), K212)</f>
        <v/>
      </c>
      <c r="P212" t="inlineStr">
        <is>
          <t>08:00</t>
        </is>
      </c>
      <c r="Q212" t="inlineStr">
        <is>
          <t>09:30</t>
        </is>
      </c>
    </row>
    <row r="213">
      <c r="A213" t="inlineStr">
        <is>
          <t>Cuevas Roy</t>
        </is>
      </c>
      <c r="B213" t="inlineStr">
        <is>
          <t>TCNz004PH:SMS NewDev</t>
        </is>
      </c>
      <c r="D213">
        <f>L213</f>
        <v/>
      </c>
      <c r="E213">
        <f>SUMIFS(J:J, G:G,             A213, H:H, B213, L:L, L213)</f>
        <v/>
      </c>
      <c r="F213" t="inlineStr">
        <is>
          <t>PH0016</t>
        </is>
      </c>
      <c r="G213" t="inlineStr">
        <is>
          <t>Cuevas Roy</t>
        </is>
      </c>
      <c r="H213" t="inlineStr">
        <is>
          <t>TCNz004PH:SMS NewDev</t>
        </is>
      </c>
      <c r="I213" s="1" t="n">
        <v>45939</v>
      </c>
      <c r="J213" t="n">
        <v>1.25</v>
      </c>
      <c r="K213" t="inlineStr">
        <is>
          <t>TR: TCNz004PH</t>
        </is>
      </c>
      <c r="L213">
        <f>IFERROR(LEFT(K213,             FIND(",", K213) - 1), "-")</f>
        <v/>
      </c>
      <c r="M213">
        <f>IFERROR(MID(K213,             FIND(",", K213) + 1, LEN(K213) - FIND(",", K213)), K213)</f>
        <v/>
      </c>
      <c r="P213" t="inlineStr">
        <is>
          <t>09:45</t>
        </is>
      </c>
      <c r="Q213" t="inlineStr">
        <is>
          <t>11:00</t>
        </is>
      </c>
    </row>
    <row r="214">
      <c r="A214" t="inlineStr">
        <is>
          <t>Cuevas Roy</t>
        </is>
      </c>
      <c r="B214" t="inlineStr">
        <is>
          <t>TCNz004PH:SMS NewDev</t>
        </is>
      </c>
      <c r="D214">
        <f>L214</f>
        <v/>
      </c>
      <c r="E214">
        <f>SUMIFS(J:J, G:G,             A214, H:H, B214, L:L, L214)</f>
        <v/>
      </c>
      <c r="F214" t="inlineStr">
        <is>
          <t>PH0016</t>
        </is>
      </c>
      <c r="G214" t="inlineStr">
        <is>
          <t>Cuevas Roy</t>
        </is>
      </c>
      <c r="H214" t="inlineStr">
        <is>
          <t>TCNz004PH:SMS NewDev</t>
        </is>
      </c>
      <c r="I214" s="1" t="n">
        <v>45939</v>
      </c>
      <c r="J214" t="n">
        <v>3.25</v>
      </c>
      <c r="K214" t="inlineStr">
        <is>
          <t>TR: TCNz004PH</t>
        </is>
      </c>
      <c r="L214">
        <f>IFERROR(LEFT(K214,             FIND(",", K214) - 1), "-")</f>
        <v/>
      </c>
      <c r="M214">
        <f>IFERROR(MID(K214,             FIND(",", K214) + 1, LEN(K214) - FIND(",", K214)), K214)</f>
        <v/>
      </c>
      <c r="P214" t="inlineStr">
        <is>
          <t>12:00</t>
        </is>
      </c>
      <c r="Q214" t="inlineStr">
        <is>
          <t>15:15</t>
        </is>
      </c>
    </row>
    <row r="215">
      <c r="A215" t="inlineStr">
        <is>
          <t>Cuevas Roy</t>
        </is>
      </c>
      <c r="B215" t="inlineStr">
        <is>
          <t>TCNz004PH:SMS NewDev</t>
        </is>
      </c>
      <c r="D215">
        <f>L215</f>
        <v/>
      </c>
      <c r="E215">
        <f>SUMIFS(J:J, G:G,             A215, H:H, B215, L:L, L215)</f>
        <v/>
      </c>
      <c r="F215" t="inlineStr">
        <is>
          <t>PH0016</t>
        </is>
      </c>
      <c r="G215" t="inlineStr">
        <is>
          <t>Cuevas Roy</t>
        </is>
      </c>
      <c r="H215" t="inlineStr">
        <is>
          <t>TCNz004PH:SMS NewDev</t>
        </is>
      </c>
      <c r="I215" s="1" t="n">
        <v>45939</v>
      </c>
      <c r="J215" t="n">
        <v>1.5</v>
      </c>
      <c r="K215" t="inlineStr">
        <is>
          <t>TR: TCNz004PH</t>
        </is>
      </c>
      <c r="L215">
        <f>IFERROR(LEFT(K215,             FIND(",", K215) - 1), "-")</f>
        <v/>
      </c>
      <c r="M215">
        <f>IFERROR(MID(K215,             FIND(",", K215) + 1, LEN(K215) - FIND(",", K215)), K215)</f>
        <v/>
      </c>
      <c r="P215" t="inlineStr">
        <is>
          <t>15:30</t>
        </is>
      </c>
      <c r="Q215" t="inlineStr">
        <is>
          <t>17:00</t>
        </is>
      </c>
    </row>
    <row r="216">
      <c r="A216" t="inlineStr">
        <is>
          <t>Cuevas Roy</t>
        </is>
      </c>
      <c r="B216" t="inlineStr">
        <is>
          <t>TCNz004PH:SMS NewDev</t>
        </is>
      </c>
      <c r="D216">
        <f>L216</f>
        <v/>
      </c>
      <c r="E216">
        <f>SUMIFS(J:J, G:G,             A216, H:H, B216, L:L, L216)</f>
        <v/>
      </c>
      <c r="F216" t="inlineStr">
        <is>
          <t>PH0016</t>
        </is>
      </c>
      <c r="G216" t="inlineStr">
        <is>
          <t>Cuevas Roy</t>
        </is>
      </c>
      <c r="H216" t="inlineStr">
        <is>
          <t>TCNz004PH:SMS NewDev</t>
        </is>
      </c>
      <c r="I216" s="1" t="n">
        <v>45940</v>
      </c>
      <c r="J216" t="n">
        <v>1.5</v>
      </c>
      <c r="K216" t="inlineStr">
        <is>
          <t>TR: TCNz004PH</t>
        </is>
      </c>
      <c r="L216">
        <f>IFERROR(LEFT(K216,             FIND(",", K216) - 1), "-")</f>
        <v/>
      </c>
      <c r="M216">
        <f>IFERROR(MID(K216,             FIND(",", K216) + 1, LEN(K216) - FIND(",", K216)), K216)</f>
        <v/>
      </c>
      <c r="P216" t="inlineStr">
        <is>
          <t>08:00</t>
        </is>
      </c>
      <c r="Q216" t="inlineStr">
        <is>
          <t>09:30</t>
        </is>
      </c>
    </row>
    <row r="217">
      <c r="A217" t="inlineStr">
        <is>
          <t>Cuevas Roy</t>
        </is>
      </c>
      <c r="B217" t="inlineStr">
        <is>
          <t>TCNz004PH:SMS NewDev</t>
        </is>
      </c>
      <c r="D217">
        <f>L217</f>
        <v/>
      </c>
      <c r="E217">
        <f>SUMIFS(J:J, G:G,             A217, H:H, B217, L:L, L217)</f>
        <v/>
      </c>
      <c r="F217" t="inlineStr">
        <is>
          <t>PH0016</t>
        </is>
      </c>
      <c r="G217" t="inlineStr">
        <is>
          <t>Cuevas Roy</t>
        </is>
      </c>
      <c r="H217" t="inlineStr">
        <is>
          <t>TCNz004PH:SMS NewDev</t>
        </is>
      </c>
      <c r="I217" s="1" t="n">
        <v>45940</v>
      </c>
      <c r="J217" t="n">
        <v>1.25</v>
      </c>
      <c r="K217" t="inlineStr">
        <is>
          <t>TR: TCNz004PH</t>
        </is>
      </c>
      <c r="L217">
        <f>IFERROR(LEFT(K217,             FIND(",", K217) - 1), "-")</f>
        <v/>
      </c>
      <c r="M217">
        <f>IFERROR(MID(K217,             FIND(",", K217) + 1, LEN(K217) - FIND(",", K217)), K217)</f>
        <v/>
      </c>
      <c r="P217" t="inlineStr">
        <is>
          <t>09:45</t>
        </is>
      </c>
      <c r="Q217" t="inlineStr">
        <is>
          <t>11:00</t>
        </is>
      </c>
    </row>
    <row r="218">
      <c r="A218" t="inlineStr">
        <is>
          <t>Cuevas Roy</t>
        </is>
      </c>
      <c r="B218" t="inlineStr">
        <is>
          <t>TCNz004PH:SMS NewDev</t>
        </is>
      </c>
      <c r="D218">
        <f>L218</f>
        <v/>
      </c>
      <c r="E218">
        <f>SUMIFS(J:J, G:G,             A218, H:H, B218, L:L, L218)</f>
        <v/>
      </c>
      <c r="F218" t="inlineStr">
        <is>
          <t>PH0016</t>
        </is>
      </c>
      <c r="G218" t="inlineStr">
        <is>
          <t>Cuevas Roy</t>
        </is>
      </c>
      <c r="H218" t="inlineStr">
        <is>
          <t>TCNz004PH:SMS NewDev</t>
        </is>
      </c>
      <c r="I218" s="1" t="n">
        <v>45940</v>
      </c>
      <c r="J218" t="n">
        <v>1</v>
      </c>
      <c r="K218" t="inlineStr">
        <is>
          <t>TR: TCNz004PH</t>
        </is>
      </c>
      <c r="L218">
        <f>IFERROR(LEFT(K218,             FIND(",", K218) - 1), "-")</f>
        <v/>
      </c>
      <c r="M218">
        <f>IFERROR(MID(K218,             FIND(",", K218) + 1, LEN(K218) - FIND(",", K218)), K218)</f>
        <v/>
      </c>
      <c r="P218" t="inlineStr">
        <is>
          <t>12:00</t>
        </is>
      </c>
      <c r="Q218" t="inlineStr">
        <is>
          <t>13:00</t>
        </is>
      </c>
    </row>
    <row r="219">
      <c r="A219" t="inlineStr">
        <is>
          <t>Cuevas Roy</t>
        </is>
      </c>
      <c r="B219" t="inlineStr">
        <is>
          <t>TCNz004PH:SMS NewDev</t>
        </is>
      </c>
      <c r="D219">
        <f>L219</f>
        <v/>
      </c>
      <c r="E219">
        <f>SUMIFS(J:J, G:G,             A219, H:H, B219, L:L, L219)</f>
        <v/>
      </c>
      <c r="F219" t="inlineStr">
        <is>
          <t>PH0016</t>
        </is>
      </c>
      <c r="G219" t="inlineStr">
        <is>
          <t>Cuevas Roy</t>
        </is>
      </c>
      <c r="H219" t="inlineStr">
        <is>
          <t>TCNz004PH:SMS NewDev</t>
        </is>
      </c>
      <c r="I219" s="1" t="n">
        <v>45933</v>
      </c>
      <c r="J219" t="n">
        <v>0.75</v>
      </c>
      <c r="L219">
        <f>IFERROR(LEFT(K219,             FIND(",", K219) - 1), "-")</f>
        <v/>
      </c>
      <c r="M219">
        <f>IFERROR(MID(K219,             FIND(",", K219) + 1, LEN(K219) - FIND(",", K219)), K219)</f>
        <v/>
      </c>
      <c r="P219" t="inlineStr">
        <is>
          <t>13:30</t>
        </is>
      </c>
      <c r="Q219" t="inlineStr">
        <is>
          <t>14:15</t>
        </is>
      </c>
    </row>
    <row r="220">
      <c r="A220" t="inlineStr">
        <is>
          <t>Cuevas Roy</t>
        </is>
      </c>
      <c r="B220" t="inlineStr">
        <is>
          <t>TCNz004PH:SMS NewDev</t>
        </is>
      </c>
      <c r="D220">
        <f>L220</f>
        <v/>
      </c>
      <c r="E220">
        <f>SUMIFS(J:J, G:G,             A220, H:H, B220, L:L, L220)</f>
        <v/>
      </c>
      <c r="F220" t="inlineStr">
        <is>
          <t>PH0016</t>
        </is>
      </c>
      <c r="G220" t="inlineStr">
        <is>
          <t>Cuevas Roy</t>
        </is>
      </c>
      <c r="H220" t="inlineStr">
        <is>
          <t>TCNz004PH:SMS NewDev</t>
        </is>
      </c>
      <c r="I220" s="1" t="n">
        <v>45950</v>
      </c>
      <c r="J220" t="n">
        <v>0.5</v>
      </c>
      <c r="L220">
        <f>IFERROR(LEFT(K220,             FIND(",", K220) - 1), "-")</f>
        <v/>
      </c>
      <c r="M220">
        <f>IFERROR(MID(K220,             FIND(",", K220) + 1, LEN(K220) - FIND(",", K220)), K220)</f>
        <v/>
      </c>
      <c r="P220" t="inlineStr">
        <is>
          <t>09:00</t>
        </is>
      </c>
      <c r="Q220" t="inlineStr">
        <is>
          <t>09:30</t>
        </is>
      </c>
    </row>
    <row r="221">
      <c r="A221" t="inlineStr">
        <is>
          <t>Cuevas Roy</t>
        </is>
      </c>
      <c r="B221" t="inlineStr">
        <is>
          <t>TCNz004PH:SMS NewDev</t>
        </is>
      </c>
      <c r="D221">
        <f>L221</f>
        <v/>
      </c>
      <c r="E221">
        <f>SUMIFS(J:J, G:G,             A221, H:H, B221, L:L, L221)</f>
        <v/>
      </c>
      <c r="F221" t="inlineStr">
        <is>
          <t>PH0016</t>
        </is>
      </c>
      <c r="G221" t="inlineStr">
        <is>
          <t>Cuevas Roy</t>
        </is>
      </c>
      <c r="H221" t="inlineStr">
        <is>
          <t>TCNz004PH:SMS NewDev</t>
        </is>
      </c>
      <c r="I221" s="1" t="n">
        <v>45950</v>
      </c>
      <c r="J221" t="n">
        <v>1.25</v>
      </c>
      <c r="L221">
        <f>IFERROR(LEFT(K221,             FIND(",", K221) - 1), "-")</f>
        <v/>
      </c>
      <c r="M221">
        <f>IFERROR(MID(K221,             FIND(",", K221) + 1, LEN(K221) - FIND(",", K221)), K221)</f>
        <v/>
      </c>
      <c r="P221" t="inlineStr">
        <is>
          <t>09:45</t>
        </is>
      </c>
      <c r="Q221" t="inlineStr">
        <is>
          <t>11:00</t>
        </is>
      </c>
    </row>
    <row r="222">
      <c r="A222" t="inlineStr">
        <is>
          <t>Cuevas Roy</t>
        </is>
      </c>
      <c r="B222" t="inlineStr">
        <is>
          <t>TCNz004PH:SMS NewDev</t>
        </is>
      </c>
      <c r="D222">
        <f>L222</f>
        <v/>
      </c>
      <c r="E222">
        <f>SUMIFS(J:J, G:G,             A222, H:H, B222, L:L, L222)</f>
        <v/>
      </c>
      <c r="F222" t="inlineStr">
        <is>
          <t>PH0016</t>
        </is>
      </c>
      <c r="G222" t="inlineStr">
        <is>
          <t>Cuevas Roy</t>
        </is>
      </c>
      <c r="H222" t="inlineStr">
        <is>
          <t>TCNz004PH:SMS NewDev</t>
        </is>
      </c>
      <c r="I222" s="1" t="n">
        <v>45950</v>
      </c>
      <c r="J222" t="n">
        <v>3.25</v>
      </c>
      <c r="L222">
        <f>IFERROR(LEFT(K222,             FIND(",", K222) - 1), "-")</f>
        <v/>
      </c>
      <c r="M222">
        <f>IFERROR(MID(K222,             FIND(",", K222) + 1, LEN(K222) - FIND(",", K222)), K222)</f>
        <v/>
      </c>
      <c r="P222" t="inlineStr">
        <is>
          <t>12:00</t>
        </is>
      </c>
      <c r="Q222" t="inlineStr">
        <is>
          <t>15:15</t>
        </is>
      </c>
    </row>
    <row r="223">
      <c r="A223" t="inlineStr">
        <is>
          <t>Cuevas Roy</t>
        </is>
      </c>
      <c r="B223" t="inlineStr">
        <is>
          <t>TCNz004PH:SMS NewDev</t>
        </is>
      </c>
      <c r="D223">
        <f>L223</f>
        <v/>
      </c>
      <c r="E223">
        <f>SUMIFS(J:J, G:G,             A223, H:H, B223, L:L, L223)</f>
        <v/>
      </c>
      <c r="F223" t="inlineStr">
        <is>
          <t>PH0016</t>
        </is>
      </c>
      <c r="G223" t="inlineStr">
        <is>
          <t>Cuevas Roy</t>
        </is>
      </c>
      <c r="H223" t="inlineStr">
        <is>
          <t>TCNz004PH:SMS NewDev</t>
        </is>
      </c>
      <c r="I223" s="1" t="n">
        <v>45950</v>
      </c>
      <c r="J223" t="n">
        <v>1.5</v>
      </c>
      <c r="L223">
        <f>IFERROR(LEFT(K223,             FIND(",", K223) - 1), "-")</f>
        <v/>
      </c>
      <c r="M223">
        <f>IFERROR(MID(K223,             FIND(",", K223) + 1, LEN(K223) - FIND(",", K223)), K223)</f>
        <v/>
      </c>
      <c r="P223" t="inlineStr">
        <is>
          <t>15:30</t>
        </is>
      </c>
      <c r="Q223" t="inlineStr">
        <is>
          <t>17:00</t>
        </is>
      </c>
    </row>
    <row r="224">
      <c r="A224" t="inlineStr">
        <is>
          <t>Cuevas Roy</t>
        </is>
      </c>
      <c r="B224" t="inlineStr">
        <is>
          <t>TCNz004PH:SMS NewDev</t>
        </is>
      </c>
      <c r="D224">
        <f>L224</f>
        <v/>
      </c>
      <c r="E224">
        <f>SUMIFS(J:J, G:G,             A224, H:H, B224, L:L, L224)</f>
        <v/>
      </c>
      <c r="F224" t="inlineStr">
        <is>
          <t>PH0016</t>
        </is>
      </c>
      <c r="G224" t="inlineStr">
        <is>
          <t>Cuevas Roy</t>
        </is>
      </c>
      <c r="H224" t="inlineStr">
        <is>
          <t>TCNz004PH:SMS NewDev</t>
        </is>
      </c>
      <c r="I224" s="1" t="n">
        <v>45951</v>
      </c>
      <c r="J224" t="n">
        <v>1.5</v>
      </c>
      <c r="L224">
        <f>IFERROR(LEFT(K224,             FIND(",", K224) - 1), "-")</f>
        <v/>
      </c>
      <c r="M224">
        <f>IFERROR(MID(K224,             FIND(",", K224) + 1, LEN(K224) - FIND(",", K224)), K224)</f>
        <v/>
      </c>
      <c r="P224" t="inlineStr">
        <is>
          <t>08:00</t>
        </is>
      </c>
      <c r="Q224" t="inlineStr">
        <is>
          <t>09:30</t>
        </is>
      </c>
    </row>
    <row r="225">
      <c r="A225" t="inlineStr">
        <is>
          <t>Cuevas Roy</t>
        </is>
      </c>
      <c r="B225" t="inlineStr">
        <is>
          <t>TCNz004PH:SMS NewDev</t>
        </is>
      </c>
      <c r="D225">
        <f>L225</f>
        <v/>
      </c>
      <c r="E225">
        <f>SUMIFS(J:J, G:G,             A225, H:H, B225, L:L, L225)</f>
        <v/>
      </c>
      <c r="F225" t="inlineStr">
        <is>
          <t>PH0016</t>
        </is>
      </c>
      <c r="G225" t="inlineStr">
        <is>
          <t>Cuevas Roy</t>
        </is>
      </c>
      <c r="H225" t="inlineStr">
        <is>
          <t>TCNz004PH:SMS NewDev</t>
        </is>
      </c>
      <c r="I225" s="1" t="n">
        <v>45951</v>
      </c>
      <c r="J225" t="n">
        <v>1.25</v>
      </c>
      <c r="L225">
        <f>IFERROR(LEFT(K225,             FIND(",", K225) - 1), "-")</f>
        <v/>
      </c>
      <c r="M225">
        <f>IFERROR(MID(K225,             FIND(",", K225) + 1, LEN(K225) - FIND(",", K225)), K225)</f>
        <v/>
      </c>
      <c r="P225" t="inlineStr">
        <is>
          <t>09:45</t>
        </is>
      </c>
      <c r="Q225" t="inlineStr">
        <is>
          <t>11:00</t>
        </is>
      </c>
    </row>
    <row r="226">
      <c r="A226" t="inlineStr">
        <is>
          <t>Cuevas Roy</t>
        </is>
      </c>
      <c r="B226" t="inlineStr">
        <is>
          <t>TCNz004PH:SMS NewDev</t>
        </is>
      </c>
      <c r="D226">
        <f>L226</f>
        <v/>
      </c>
      <c r="E226">
        <f>SUMIFS(J:J, G:G,             A226, H:H, B226, L:L, L226)</f>
        <v/>
      </c>
      <c r="F226" t="inlineStr">
        <is>
          <t>PH0016</t>
        </is>
      </c>
      <c r="G226" t="inlineStr">
        <is>
          <t>Cuevas Roy</t>
        </is>
      </c>
      <c r="H226" t="inlineStr">
        <is>
          <t>TCNz004PH:SMS NewDev</t>
        </is>
      </c>
      <c r="I226" s="1" t="n">
        <v>45951</v>
      </c>
      <c r="J226" t="n">
        <v>3.25</v>
      </c>
      <c r="L226">
        <f>IFERROR(LEFT(K226,             FIND(",", K226) - 1), "-")</f>
        <v/>
      </c>
      <c r="M226">
        <f>IFERROR(MID(K226,             FIND(",", K226) + 1, LEN(K226) - FIND(",", K226)), K226)</f>
        <v/>
      </c>
      <c r="P226" t="inlineStr">
        <is>
          <t>12:00</t>
        </is>
      </c>
      <c r="Q226" t="inlineStr">
        <is>
          <t>15:15</t>
        </is>
      </c>
    </row>
    <row r="227">
      <c r="A227" t="inlineStr">
        <is>
          <t>Cuevas Roy</t>
        </is>
      </c>
      <c r="B227" t="inlineStr">
        <is>
          <t>TCNz004PH:SMS NewDev</t>
        </is>
      </c>
      <c r="D227">
        <f>L227</f>
        <v/>
      </c>
      <c r="E227">
        <f>SUMIFS(J:J, G:G,             A227, H:H, B227, L:L, L227)</f>
        <v/>
      </c>
      <c r="F227" t="inlineStr">
        <is>
          <t>PH0016</t>
        </is>
      </c>
      <c r="G227" t="inlineStr">
        <is>
          <t>Cuevas Roy</t>
        </is>
      </c>
      <c r="H227" t="inlineStr">
        <is>
          <t>TCNz004PH:SMS NewDev</t>
        </is>
      </c>
      <c r="I227" s="1" t="n">
        <v>45951</v>
      </c>
      <c r="J227" t="n">
        <v>1.5</v>
      </c>
      <c r="L227">
        <f>IFERROR(LEFT(K227,             FIND(",", K227) - 1), "-")</f>
        <v/>
      </c>
      <c r="M227">
        <f>IFERROR(MID(K227,             FIND(",", K227) + 1, LEN(K227) - FIND(",", K227)), K227)</f>
        <v/>
      </c>
      <c r="P227" t="inlineStr">
        <is>
          <t>15:30</t>
        </is>
      </c>
      <c r="Q227" t="inlineStr">
        <is>
          <t>17:00</t>
        </is>
      </c>
    </row>
    <row r="228">
      <c r="A228" t="inlineStr">
        <is>
          <t>Cuevas Roy</t>
        </is>
      </c>
      <c r="B228" t="inlineStr">
        <is>
          <t>TCNz004PH:SMS NewDev</t>
        </is>
      </c>
      <c r="D228">
        <f>L228</f>
        <v/>
      </c>
      <c r="E228">
        <f>SUMIFS(J:J, G:G,             A228, H:H, B228, L:L, L228)</f>
        <v/>
      </c>
      <c r="F228" t="inlineStr">
        <is>
          <t>PH0016</t>
        </is>
      </c>
      <c r="G228" t="inlineStr">
        <is>
          <t>Cuevas Roy</t>
        </is>
      </c>
      <c r="H228" t="inlineStr">
        <is>
          <t>TCNz004PH:SMS NewDev</t>
        </is>
      </c>
      <c r="I228" s="1" t="n">
        <v>45952</v>
      </c>
      <c r="J228" t="n">
        <v>1.5</v>
      </c>
      <c r="L228">
        <f>IFERROR(LEFT(K228,             FIND(",", K228) - 1), "-")</f>
        <v/>
      </c>
      <c r="M228">
        <f>IFERROR(MID(K228,             FIND(",", K228) + 1, LEN(K228) - FIND(",", K228)), K228)</f>
        <v/>
      </c>
      <c r="P228" t="inlineStr">
        <is>
          <t>08:00</t>
        </is>
      </c>
      <c r="Q228" t="inlineStr">
        <is>
          <t>09:30</t>
        </is>
      </c>
    </row>
    <row r="229">
      <c r="A229" t="inlineStr">
        <is>
          <t>Cuevas Roy</t>
        </is>
      </c>
      <c r="B229" t="inlineStr">
        <is>
          <t>TCNz004PH:SMS NewDev</t>
        </is>
      </c>
      <c r="D229">
        <f>L229</f>
        <v/>
      </c>
      <c r="E229">
        <f>SUMIFS(J:J, G:G,             A229, H:H, B229, L:L, L229)</f>
        <v/>
      </c>
      <c r="F229" t="inlineStr">
        <is>
          <t>PH0016</t>
        </is>
      </c>
      <c r="G229" t="inlineStr">
        <is>
          <t>Cuevas Roy</t>
        </is>
      </c>
      <c r="H229" t="inlineStr">
        <is>
          <t>TCNz004PH:SMS NewDev</t>
        </is>
      </c>
      <c r="I229" s="1" t="n">
        <v>45952</v>
      </c>
      <c r="J229" t="n">
        <v>1.25</v>
      </c>
      <c r="L229">
        <f>IFERROR(LEFT(K229,             FIND(",", K229) - 1), "-")</f>
        <v/>
      </c>
      <c r="M229">
        <f>IFERROR(MID(K229,             FIND(",", K229) + 1, LEN(K229) - FIND(",", K229)), K229)</f>
        <v/>
      </c>
      <c r="P229" t="inlineStr">
        <is>
          <t>09:45</t>
        </is>
      </c>
      <c r="Q229" t="inlineStr">
        <is>
          <t>11:00</t>
        </is>
      </c>
    </row>
    <row r="230">
      <c r="A230" t="inlineStr">
        <is>
          <t>Cuevas Roy</t>
        </is>
      </c>
      <c r="B230" t="inlineStr">
        <is>
          <t>TCNz004PH:SMS NewDev</t>
        </is>
      </c>
      <c r="D230">
        <f>L230</f>
        <v/>
      </c>
      <c r="E230">
        <f>SUMIFS(J:J, G:G,             A230, H:H, B230, L:L, L230)</f>
        <v/>
      </c>
      <c r="F230" t="inlineStr">
        <is>
          <t>PH0016</t>
        </is>
      </c>
      <c r="G230" t="inlineStr">
        <is>
          <t>Cuevas Roy</t>
        </is>
      </c>
      <c r="H230" t="inlineStr">
        <is>
          <t>TCNz004PH:SMS NewDev</t>
        </is>
      </c>
      <c r="I230" s="1" t="n">
        <v>45952</v>
      </c>
      <c r="J230" t="n">
        <v>1.5</v>
      </c>
      <c r="L230">
        <f>IFERROR(LEFT(K230,             FIND(",", K230) - 1), "-")</f>
        <v/>
      </c>
      <c r="M230">
        <f>IFERROR(MID(K230,             FIND(",", K230) + 1, LEN(K230) - FIND(",", K230)), K230)</f>
        <v/>
      </c>
      <c r="P230" t="inlineStr">
        <is>
          <t>12:00</t>
        </is>
      </c>
      <c r="Q230" t="inlineStr">
        <is>
          <t>13:30</t>
        </is>
      </c>
    </row>
    <row r="231">
      <c r="A231" t="inlineStr">
        <is>
          <t>Cuevas Roy</t>
        </is>
      </c>
      <c r="B231" t="inlineStr">
        <is>
          <t>TCNz004PH:SMS NewDev</t>
        </is>
      </c>
      <c r="D231">
        <f>L231</f>
        <v/>
      </c>
      <c r="E231">
        <f>SUMIFS(J:J, G:G,             A231, H:H, B231, L:L, L231)</f>
        <v/>
      </c>
      <c r="F231" t="inlineStr">
        <is>
          <t>PH0016</t>
        </is>
      </c>
      <c r="G231" t="inlineStr">
        <is>
          <t>Cuevas Roy</t>
        </is>
      </c>
      <c r="H231" t="inlineStr">
        <is>
          <t>TCNz004PH:SMS NewDev</t>
        </is>
      </c>
      <c r="I231" s="1" t="n">
        <v>45952</v>
      </c>
      <c r="J231" t="n">
        <v>1</v>
      </c>
      <c r="L231">
        <f>IFERROR(LEFT(K231,             FIND(",", K231) - 1), "-")</f>
        <v/>
      </c>
      <c r="M231">
        <f>IFERROR(MID(K231,             FIND(",", K231) + 1, LEN(K231) - FIND(",", K231)), K231)</f>
        <v/>
      </c>
      <c r="P231" t="inlineStr">
        <is>
          <t>14:15</t>
        </is>
      </c>
      <c r="Q231" t="inlineStr">
        <is>
          <t>15:15</t>
        </is>
      </c>
    </row>
    <row r="232">
      <c r="A232" t="inlineStr">
        <is>
          <t>Cuevas Roy</t>
        </is>
      </c>
      <c r="B232" t="inlineStr">
        <is>
          <t>TCNz004PH:SMS NewDev</t>
        </is>
      </c>
      <c r="D232">
        <f>L232</f>
        <v/>
      </c>
      <c r="E232">
        <f>SUMIFS(J:J, G:G,             A232, H:H, B232, L:L, L232)</f>
        <v/>
      </c>
      <c r="F232" t="inlineStr">
        <is>
          <t>PH0016</t>
        </is>
      </c>
      <c r="G232" t="inlineStr">
        <is>
          <t>Cuevas Roy</t>
        </is>
      </c>
      <c r="H232" t="inlineStr">
        <is>
          <t>TCNz004PH:SMS NewDev</t>
        </is>
      </c>
      <c r="I232" s="1" t="n">
        <v>45952</v>
      </c>
      <c r="J232" t="n">
        <v>0.5</v>
      </c>
      <c r="L232">
        <f>IFERROR(LEFT(K232,             FIND(",", K232) - 1), "-")</f>
        <v/>
      </c>
      <c r="M232">
        <f>IFERROR(MID(K232,             FIND(",", K232) + 1, LEN(K232) - FIND(",", K232)), K232)</f>
        <v/>
      </c>
      <c r="P232" t="inlineStr">
        <is>
          <t>15:30</t>
        </is>
      </c>
      <c r="Q232" t="inlineStr">
        <is>
          <t>16:00</t>
        </is>
      </c>
    </row>
    <row r="233">
      <c r="A233" t="inlineStr">
        <is>
          <t>Cuevas Roy</t>
        </is>
      </c>
      <c r="B233" t="inlineStr">
        <is>
          <t>TCNz004PH:SMS NewDev</t>
        </is>
      </c>
      <c r="D233">
        <f>L233</f>
        <v/>
      </c>
      <c r="E233">
        <f>SUMIFS(J:J, G:G,             A233, H:H, B233, L:L, L233)</f>
        <v/>
      </c>
      <c r="F233" t="inlineStr">
        <is>
          <t>PH0016</t>
        </is>
      </c>
      <c r="G233" t="inlineStr">
        <is>
          <t>Cuevas Roy</t>
        </is>
      </c>
      <c r="H233" t="inlineStr">
        <is>
          <t>TCNz004PH:SMS NewDev</t>
        </is>
      </c>
      <c r="I233" s="1" t="n">
        <v>45952</v>
      </c>
      <c r="J233" t="n">
        <v>1.5</v>
      </c>
      <c r="L233">
        <f>IFERROR(LEFT(K233,             FIND(",", K233) - 1), "-")</f>
        <v/>
      </c>
      <c r="M233">
        <f>IFERROR(MID(K233,             FIND(",", K233) + 1, LEN(K233) - FIND(",", K233)), K233)</f>
        <v/>
      </c>
      <c r="P233" t="inlineStr">
        <is>
          <t>16:30</t>
        </is>
      </c>
      <c r="Q233" t="inlineStr">
        <is>
          <t>18:00</t>
        </is>
      </c>
    </row>
    <row r="234">
      <c r="A234" t="inlineStr">
        <is>
          <t>Cuevas Roy</t>
        </is>
      </c>
      <c r="B234" t="inlineStr">
        <is>
          <t>TCNz004PH:SMS NewDev</t>
        </is>
      </c>
      <c r="D234">
        <f>L234</f>
        <v/>
      </c>
      <c r="E234">
        <f>SUMIFS(J:J, G:G,             A234, H:H, B234, L:L, L234)</f>
        <v/>
      </c>
      <c r="F234" t="inlineStr">
        <is>
          <t>PH0016</t>
        </is>
      </c>
      <c r="G234" t="inlineStr">
        <is>
          <t>Cuevas Roy</t>
        </is>
      </c>
      <c r="H234" t="inlineStr">
        <is>
          <t>TCNz004PH:SMS NewDev</t>
        </is>
      </c>
      <c r="I234" s="1" t="n">
        <v>45953</v>
      </c>
      <c r="J234" t="n">
        <v>1.5</v>
      </c>
      <c r="L234">
        <f>IFERROR(LEFT(K234,             FIND(",", K234) - 1), "-")</f>
        <v/>
      </c>
      <c r="M234">
        <f>IFERROR(MID(K234,             FIND(",", K234) + 1, LEN(K234) - FIND(",", K234)), K234)</f>
        <v/>
      </c>
      <c r="P234" t="inlineStr">
        <is>
          <t>08:00</t>
        </is>
      </c>
      <c r="Q234" t="inlineStr">
        <is>
          <t>09:30</t>
        </is>
      </c>
    </row>
    <row r="235">
      <c r="A235" t="inlineStr">
        <is>
          <t>Cuevas Roy</t>
        </is>
      </c>
      <c r="B235" t="inlineStr">
        <is>
          <t>TCNz004PH:SMS NewDev</t>
        </is>
      </c>
      <c r="D235">
        <f>L235</f>
        <v/>
      </c>
      <c r="E235">
        <f>SUMIFS(J:J, G:G,             A235, H:H, B235, L:L, L235)</f>
        <v/>
      </c>
      <c r="F235" t="inlineStr">
        <is>
          <t>PH0016</t>
        </is>
      </c>
      <c r="G235" t="inlineStr">
        <is>
          <t>Cuevas Roy</t>
        </is>
      </c>
      <c r="H235" t="inlineStr">
        <is>
          <t>TCNz004PH:SMS NewDev</t>
        </is>
      </c>
      <c r="I235" s="1" t="n">
        <v>45953</v>
      </c>
      <c r="J235" t="n">
        <v>1.25</v>
      </c>
      <c r="L235">
        <f>IFERROR(LEFT(K235,             FIND(",", K235) - 1), "-")</f>
        <v/>
      </c>
      <c r="M235">
        <f>IFERROR(MID(K235,             FIND(",", K235) + 1, LEN(K235) - FIND(",", K235)), K235)</f>
        <v/>
      </c>
      <c r="P235" t="inlineStr">
        <is>
          <t>09:45</t>
        </is>
      </c>
      <c r="Q235" t="inlineStr">
        <is>
          <t>11:00</t>
        </is>
      </c>
    </row>
    <row r="236">
      <c r="A236" t="inlineStr">
        <is>
          <t>Cuevas Roy</t>
        </is>
      </c>
      <c r="B236" t="inlineStr">
        <is>
          <t>TCNz004PH:SMS NewDev</t>
        </is>
      </c>
      <c r="D236">
        <f>L236</f>
        <v/>
      </c>
      <c r="E236">
        <f>SUMIFS(J:J, G:G,             A236, H:H, B236, L:L, L236)</f>
        <v/>
      </c>
      <c r="F236" t="inlineStr">
        <is>
          <t>PH0016</t>
        </is>
      </c>
      <c r="G236" t="inlineStr">
        <is>
          <t>Cuevas Roy</t>
        </is>
      </c>
      <c r="H236" t="inlineStr">
        <is>
          <t>TCNz004PH:SMS NewDev</t>
        </is>
      </c>
      <c r="I236" s="1" t="n">
        <v>45953</v>
      </c>
      <c r="J236" t="n">
        <v>0.5</v>
      </c>
      <c r="L236">
        <f>IFERROR(LEFT(K236,             FIND(",", K236) - 1), "-")</f>
        <v/>
      </c>
      <c r="M236">
        <f>IFERROR(MID(K236,             FIND(",", K236) + 1, LEN(K236) - FIND(",", K236)), K236)</f>
        <v/>
      </c>
      <c r="P236" t="inlineStr">
        <is>
          <t>12:00</t>
        </is>
      </c>
      <c r="Q236" t="inlineStr">
        <is>
          <t>12:30</t>
        </is>
      </c>
    </row>
    <row r="237">
      <c r="A237" t="inlineStr">
        <is>
          <t>Cuevas Roy</t>
        </is>
      </c>
      <c r="B237" t="inlineStr">
        <is>
          <t>TCNz004PH:SMS NewDev</t>
        </is>
      </c>
      <c r="D237">
        <f>L237</f>
        <v/>
      </c>
      <c r="E237">
        <f>SUMIFS(J:J, G:G,             A237, H:H, B237, L:L, L237)</f>
        <v/>
      </c>
      <c r="F237" t="inlineStr">
        <is>
          <t>PH0016</t>
        </is>
      </c>
      <c r="G237" t="inlineStr">
        <is>
          <t>Cuevas Roy</t>
        </is>
      </c>
      <c r="H237" t="inlineStr">
        <is>
          <t>TCNz004PH:SMS NewDev</t>
        </is>
      </c>
      <c r="I237" s="1" t="n">
        <v>45953</v>
      </c>
      <c r="J237" t="n">
        <v>1.75</v>
      </c>
      <c r="L237">
        <f>IFERROR(LEFT(K237,             FIND(",", K237) - 1), "-")</f>
        <v/>
      </c>
      <c r="M237">
        <f>IFERROR(MID(K237,             FIND(",", K237) + 1, LEN(K237) - FIND(",", K237)), K237)</f>
        <v/>
      </c>
      <c r="P237" t="inlineStr">
        <is>
          <t>13:30</t>
        </is>
      </c>
      <c r="Q237" t="inlineStr">
        <is>
          <t>15:15</t>
        </is>
      </c>
    </row>
    <row r="238">
      <c r="A238" t="inlineStr">
        <is>
          <t>Cuevas Roy</t>
        </is>
      </c>
      <c r="B238" t="inlineStr">
        <is>
          <t>TCNz004PH:SMS NewDev</t>
        </is>
      </c>
      <c r="D238">
        <f>L238</f>
        <v/>
      </c>
      <c r="E238">
        <f>SUMIFS(J:J, G:G,             A238, H:H, B238, L:L, L238)</f>
        <v/>
      </c>
      <c r="F238" t="inlineStr">
        <is>
          <t>PH0016</t>
        </is>
      </c>
      <c r="G238" t="inlineStr">
        <is>
          <t>Cuevas Roy</t>
        </is>
      </c>
      <c r="H238" t="inlineStr">
        <is>
          <t>TCNz004PH:SMS NewDev</t>
        </is>
      </c>
      <c r="I238" s="1" t="n">
        <v>45953</v>
      </c>
      <c r="J238" t="n">
        <v>1.5</v>
      </c>
      <c r="L238">
        <f>IFERROR(LEFT(K238,             FIND(",", K238) - 1), "-")</f>
        <v/>
      </c>
      <c r="M238">
        <f>IFERROR(MID(K238,             FIND(",", K238) + 1, LEN(K238) - FIND(",", K238)), K238)</f>
        <v/>
      </c>
      <c r="P238" t="inlineStr">
        <is>
          <t>15:30</t>
        </is>
      </c>
      <c r="Q238" t="inlineStr">
        <is>
          <t>17:00</t>
        </is>
      </c>
    </row>
    <row r="239">
      <c r="A239" t="inlineStr">
        <is>
          <t>Cuevas Roy</t>
        </is>
      </c>
      <c r="B239" t="inlineStr">
        <is>
          <t>YMHa003PH:YAMAHA WBS:Additional request</t>
        </is>
      </c>
      <c r="C239">
        <f>SUMIFS(J:J, G:G,             A239, H:H, B239)</f>
        <v/>
      </c>
      <c r="D239">
        <f>L239</f>
        <v/>
      </c>
      <c r="E239">
        <f>SUMIFS(J:J, G:G,             A239, H:H, B239, L:L, L239)</f>
        <v/>
      </c>
      <c r="F239" t="inlineStr">
        <is>
          <t>PH0016</t>
        </is>
      </c>
      <c r="G239" t="inlineStr">
        <is>
          <t>Cuevas Roy</t>
        </is>
      </c>
      <c r="H239" t="inlineStr">
        <is>
          <t>YMHa003PH:YAMAHA WBS:Additional request</t>
        </is>
      </c>
      <c r="I239" s="1" t="n">
        <v>45931</v>
      </c>
      <c r="J239" t="n">
        <v>0.25</v>
      </c>
      <c r="L239">
        <f>IFERROR(LEFT(K239,             FIND(",", K239) - 1), "-")</f>
        <v/>
      </c>
      <c r="M239">
        <f>IFERROR(MID(K239,             FIND(",", K239) + 1, LEN(K239) - FIND(",", K239)), K239)</f>
        <v/>
      </c>
      <c r="N239" t="n">
        <v>4</v>
      </c>
      <c r="P239" t="inlineStr">
        <is>
          <t>16:00</t>
        </is>
      </c>
      <c r="Q239" t="inlineStr">
        <is>
          <t>16:15</t>
        </is>
      </c>
    </row>
    <row r="240">
      <c r="A240" t="inlineStr">
        <is>
          <t>Escarcha Leo</t>
        </is>
      </c>
      <c r="B240" t="inlineStr">
        <is>
          <t>NBDn001PH:noborders New_Dev</t>
        </is>
      </c>
      <c r="C240">
        <f>SUMIFS(J:J, G:G,             A240, H:H, B240)</f>
        <v/>
      </c>
      <c r="D240">
        <f>L240</f>
        <v/>
      </c>
      <c r="E240">
        <f>SUMIFS(J:J, G:G,             A240, H:H, B240, L:L, L240)</f>
        <v/>
      </c>
      <c r="F240" t="inlineStr">
        <is>
          <t>PH0010</t>
        </is>
      </c>
      <c r="G240" t="inlineStr">
        <is>
          <t>Escarcha Leo</t>
        </is>
      </c>
      <c r="H240" t="inlineStr">
        <is>
          <t>NBDn001PH:noborders New_Dev</t>
        </is>
      </c>
      <c r="I240" s="1" t="n">
        <v>45947</v>
      </c>
      <c r="J240" t="n">
        <v>3</v>
      </c>
      <c r="L240">
        <f>IFERROR(LEFT(K240,             FIND(",", K240) - 1), "-")</f>
        <v/>
      </c>
      <c r="M240">
        <f>IFERROR(MID(K240,             FIND(",", K240) + 1, LEN(K240) - FIND(",", K240)), K240)</f>
        <v/>
      </c>
      <c r="N240" t="n">
        <v>8</v>
      </c>
      <c r="P240" t="inlineStr">
        <is>
          <t>08:00</t>
        </is>
      </c>
      <c r="Q240" t="inlineStr">
        <is>
          <t>11:00</t>
        </is>
      </c>
    </row>
    <row r="241">
      <c r="A241" t="inlineStr">
        <is>
          <t>Escarcha Leo</t>
        </is>
      </c>
      <c r="B241" t="inlineStr">
        <is>
          <t>NBDn001PH:noborders New_Dev</t>
        </is>
      </c>
      <c r="D241">
        <f>L241</f>
        <v/>
      </c>
      <c r="E241">
        <f>SUMIFS(J:J, G:G,             A241, H:H, B241, L:L, L241)</f>
        <v/>
      </c>
      <c r="F241" t="inlineStr">
        <is>
          <t>PH0010</t>
        </is>
      </c>
      <c r="G241" t="inlineStr">
        <is>
          <t>Escarcha Leo</t>
        </is>
      </c>
      <c r="H241" t="inlineStr">
        <is>
          <t>NBDn001PH:noborders New_Dev</t>
        </is>
      </c>
      <c r="I241" s="1" t="n">
        <v>45947</v>
      </c>
      <c r="J241" t="n">
        <v>2</v>
      </c>
      <c r="L241">
        <f>IFERROR(LEFT(K241,             FIND(",", K241) - 1), "-")</f>
        <v/>
      </c>
      <c r="M241">
        <f>IFERROR(MID(K241,             FIND(",", K241) + 1, LEN(K241) - FIND(",", K241)), K241)</f>
        <v/>
      </c>
      <c r="N241" t="n">
        <v>8</v>
      </c>
      <c r="P241" t="inlineStr">
        <is>
          <t>12:00</t>
        </is>
      </c>
      <c r="Q241" t="inlineStr">
        <is>
          <t>14:00</t>
        </is>
      </c>
    </row>
    <row r="242">
      <c r="A242" t="inlineStr">
        <is>
          <t>Escarcha Leo</t>
        </is>
      </c>
      <c r="B242" t="inlineStr">
        <is>
          <t>TCNz002PH:Waiting for requests</t>
        </is>
      </c>
      <c r="C242">
        <f>SUMIFS(J:J, G:G,             A242, H:H, B242)</f>
        <v/>
      </c>
      <c r="D242">
        <f>L242</f>
        <v/>
      </c>
      <c r="E242">
        <f>SUMIFS(J:J, G:G,             A242, H:H, B242, L:L, L242)</f>
        <v/>
      </c>
      <c r="F242" t="inlineStr">
        <is>
          <t>PH0010</t>
        </is>
      </c>
      <c r="G242" t="inlineStr">
        <is>
          <t>Escarcha Leo</t>
        </is>
      </c>
      <c r="H242" t="inlineStr">
        <is>
          <t>TCNz002PH:Waiting for requests</t>
        </is>
      </c>
      <c r="I242" s="1" t="n">
        <v>45931</v>
      </c>
      <c r="J242" t="n">
        <v>3</v>
      </c>
      <c r="L242">
        <f>IFERROR(LEFT(K242,             FIND(",", K242) - 1), "-")</f>
        <v/>
      </c>
      <c r="M242">
        <f>IFERROR(MID(K242,             FIND(",", K242) + 1, LEN(K242) - FIND(",", K242)), K242)</f>
        <v/>
      </c>
      <c r="N242" t="n">
        <v>5</v>
      </c>
      <c r="P242" t="inlineStr">
        <is>
          <t>08:00</t>
        </is>
      </c>
      <c r="Q242" t="inlineStr">
        <is>
          <t>11:00</t>
        </is>
      </c>
    </row>
    <row r="243">
      <c r="A243" t="inlineStr">
        <is>
          <t>Escarcha Leo</t>
        </is>
      </c>
      <c r="B243" t="inlineStr">
        <is>
          <t>TCNz002PH:Waiting for requests</t>
        </is>
      </c>
      <c r="D243">
        <f>L243</f>
        <v/>
      </c>
      <c r="E243">
        <f>SUMIFS(J:J, G:G,             A243, H:H, B243, L:L, L243)</f>
        <v/>
      </c>
      <c r="F243" t="inlineStr">
        <is>
          <t>PH0010</t>
        </is>
      </c>
      <c r="G243" t="inlineStr">
        <is>
          <t>Escarcha Leo</t>
        </is>
      </c>
      <c r="H243" t="inlineStr">
        <is>
          <t>TCNz002PH:Waiting for requests</t>
        </is>
      </c>
      <c r="I243" s="1" t="n">
        <v>45931</v>
      </c>
      <c r="J243" t="n">
        <v>2.75</v>
      </c>
      <c r="L243">
        <f>IFERROR(LEFT(K243,             FIND(",", K243) - 1), "-")</f>
        <v/>
      </c>
      <c r="M243">
        <f>IFERROR(MID(K243,             FIND(",", K243) + 1, LEN(K243) - FIND(",", K243)), K243)</f>
        <v/>
      </c>
      <c r="N243" t="n">
        <v>5</v>
      </c>
      <c r="P243" t="inlineStr">
        <is>
          <t>12:00</t>
        </is>
      </c>
      <c r="Q243" t="inlineStr">
        <is>
          <t>14:45</t>
        </is>
      </c>
    </row>
    <row r="244">
      <c r="A244" t="inlineStr">
        <is>
          <t>Escarcha Leo</t>
        </is>
      </c>
      <c r="B244" t="inlineStr">
        <is>
          <t>TCNz002PH:Waiting for requests</t>
        </is>
      </c>
      <c r="D244">
        <f>L244</f>
        <v/>
      </c>
      <c r="E244">
        <f>SUMIFS(J:J, G:G,             A244, H:H, B244, L:L, L244)</f>
        <v/>
      </c>
      <c r="F244" t="inlineStr">
        <is>
          <t>PH0010</t>
        </is>
      </c>
      <c r="G244" t="inlineStr">
        <is>
          <t>Escarcha Leo</t>
        </is>
      </c>
      <c r="H244" t="inlineStr">
        <is>
          <t>TCNz002PH:Waiting for requests</t>
        </is>
      </c>
      <c r="I244" s="1" t="n">
        <v>45931</v>
      </c>
      <c r="J244" t="n">
        <v>2</v>
      </c>
      <c r="L244">
        <f>IFERROR(LEFT(K244,             FIND(",", K244) - 1), "-")</f>
        <v/>
      </c>
      <c r="M244">
        <f>IFERROR(MID(K244,             FIND(",", K244) + 1, LEN(K244) - FIND(",", K244)), K244)</f>
        <v/>
      </c>
      <c r="N244" t="n">
        <v>5</v>
      </c>
      <c r="P244" t="inlineStr">
        <is>
          <t>15:00</t>
        </is>
      </c>
      <c r="Q244" t="inlineStr">
        <is>
          <t>17:00</t>
        </is>
      </c>
    </row>
    <row r="245">
      <c r="A245" t="inlineStr">
        <is>
          <t>Escarcha Leo</t>
        </is>
      </c>
      <c r="B245" t="inlineStr">
        <is>
          <t>TCNz002PH:Waiting for requests</t>
        </is>
      </c>
      <c r="D245">
        <f>L245</f>
        <v/>
      </c>
      <c r="E245">
        <f>SUMIFS(J:J, G:G,             A245, H:H, B245, L:L, L245)</f>
        <v/>
      </c>
      <c r="F245" t="inlineStr">
        <is>
          <t>PH0010</t>
        </is>
      </c>
      <c r="G245" t="inlineStr">
        <is>
          <t>Escarcha Leo</t>
        </is>
      </c>
      <c r="H245" t="inlineStr">
        <is>
          <t>TCNz002PH:Waiting for requests</t>
        </is>
      </c>
      <c r="I245" s="1" t="n">
        <v>45933</v>
      </c>
      <c r="J245" t="n">
        <v>3</v>
      </c>
      <c r="L245">
        <f>IFERROR(LEFT(K245,             FIND(",", K245) - 1), "-")</f>
        <v/>
      </c>
      <c r="M245">
        <f>IFERROR(MID(K245,             FIND(",", K245) + 1, LEN(K245) - FIND(",", K245)), K245)</f>
        <v/>
      </c>
      <c r="N245" t="n">
        <v>5</v>
      </c>
      <c r="P245" t="inlineStr">
        <is>
          <t>08:00</t>
        </is>
      </c>
      <c r="Q245" t="inlineStr">
        <is>
          <t>11:00</t>
        </is>
      </c>
    </row>
    <row r="246">
      <c r="A246" t="inlineStr">
        <is>
          <t>Escarcha Leo</t>
        </is>
      </c>
      <c r="B246" t="inlineStr">
        <is>
          <t>TCNz002PH:Waiting for requests</t>
        </is>
      </c>
      <c r="D246">
        <f>L246</f>
        <v/>
      </c>
      <c r="E246">
        <f>SUMIFS(J:J, G:G,             A246, H:H, B246, L:L, L246)</f>
        <v/>
      </c>
      <c r="F246" t="inlineStr">
        <is>
          <t>PH0010</t>
        </is>
      </c>
      <c r="G246" t="inlineStr">
        <is>
          <t>Escarcha Leo</t>
        </is>
      </c>
      <c r="H246" t="inlineStr">
        <is>
          <t>TCNz002PH:Waiting for requests</t>
        </is>
      </c>
      <c r="I246" s="1" t="n">
        <v>45933</v>
      </c>
      <c r="J246" t="n">
        <v>3</v>
      </c>
      <c r="L246">
        <f>IFERROR(LEFT(K246,             FIND(",", K246) - 1), "-")</f>
        <v/>
      </c>
      <c r="M246">
        <f>IFERROR(MID(K246,             FIND(",", K246) + 1, LEN(K246) - FIND(",", K246)), K246)</f>
        <v/>
      </c>
      <c r="N246" t="n">
        <v>5</v>
      </c>
      <c r="P246" t="inlineStr">
        <is>
          <t>12:00</t>
        </is>
      </c>
      <c r="Q246" t="inlineStr">
        <is>
          <t>15:00</t>
        </is>
      </c>
    </row>
    <row r="247">
      <c r="A247" t="inlineStr">
        <is>
          <t>Escarcha Leo</t>
        </is>
      </c>
      <c r="B247" t="inlineStr">
        <is>
          <t>TCNz002PH:Waiting for requests</t>
        </is>
      </c>
      <c r="D247">
        <f>L247</f>
        <v/>
      </c>
      <c r="E247">
        <f>SUMIFS(J:J, G:G,             A247, H:H, B247, L:L, L247)</f>
        <v/>
      </c>
      <c r="F247" t="inlineStr">
        <is>
          <t>PH0010</t>
        </is>
      </c>
      <c r="G247" t="inlineStr">
        <is>
          <t>Escarcha Leo</t>
        </is>
      </c>
      <c r="H247" t="inlineStr">
        <is>
          <t>TCNz002PH:Waiting for requests</t>
        </is>
      </c>
      <c r="I247" s="1" t="n">
        <v>45936</v>
      </c>
      <c r="J247" t="n">
        <v>1.75</v>
      </c>
      <c r="L247">
        <f>IFERROR(LEFT(K247,             FIND(",", K247) - 1), "-")</f>
        <v/>
      </c>
      <c r="M247">
        <f>IFERROR(MID(K247,             FIND(",", K247) + 1, LEN(K247) - FIND(",", K247)), K247)</f>
        <v/>
      </c>
      <c r="N247" t="n">
        <v>5</v>
      </c>
      <c r="P247" t="inlineStr">
        <is>
          <t>09:15</t>
        </is>
      </c>
      <c r="Q247" t="inlineStr">
        <is>
          <t>11:00</t>
        </is>
      </c>
    </row>
    <row r="248">
      <c r="A248" t="inlineStr">
        <is>
          <t>Escarcha Leo</t>
        </is>
      </c>
      <c r="B248" t="inlineStr">
        <is>
          <t>TCNz002PH:Waiting for requests</t>
        </is>
      </c>
      <c r="D248">
        <f>L248</f>
        <v/>
      </c>
      <c r="E248">
        <f>SUMIFS(J:J, G:G,             A248, H:H, B248, L:L, L248)</f>
        <v/>
      </c>
      <c r="F248" t="inlineStr">
        <is>
          <t>PH0010</t>
        </is>
      </c>
      <c r="G248" t="inlineStr">
        <is>
          <t>Escarcha Leo</t>
        </is>
      </c>
      <c r="H248" t="inlineStr">
        <is>
          <t>TCNz002PH:Waiting for requests</t>
        </is>
      </c>
      <c r="I248" s="1" t="n">
        <v>45936</v>
      </c>
      <c r="J248" t="n">
        <v>3</v>
      </c>
      <c r="L248">
        <f>IFERROR(LEFT(K248,             FIND(",", K248) - 1), "-")</f>
        <v/>
      </c>
      <c r="M248">
        <f>IFERROR(MID(K248,             FIND(",", K248) + 1, LEN(K248) - FIND(",", K248)), K248)</f>
        <v/>
      </c>
      <c r="N248" t="n">
        <v>5</v>
      </c>
      <c r="P248" t="inlineStr">
        <is>
          <t>12:00</t>
        </is>
      </c>
      <c r="Q248" t="inlineStr">
        <is>
          <t>15:00</t>
        </is>
      </c>
    </row>
    <row r="249">
      <c r="A249" t="inlineStr">
        <is>
          <t>Escarcha Leo</t>
        </is>
      </c>
      <c r="B249" t="inlineStr">
        <is>
          <t>TCNz002PH:Waiting for requests</t>
        </is>
      </c>
      <c r="D249">
        <f>L249</f>
        <v/>
      </c>
      <c r="E249">
        <f>SUMIFS(J:J, G:G,             A249, H:H, B249, L:L, L249)</f>
        <v/>
      </c>
      <c r="F249" t="inlineStr">
        <is>
          <t>PH0010</t>
        </is>
      </c>
      <c r="G249" t="inlineStr">
        <is>
          <t>Escarcha Leo</t>
        </is>
      </c>
      <c r="H249" t="inlineStr">
        <is>
          <t>TCNz002PH:Waiting for requests</t>
        </is>
      </c>
      <c r="I249" s="1" t="n">
        <v>45936</v>
      </c>
      <c r="J249" t="n">
        <v>1.75</v>
      </c>
      <c r="L249">
        <f>IFERROR(LEFT(K249,             FIND(",", K249) - 1), "-")</f>
        <v/>
      </c>
      <c r="M249">
        <f>IFERROR(MID(K249,             FIND(",", K249) + 1, LEN(K249) - FIND(",", K249)), K249)</f>
        <v/>
      </c>
      <c r="N249" t="n">
        <v>5</v>
      </c>
      <c r="P249" t="inlineStr">
        <is>
          <t>15:15</t>
        </is>
      </c>
      <c r="Q249" t="inlineStr">
        <is>
          <t>17:00</t>
        </is>
      </c>
    </row>
    <row r="250">
      <c r="A250" t="inlineStr">
        <is>
          <t>Escarcha Leo</t>
        </is>
      </c>
      <c r="B250" t="inlineStr">
        <is>
          <t>TCNz002PH:Waiting for requests</t>
        </is>
      </c>
      <c r="D250">
        <f>L250</f>
        <v/>
      </c>
      <c r="E250">
        <f>SUMIFS(J:J, G:G,             A250, H:H, B250, L:L, L250)</f>
        <v/>
      </c>
      <c r="F250" t="inlineStr">
        <is>
          <t>PH0010</t>
        </is>
      </c>
      <c r="G250" t="inlineStr">
        <is>
          <t>Escarcha Leo</t>
        </is>
      </c>
      <c r="H250" t="inlineStr">
        <is>
          <t>TCNz002PH:Waiting for requests</t>
        </is>
      </c>
      <c r="I250" s="1" t="n">
        <v>45937</v>
      </c>
      <c r="J250" t="n">
        <v>3</v>
      </c>
      <c r="L250">
        <f>IFERROR(LEFT(K250,             FIND(",", K250) - 1), "-")</f>
        <v/>
      </c>
      <c r="M250">
        <f>IFERROR(MID(K250,             FIND(",", K250) + 1, LEN(K250) - FIND(",", K250)), K250)</f>
        <v/>
      </c>
      <c r="N250" t="n">
        <v>5</v>
      </c>
      <c r="P250" t="inlineStr">
        <is>
          <t>08:00</t>
        </is>
      </c>
      <c r="Q250" t="inlineStr">
        <is>
          <t>11:00</t>
        </is>
      </c>
    </row>
    <row r="251">
      <c r="A251" t="inlineStr">
        <is>
          <t>Escarcha Leo</t>
        </is>
      </c>
      <c r="B251" t="inlineStr">
        <is>
          <t>TCNz002PH:Waiting for requests</t>
        </is>
      </c>
      <c r="D251">
        <f>L251</f>
        <v/>
      </c>
      <c r="E251">
        <f>SUMIFS(J:J, G:G,             A251, H:H, B251, L:L, L251)</f>
        <v/>
      </c>
      <c r="F251" t="inlineStr">
        <is>
          <t>PH0010</t>
        </is>
      </c>
      <c r="G251" t="inlineStr">
        <is>
          <t>Escarcha Leo</t>
        </is>
      </c>
      <c r="H251" t="inlineStr">
        <is>
          <t>TCNz002PH:Waiting for requests</t>
        </is>
      </c>
      <c r="I251" s="1" t="n">
        <v>45937</v>
      </c>
      <c r="J251" t="n">
        <v>3</v>
      </c>
      <c r="L251">
        <f>IFERROR(LEFT(K251,             FIND(",", K251) - 1), "-")</f>
        <v/>
      </c>
      <c r="M251">
        <f>IFERROR(MID(K251,             FIND(",", K251) + 1, LEN(K251) - FIND(",", K251)), K251)</f>
        <v/>
      </c>
      <c r="N251" t="n">
        <v>5</v>
      </c>
      <c r="P251" t="inlineStr">
        <is>
          <t>12:00</t>
        </is>
      </c>
      <c r="Q251" t="inlineStr">
        <is>
          <t>15:00</t>
        </is>
      </c>
    </row>
    <row r="252">
      <c r="A252" t="inlineStr">
        <is>
          <t>Escarcha Leo</t>
        </is>
      </c>
      <c r="B252" t="inlineStr">
        <is>
          <t>TCNz002PH:Waiting for requests</t>
        </is>
      </c>
      <c r="D252">
        <f>L252</f>
        <v/>
      </c>
      <c r="E252">
        <f>SUMIFS(J:J, G:G,             A252, H:H, B252, L:L, L252)</f>
        <v/>
      </c>
      <c r="F252" t="inlineStr">
        <is>
          <t>PH0010</t>
        </is>
      </c>
      <c r="G252" t="inlineStr">
        <is>
          <t>Escarcha Leo</t>
        </is>
      </c>
      <c r="H252" t="inlineStr">
        <is>
          <t>TCNz002PH:Waiting for requests</t>
        </is>
      </c>
      <c r="I252" s="1" t="n">
        <v>45938</v>
      </c>
      <c r="J252" t="n">
        <v>0.75</v>
      </c>
      <c r="L252">
        <f>IFERROR(LEFT(K252,             FIND(",", K252) - 1), "-")</f>
        <v/>
      </c>
      <c r="M252">
        <f>IFERROR(MID(K252,             FIND(",", K252) + 1, LEN(K252) - FIND(",", K252)), K252)</f>
        <v/>
      </c>
      <c r="N252" t="n">
        <v>5</v>
      </c>
      <c r="P252" t="inlineStr">
        <is>
          <t>10:15</t>
        </is>
      </c>
      <c r="Q252" t="inlineStr">
        <is>
          <t>11:00</t>
        </is>
      </c>
    </row>
    <row r="253">
      <c r="A253" t="inlineStr">
        <is>
          <t>Escarcha Leo</t>
        </is>
      </c>
      <c r="B253" t="inlineStr">
        <is>
          <t>TCNz002PH:Waiting for requests</t>
        </is>
      </c>
      <c r="D253">
        <f>L253</f>
        <v/>
      </c>
      <c r="E253">
        <f>SUMIFS(J:J, G:G,             A253, H:H, B253, L:L, L253)</f>
        <v/>
      </c>
      <c r="F253" t="inlineStr">
        <is>
          <t>PH0010</t>
        </is>
      </c>
      <c r="G253" t="inlineStr">
        <is>
          <t>Escarcha Leo</t>
        </is>
      </c>
      <c r="H253" t="inlineStr">
        <is>
          <t>TCNz002PH:Waiting for requests</t>
        </is>
      </c>
      <c r="I253" s="1" t="n">
        <v>45938</v>
      </c>
      <c r="J253" t="n">
        <v>3</v>
      </c>
      <c r="L253">
        <f>IFERROR(LEFT(K253,             FIND(",", K253) - 1), "-")</f>
        <v/>
      </c>
      <c r="M253">
        <f>IFERROR(MID(K253,             FIND(",", K253) + 1, LEN(K253) - FIND(",", K253)), K253)</f>
        <v/>
      </c>
      <c r="N253" t="n">
        <v>5</v>
      </c>
      <c r="P253" t="inlineStr">
        <is>
          <t>12:00</t>
        </is>
      </c>
      <c r="Q253" t="inlineStr">
        <is>
          <t>15:00</t>
        </is>
      </c>
    </row>
    <row r="254">
      <c r="A254" t="inlineStr">
        <is>
          <t>Escarcha Leo</t>
        </is>
      </c>
      <c r="B254" t="inlineStr">
        <is>
          <t>TCNz002PH:Waiting for requests</t>
        </is>
      </c>
      <c r="D254">
        <f>L254</f>
        <v/>
      </c>
      <c r="E254">
        <f>SUMIFS(J:J, G:G,             A254, H:H, B254, L:L, L254)</f>
        <v/>
      </c>
      <c r="F254" t="inlineStr">
        <is>
          <t>PH0010</t>
        </is>
      </c>
      <c r="G254" t="inlineStr">
        <is>
          <t>Escarcha Leo</t>
        </is>
      </c>
      <c r="H254" t="inlineStr">
        <is>
          <t>TCNz002PH:Waiting for requests</t>
        </is>
      </c>
      <c r="I254" s="1" t="n">
        <v>45938</v>
      </c>
      <c r="J254" t="n">
        <v>1.75</v>
      </c>
      <c r="L254">
        <f>IFERROR(LEFT(K254,             FIND(",", K254) - 1), "-")</f>
        <v/>
      </c>
      <c r="M254">
        <f>IFERROR(MID(K254,             FIND(",", K254) + 1, LEN(K254) - FIND(",", K254)), K254)</f>
        <v/>
      </c>
      <c r="N254" t="n">
        <v>5</v>
      </c>
      <c r="P254" t="inlineStr">
        <is>
          <t>15:15</t>
        </is>
      </c>
      <c r="Q254" t="inlineStr">
        <is>
          <t>17:00</t>
        </is>
      </c>
    </row>
    <row r="255">
      <c r="A255" t="inlineStr">
        <is>
          <t>Escarcha Leo</t>
        </is>
      </c>
      <c r="B255" t="inlineStr">
        <is>
          <t>TCNz002PH:Waiting for requests</t>
        </is>
      </c>
      <c r="D255">
        <f>L255</f>
        <v/>
      </c>
      <c r="E255">
        <f>SUMIFS(J:J, G:G,             A255, H:H, B255, L:L, L255)</f>
        <v/>
      </c>
      <c r="F255" t="inlineStr">
        <is>
          <t>PH0010</t>
        </is>
      </c>
      <c r="G255" t="inlineStr">
        <is>
          <t>Escarcha Leo</t>
        </is>
      </c>
      <c r="H255" t="inlineStr">
        <is>
          <t>TCNz002PH:Waiting for requests</t>
        </is>
      </c>
      <c r="I255" s="1" t="n">
        <v>45939</v>
      </c>
      <c r="J255" t="n">
        <v>3</v>
      </c>
      <c r="L255">
        <f>IFERROR(LEFT(K255,             FIND(",", K255) - 1), "-")</f>
        <v/>
      </c>
      <c r="M255">
        <f>IFERROR(MID(K255,             FIND(",", K255) + 1, LEN(K255) - FIND(",", K255)), K255)</f>
        <v/>
      </c>
      <c r="N255" t="n">
        <v>5</v>
      </c>
      <c r="P255" t="inlineStr">
        <is>
          <t>08:00</t>
        </is>
      </c>
      <c r="Q255" t="inlineStr">
        <is>
          <t>11:00</t>
        </is>
      </c>
    </row>
    <row r="256">
      <c r="A256" t="inlineStr">
        <is>
          <t>Escarcha Leo</t>
        </is>
      </c>
      <c r="B256" t="inlineStr">
        <is>
          <t>TCNz002PH:Waiting for requests</t>
        </is>
      </c>
      <c r="D256">
        <f>L256</f>
        <v/>
      </c>
      <c r="E256">
        <f>SUMIFS(J:J, G:G,             A256, H:H, B256, L:L, L256)</f>
        <v/>
      </c>
      <c r="F256" t="inlineStr">
        <is>
          <t>PH0010</t>
        </is>
      </c>
      <c r="G256" t="inlineStr">
        <is>
          <t>Escarcha Leo</t>
        </is>
      </c>
      <c r="H256" t="inlineStr">
        <is>
          <t>TCNz002PH:Waiting for requests</t>
        </is>
      </c>
      <c r="I256" s="1" t="n">
        <v>45939</v>
      </c>
      <c r="J256" t="n">
        <v>1</v>
      </c>
      <c r="L256">
        <f>IFERROR(LEFT(K256,             FIND(",", K256) - 1), "-")</f>
        <v/>
      </c>
      <c r="M256">
        <f>IFERROR(MID(K256,             FIND(",", K256) + 1, LEN(K256) - FIND(",", K256)), K256)</f>
        <v/>
      </c>
      <c r="N256" t="n">
        <v>5</v>
      </c>
      <c r="P256" t="inlineStr">
        <is>
          <t>12:00</t>
        </is>
      </c>
      <c r="Q256" t="inlineStr">
        <is>
          <t>13:00</t>
        </is>
      </c>
    </row>
    <row r="257">
      <c r="A257" t="inlineStr">
        <is>
          <t>Escarcha Leo</t>
        </is>
      </c>
      <c r="B257" t="inlineStr">
        <is>
          <t>TCNz002PH:Waiting for requests</t>
        </is>
      </c>
      <c r="D257">
        <f>L257</f>
        <v/>
      </c>
      <c r="E257">
        <f>SUMIFS(J:J, G:G,             A257, H:H, B257, L:L, L257)</f>
        <v/>
      </c>
      <c r="F257" t="inlineStr">
        <is>
          <t>PH0010</t>
        </is>
      </c>
      <c r="G257" t="inlineStr">
        <is>
          <t>Escarcha Leo</t>
        </is>
      </c>
      <c r="H257" t="inlineStr">
        <is>
          <t>TCNz002PH:Waiting for requests</t>
        </is>
      </c>
      <c r="I257" s="1" t="n">
        <v>45943</v>
      </c>
      <c r="J257" t="n">
        <v>1</v>
      </c>
      <c r="L257">
        <f>IFERROR(LEFT(K257,             FIND(",", K257) - 1), "-")</f>
        <v/>
      </c>
      <c r="M257">
        <f>IFERROR(MID(K257,             FIND(",", K257) + 1, LEN(K257) - FIND(",", K257)), K257)</f>
        <v/>
      </c>
      <c r="N257" t="n">
        <v>5</v>
      </c>
      <c r="P257" t="inlineStr">
        <is>
          <t>10:00</t>
        </is>
      </c>
      <c r="Q257" t="inlineStr">
        <is>
          <t>11:00</t>
        </is>
      </c>
    </row>
    <row r="258">
      <c r="A258" t="inlineStr">
        <is>
          <t>Escarcha Leo</t>
        </is>
      </c>
      <c r="B258" t="inlineStr">
        <is>
          <t>TCNz002PH:Waiting for requests</t>
        </is>
      </c>
      <c r="D258">
        <f>L258</f>
        <v/>
      </c>
      <c r="E258">
        <f>SUMIFS(J:J, G:G,             A258, H:H, B258, L:L, L258)</f>
        <v/>
      </c>
      <c r="F258" t="inlineStr">
        <is>
          <t>PH0010</t>
        </is>
      </c>
      <c r="G258" t="inlineStr">
        <is>
          <t>Escarcha Leo</t>
        </is>
      </c>
      <c r="H258" t="inlineStr">
        <is>
          <t>TCNz002PH:Waiting for requests</t>
        </is>
      </c>
      <c r="I258" s="1" t="n">
        <v>45943</v>
      </c>
      <c r="J258" t="n">
        <v>3</v>
      </c>
      <c r="L258">
        <f>IFERROR(LEFT(K258,             FIND(",", K258) - 1), "-")</f>
        <v/>
      </c>
      <c r="M258">
        <f>IFERROR(MID(K258,             FIND(",", K258) + 1, LEN(K258) - FIND(",", K258)), K258)</f>
        <v/>
      </c>
      <c r="N258" t="n">
        <v>5</v>
      </c>
      <c r="P258" t="inlineStr">
        <is>
          <t>12:00</t>
        </is>
      </c>
      <c r="Q258" t="inlineStr">
        <is>
          <t>15:00</t>
        </is>
      </c>
    </row>
    <row r="259">
      <c r="A259" t="inlineStr">
        <is>
          <t>Escarcha Leo</t>
        </is>
      </c>
      <c r="B259" t="inlineStr">
        <is>
          <t>TCNz002PH:Waiting for requests</t>
        </is>
      </c>
      <c r="D259">
        <f>L259</f>
        <v/>
      </c>
      <c r="E259">
        <f>SUMIFS(J:J, G:G,             A259, H:H, B259, L:L, L259)</f>
        <v/>
      </c>
      <c r="F259" t="inlineStr">
        <is>
          <t>PH0010</t>
        </is>
      </c>
      <c r="G259" t="inlineStr">
        <is>
          <t>Escarcha Leo</t>
        </is>
      </c>
      <c r="H259" t="inlineStr">
        <is>
          <t>TCNz002PH:Waiting for requests</t>
        </is>
      </c>
      <c r="I259" s="1" t="n">
        <v>45943</v>
      </c>
      <c r="J259" t="n">
        <v>1.75</v>
      </c>
      <c r="L259">
        <f>IFERROR(LEFT(K259,             FIND(",", K259) - 1), "-")</f>
        <v/>
      </c>
      <c r="M259">
        <f>IFERROR(MID(K259,             FIND(",", K259) + 1, LEN(K259) - FIND(",", K259)), K259)</f>
        <v/>
      </c>
      <c r="N259" t="n">
        <v>5</v>
      </c>
      <c r="P259" t="inlineStr">
        <is>
          <t>15:15</t>
        </is>
      </c>
      <c r="Q259" t="inlineStr">
        <is>
          <t>17:00</t>
        </is>
      </c>
    </row>
    <row r="260">
      <c r="A260" t="inlineStr">
        <is>
          <t>Escarcha Leo</t>
        </is>
      </c>
      <c r="B260" t="inlineStr">
        <is>
          <t>TCNz002PH:Waiting for requests</t>
        </is>
      </c>
      <c r="D260">
        <f>L260</f>
        <v/>
      </c>
      <c r="E260">
        <f>SUMIFS(J:J, G:G,             A260, H:H, B260, L:L, L260)</f>
        <v/>
      </c>
      <c r="F260" t="inlineStr">
        <is>
          <t>PH0010</t>
        </is>
      </c>
      <c r="G260" t="inlineStr">
        <is>
          <t>Escarcha Leo</t>
        </is>
      </c>
      <c r="H260" t="inlineStr">
        <is>
          <t>TCNz002PH:Waiting for requests</t>
        </is>
      </c>
      <c r="I260" s="1" t="n">
        <v>45944</v>
      </c>
      <c r="J260" t="n">
        <v>3</v>
      </c>
      <c r="L260">
        <f>IFERROR(LEFT(K260,             FIND(",", K260) - 1), "-")</f>
        <v/>
      </c>
      <c r="M260">
        <f>IFERROR(MID(K260,             FIND(",", K260) + 1, LEN(K260) - FIND(",", K260)), K260)</f>
        <v/>
      </c>
      <c r="N260" t="n">
        <v>5</v>
      </c>
      <c r="P260" t="inlineStr">
        <is>
          <t>08:00</t>
        </is>
      </c>
      <c r="Q260" t="inlineStr">
        <is>
          <t>11:00</t>
        </is>
      </c>
    </row>
    <row r="261">
      <c r="A261" t="inlineStr">
        <is>
          <t>Escarcha Leo</t>
        </is>
      </c>
      <c r="B261" t="inlineStr">
        <is>
          <t>TCNz002PH:Waiting for requests</t>
        </is>
      </c>
      <c r="D261">
        <f>L261</f>
        <v/>
      </c>
      <c r="E261">
        <f>SUMIFS(J:J, G:G,             A261, H:H, B261, L:L, L261)</f>
        <v/>
      </c>
      <c r="F261" t="inlineStr">
        <is>
          <t>PH0010</t>
        </is>
      </c>
      <c r="G261" t="inlineStr">
        <is>
          <t>Escarcha Leo</t>
        </is>
      </c>
      <c r="H261" t="inlineStr">
        <is>
          <t>TCNz002PH:Waiting for requests</t>
        </is>
      </c>
      <c r="I261" s="1" t="n">
        <v>45944</v>
      </c>
      <c r="J261" t="n">
        <v>3</v>
      </c>
      <c r="L261">
        <f>IFERROR(LEFT(K261,             FIND(",", K261) - 1), "-")</f>
        <v/>
      </c>
      <c r="M261">
        <f>IFERROR(MID(K261,             FIND(",", K261) + 1, LEN(K261) - FIND(",", K261)), K261)</f>
        <v/>
      </c>
      <c r="N261" t="n">
        <v>5</v>
      </c>
      <c r="P261" t="inlineStr">
        <is>
          <t>12:00</t>
        </is>
      </c>
      <c r="Q261" t="inlineStr">
        <is>
          <t>15:00</t>
        </is>
      </c>
    </row>
    <row r="262">
      <c r="A262" t="inlineStr">
        <is>
          <t>Escarcha Leo</t>
        </is>
      </c>
      <c r="B262" t="inlineStr">
        <is>
          <t>TCNz002PH:Waiting for requests</t>
        </is>
      </c>
      <c r="D262">
        <f>L262</f>
        <v/>
      </c>
      <c r="E262">
        <f>SUMIFS(J:J, G:G,             A262, H:H, B262, L:L, L262)</f>
        <v/>
      </c>
      <c r="F262" t="inlineStr">
        <is>
          <t>PH0010</t>
        </is>
      </c>
      <c r="G262" t="inlineStr">
        <is>
          <t>Escarcha Leo</t>
        </is>
      </c>
      <c r="H262" t="inlineStr">
        <is>
          <t>TCNz002PH:Waiting for requests</t>
        </is>
      </c>
      <c r="I262" s="1" t="n">
        <v>45944</v>
      </c>
      <c r="J262" t="n">
        <v>2</v>
      </c>
      <c r="L262">
        <f>IFERROR(LEFT(K262,             FIND(",", K262) - 1), "-")</f>
        <v/>
      </c>
      <c r="M262">
        <f>IFERROR(MID(K262,             FIND(",", K262) + 1, LEN(K262) - FIND(",", K262)), K262)</f>
        <v/>
      </c>
      <c r="N262" t="n">
        <v>5</v>
      </c>
      <c r="P262" t="inlineStr">
        <is>
          <t>15:15</t>
        </is>
      </c>
      <c r="Q262" t="inlineStr">
        <is>
          <t>17:15</t>
        </is>
      </c>
    </row>
    <row r="263">
      <c r="A263" t="inlineStr">
        <is>
          <t>Escarcha Leo</t>
        </is>
      </c>
      <c r="B263" t="inlineStr">
        <is>
          <t>TCNz002PH:Waiting for requests</t>
        </is>
      </c>
      <c r="D263">
        <f>L263</f>
        <v/>
      </c>
      <c r="E263">
        <f>SUMIFS(J:J, G:G,             A263, H:H, B263, L:L, L263)</f>
        <v/>
      </c>
      <c r="F263" t="inlineStr">
        <is>
          <t>PH0010</t>
        </is>
      </c>
      <c r="G263" t="inlineStr">
        <is>
          <t>Escarcha Leo</t>
        </is>
      </c>
      <c r="H263" t="inlineStr">
        <is>
          <t>TCNz002PH:Waiting for requests</t>
        </is>
      </c>
      <c r="I263" s="1" t="n">
        <v>45945</v>
      </c>
      <c r="J263" t="n">
        <v>2</v>
      </c>
      <c r="L263">
        <f>IFERROR(LEFT(K263,             FIND(",", K263) - 1), "-")</f>
        <v/>
      </c>
      <c r="M263">
        <f>IFERROR(MID(K263,             FIND(",", K263) + 1, LEN(K263) - FIND(",", K263)), K263)</f>
        <v/>
      </c>
      <c r="N263" t="n">
        <v>5</v>
      </c>
      <c r="P263" t="inlineStr">
        <is>
          <t>08:00</t>
        </is>
      </c>
      <c r="Q263" t="inlineStr">
        <is>
          <t>10:00</t>
        </is>
      </c>
    </row>
    <row r="264">
      <c r="A264" t="inlineStr">
        <is>
          <t>Escarcha Leo</t>
        </is>
      </c>
      <c r="B264" t="inlineStr">
        <is>
          <t>TCNz002PH:Waiting for requests</t>
        </is>
      </c>
      <c r="D264">
        <f>L264</f>
        <v/>
      </c>
      <c r="E264">
        <f>SUMIFS(J:J, G:G,             A264, H:H, B264, L:L, L264)</f>
        <v/>
      </c>
      <c r="F264" t="inlineStr">
        <is>
          <t>PH0010</t>
        </is>
      </c>
      <c r="G264" t="inlineStr">
        <is>
          <t>Escarcha Leo</t>
        </is>
      </c>
      <c r="H264" t="inlineStr">
        <is>
          <t>TCNz002PH:Waiting for requests</t>
        </is>
      </c>
      <c r="I264" s="1" t="n">
        <v>45950</v>
      </c>
      <c r="J264" t="n">
        <v>1.5</v>
      </c>
      <c r="L264">
        <f>IFERROR(LEFT(K264,             FIND(",", K264) - 1), "-")</f>
        <v/>
      </c>
      <c r="M264">
        <f>IFERROR(MID(K264,             FIND(",", K264) + 1, LEN(K264) - FIND(",", K264)), K264)</f>
        <v/>
      </c>
      <c r="N264" t="n">
        <v>5</v>
      </c>
      <c r="P264" t="inlineStr">
        <is>
          <t>13:30</t>
        </is>
      </c>
      <c r="Q264" t="inlineStr">
        <is>
          <t>15:00</t>
        </is>
      </c>
    </row>
    <row r="265">
      <c r="A265" t="inlineStr">
        <is>
          <t>Escarcha Leo</t>
        </is>
      </c>
      <c r="B265" t="inlineStr">
        <is>
          <t>TCNz002PH:Waiting for requests</t>
        </is>
      </c>
      <c r="D265">
        <f>L265</f>
        <v/>
      </c>
      <c r="E265">
        <f>SUMIFS(J:J, G:G,             A265, H:H, B265, L:L, L265)</f>
        <v/>
      </c>
      <c r="F265" t="inlineStr">
        <is>
          <t>PH0010</t>
        </is>
      </c>
      <c r="G265" t="inlineStr">
        <is>
          <t>Escarcha Leo</t>
        </is>
      </c>
      <c r="H265" t="inlineStr">
        <is>
          <t>TCNz002PH:Waiting for requests</t>
        </is>
      </c>
      <c r="I265" s="1" t="n">
        <v>45950</v>
      </c>
      <c r="J265" t="n">
        <v>1.75</v>
      </c>
      <c r="L265">
        <f>IFERROR(LEFT(K265,             FIND(",", K265) - 1), "-")</f>
        <v/>
      </c>
      <c r="M265">
        <f>IFERROR(MID(K265,             FIND(",", K265) + 1, LEN(K265) - FIND(",", K265)), K265)</f>
        <v/>
      </c>
      <c r="N265" t="n">
        <v>5</v>
      </c>
      <c r="P265" t="inlineStr">
        <is>
          <t>15:15</t>
        </is>
      </c>
      <c r="Q265" t="inlineStr">
        <is>
          <t>17:00</t>
        </is>
      </c>
    </row>
    <row r="266">
      <c r="A266" t="inlineStr">
        <is>
          <t>Escarcha Leo</t>
        </is>
      </c>
      <c r="B266" t="inlineStr">
        <is>
          <t>TCNz002PH:Waiting for requests</t>
        </is>
      </c>
      <c r="D266">
        <f>L266</f>
        <v/>
      </c>
      <c r="E266">
        <f>SUMIFS(J:J, G:G,             A266, H:H, B266, L:L, L266)</f>
        <v/>
      </c>
      <c r="F266" t="inlineStr">
        <is>
          <t>PH0010</t>
        </is>
      </c>
      <c r="G266" t="inlineStr">
        <is>
          <t>Escarcha Leo</t>
        </is>
      </c>
      <c r="H266" t="inlineStr">
        <is>
          <t>TCNz002PH:Waiting for requests</t>
        </is>
      </c>
      <c r="I266" s="1" t="n">
        <v>45951</v>
      </c>
      <c r="J266" t="n">
        <v>1.75</v>
      </c>
      <c r="L266">
        <f>IFERROR(LEFT(K266,             FIND(",", K266) - 1), "-")</f>
        <v/>
      </c>
      <c r="M266">
        <f>IFERROR(MID(K266,             FIND(",", K266) + 1, LEN(K266) - FIND(",", K266)), K266)</f>
        <v/>
      </c>
      <c r="N266" t="n">
        <v>5</v>
      </c>
      <c r="P266" t="inlineStr">
        <is>
          <t>15:15</t>
        </is>
      </c>
      <c r="Q266" t="inlineStr">
        <is>
          <t>17:00</t>
        </is>
      </c>
    </row>
    <row r="267">
      <c r="A267" t="inlineStr">
        <is>
          <t>Escarcha Leo</t>
        </is>
      </c>
      <c r="B267" t="inlineStr">
        <is>
          <t>TCNz002PH:Waiting for requests</t>
        </is>
      </c>
      <c r="D267">
        <f>L267</f>
        <v/>
      </c>
      <c r="E267">
        <f>SUMIFS(J:J, G:G,             A267, H:H, B267, L:L, L267)</f>
        <v/>
      </c>
      <c r="F267" t="inlineStr">
        <is>
          <t>PH0010</t>
        </is>
      </c>
      <c r="G267" t="inlineStr">
        <is>
          <t>Escarcha Leo</t>
        </is>
      </c>
      <c r="H267" t="inlineStr">
        <is>
          <t>TCNz002PH:Waiting for requests</t>
        </is>
      </c>
      <c r="I267" s="1" t="n">
        <v>45953</v>
      </c>
      <c r="J267" t="n">
        <v>3</v>
      </c>
      <c r="L267">
        <f>IFERROR(LEFT(K267,             FIND(",", K267) - 1), "-")</f>
        <v/>
      </c>
      <c r="M267">
        <f>IFERROR(MID(K267,             FIND(",", K267) + 1, LEN(K267) - FIND(",", K267)), K267)</f>
        <v/>
      </c>
      <c r="N267" t="n">
        <v>5</v>
      </c>
      <c r="P267" t="inlineStr">
        <is>
          <t>12:00</t>
        </is>
      </c>
      <c r="Q267" t="inlineStr">
        <is>
          <t>15:00</t>
        </is>
      </c>
    </row>
    <row r="268">
      <c r="A268" t="inlineStr">
        <is>
          <t>Escarcha Leo</t>
        </is>
      </c>
      <c r="B268" t="inlineStr">
        <is>
          <t>TCNz002PH:Waiting for requests</t>
        </is>
      </c>
      <c r="D268">
        <f>L268</f>
        <v/>
      </c>
      <c r="E268">
        <f>SUMIFS(J:J, G:G,             A268, H:H, B268, L:L, L268)</f>
        <v/>
      </c>
      <c r="F268" t="inlineStr">
        <is>
          <t>PH0010</t>
        </is>
      </c>
      <c r="G268" t="inlineStr">
        <is>
          <t>Escarcha Leo</t>
        </is>
      </c>
      <c r="H268" t="inlineStr">
        <is>
          <t>TCNz002PH:Waiting for requests</t>
        </is>
      </c>
      <c r="I268" s="1" t="n">
        <v>45953</v>
      </c>
      <c r="J268" t="n">
        <v>1.75</v>
      </c>
      <c r="L268">
        <f>IFERROR(LEFT(K268,             FIND(",", K268) - 1), "-")</f>
        <v/>
      </c>
      <c r="M268">
        <f>IFERROR(MID(K268,             FIND(",", K268) + 1, LEN(K268) - FIND(",", K268)), K268)</f>
        <v/>
      </c>
      <c r="N268" t="n">
        <v>5</v>
      </c>
      <c r="P268" t="inlineStr">
        <is>
          <t>15:15</t>
        </is>
      </c>
      <c r="Q268" t="inlineStr">
        <is>
          <t>17:00</t>
        </is>
      </c>
    </row>
    <row r="269">
      <c r="A269" t="inlineStr">
        <is>
          <t>Escarcha Leo</t>
        </is>
      </c>
      <c r="B269" t="inlineStr">
        <is>
          <t>TCNz004PH:SMS NewDev</t>
        </is>
      </c>
      <c r="C269">
        <f>SUMIFS(J:J, G:G,             A269, H:H, B269)</f>
        <v/>
      </c>
      <c r="D269">
        <f>L269</f>
        <v/>
      </c>
      <c r="E269">
        <f>SUMIFS(J:J, G:G,             A269, H:H, B269, L:L, L269)</f>
        <v/>
      </c>
      <c r="F269" t="inlineStr">
        <is>
          <t>PH0010</t>
        </is>
      </c>
      <c r="G269" t="inlineStr">
        <is>
          <t>Escarcha Leo</t>
        </is>
      </c>
      <c r="H269" t="inlineStr">
        <is>
          <t>TCNz004PH:SMS NewDev</t>
        </is>
      </c>
      <c r="I269" s="1" t="n">
        <v>45933</v>
      </c>
      <c r="J269" t="n">
        <v>2</v>
      </c>
      <c r="L269">
        <f>IFERROR(LEFT(K269,             FIND(",", K269) - 1), "-")</f>
        <v/>
      </c>
      <c r="M269">
        <f>IFERROR(MID(K269,             FIND(",", K269) + 1, LEN(K269) - FIND(",", K269)), K269)</f>
        <v/>
      </c>
      <c r="P269" t="inlineStr">
        <is>
          <t>15:15</t>
        </is>
      </c>
      <c r="Q269" t="inlineStr">
        <is>
          <t>17:15</t>
        </is>
      </c>
    </row>
    <row r="270">
      <c r="A270" t="inlineStr">
        <is>
          <t>Escarcha Leo</t>
        </is>
      </c>
      <c r="B270" t="inlineStr">
        <is>
          <t>TCNz004PH:SMS NewDev</t>
        </is>
      </c>
      <c r="D270">
        <f>L270</f>
        <v/>
      </c>
      <c r="E270">
        <f>SUMIFS(J:J, G:G,             A270, H:H, B270, L:L, L270)</f>
        <v/>
      </c>
      <c r="F270" t="inlineStr">
        <is>
          <t>PH0010</t>
        </is>
      </c>
      <c r="G270" t="inlineStr">
        <is>
          <t>Escarcha Leo</t>
        </is>
      </c>
      <c r="H270" t="inlineStr">
        <is>
          <t>TCNz004PH:SMS NewDev</t>
        </is>
      </c>
      <c r="I270" s="1" t="n">
        <v>45936</v>
      </c>
      <c r="J270" t="n">
        <v>1.25</v>
      </c>
      <c r="L270">
        <f>IFERROR(LEFT(K270,             FIND(",", K270) - 1), "-")</f>
        <v/>
      </c>
      <c r="M270">
        <f>IFERROR(MID(K270,             FIND(",", K270) + 1, LEN(K270) - FIND(",", K270)), K270)</f>
        <v/>
      </c>
      <c r="P270" t="inlineStr">
        <is>
          <t>08:00</t>
        </is>
      </c>
      <c r="Q270" t="inlineStr">
        <is>
          <t>09:15</t>
        </is>
      </c>
    </row>
    <row r="271">
      <c r="A271" t="inlineStr">
        <is>
          <t>Escarcha Leo</t>
        </is>
      </c>
      <c r="B271" t="inlineStr">
        <is>
          <t>TCNz004PH:SMS NewDev</t>
        </is>
      </c>
      <c r="D271">
        <f>L271</f>
        <v/>
      </c>
      <c r="E271">
        <f>SUMIFS(J:J, G:G,             A271, H:H, B271, L:L, L271)</f>
        <v/>
      </c>
      <c r="F271" t="inlineStr">
        <is>
          <t>PH0010</t>
        </is>
      </c>
      <c r="G271" t="inlineStr">
        <is>
          <t>Escarcha Leo</t>
        </is>
      </c>
      <c r="H271" t="inlineStr">
        <is>
          <t>TCNz004PH:SMS NewDev</t>
        </is>
      </c>
      <c r="I271" s="1" t="n">
        <v>45937</v>
      </c>
      <c r="J271" t="n">
        <v>1.75</v>
      </c>
      <c r="L271">
        <f>IFERROR(LEFT(K271,             FIND(",", K271) - 1), "-")</f>
        <v/>
      </c>
      <c r="M271">
        <f>IFERROR(MID(K271,             FIND(",", K271) + 1, LEN(K271) - FIND(",", K271)), K271)</f>
        <v/>
      </c>
      <c r="P271" t="inlineStr">
        <is>
          <t>15:15</t>
        </is>
      </c>
      <c r="Q271" t="inlineStr">
        <is>
          <t>17:00</t>
        </is>
      </c>
    </row>
    <row r="272">
      <c r="A272" t="inlineStr">
        <is>
          <t>Escarcha Leo</t>
        </is>
      </c>
      <c r="B272" t="inlineStr">
        <is>
          <t>TCNz004PH:SMS NewDev</t>
        </is>
      </c>
      <c r="D272">
        <f>L272</f>
        <v/>
      </c>
      <c r="E272">
        <f>SUMIFS(J:J, G:G,             A272, H:H, B272, L:L, L272)</f>
        <v/>
      </c>
      <c r="F272" t="inlineStr">
        <is>
          <t>PH0010</t>
        </is>
      </c>
      <c r="G272" t="inlineStr">
        <is>
          <t>Escarcha Leo</t>
        </is>
      </c>
      <c r="H272" t="inlineStr">
        <is>
          <t>TCNz004PH:SMS NewDev</t>
        </is>
      </c>
      <c r="I272" s="1" t="n">
        <v>45938</v>
      </c>
      <c r="J272" t="n">
        <v>2.25</v>
      </c>
      <c r="L272">
        <f>IFERROR(LEFT(K272,             FIND(",", K272) - 1), "-")</f>
        <v/>
      </c>
      <c r="M272">
        <f>IFERROR(MID(K272,             FIND(",", K272) + 1, LEN(K272) - FIND(",", K272)), K272)</f>
        <v/>
      </c>
      <c r="P272" t="inlineStr">
        <is>
          <t>08:00</t>
        </is>
      </c>
      <c r="Q272" t="inlineStr">
        <is>
          <t>10:15</t>
        </is>
      </c>
    </row>
    <row r="273">
      <c r="A273" t="inlineStr">
        <is>
          <t>Escarcha Leo</t>
        </is>
      </c>
      <c r="B273" t="inlineStr">
        <is>
          <t>TCNz004PH:SMS NewDev</t>
        </is>
      </c>
      <c r="D273">
        <f>L273</f>
        <v/>
      </c>
      <c r="E273">
        <f>SUMIFS(J:J, G:G,             A273, H:H, B273, L:L, L273)</f>
        <v/>
      </c>
      <c r="F273" t="inlineStr">
        <is>
          <t>PH0010</t>
        </is>
      </c>
      <c r="G273" t="inlineStr">
        <is>
          <t>Escarcha Leo</t>
        </is>
      </c>
      <c r="H273" t="inlineStr">
        <is>
          <t>TCNz004PH:SMS NewDev</t>
        </is>
      </c>
      <c r="I273" s="1" t="n">
        <v>45939</v>
      </c>
      <c r="J273" t="n">
        <v>2.5</v>
      </c>
      <c r="L273">
        <f>IFERROR(LEFT(K273,             FIND(",", K273) - 1), "-")</f>
        <v/>
      </c>
      <c r="M273">
        <f>IFERROR(MID(K273,             FIND(",", K273) + 1, LEN(K273) - FIND(",", K273)), K273)</f>
        <v/>
      </c>
      <c r="P273" t="inlineStr">
        <is>
          <t>13:00</t>
        </is>
      </c>
      <c r="Q273" t="inlineStr">
        <is>
          <t>15:30</t>
        </is>
      </c>
    </row>
    <row r="274">
      <c r="A274" t="inlineStr">
        <is>
          <t>Escarcha Leo</t>
        </is>
      </c>
      <c r="B274" t="inlineStr">
        <is>
          <t>TCNz004PH:SMS NewDev</t>
        </is>
      </c>
      <c r="D274">
        <f>L274</f>
        <v/>
      </c>
      <c r="E274">
        <f>SUMIFS(J:J, G:G,             A274, H:H, B274, L:L, L274)</f>
        <v/>
      </c>
      <c r="F274" t="inlineStr">
        <is>
          <t>PH0010</t>
        </is>
      </c>
      <c r="G274" t="inlineStr">
        <is>
          <t>Escarcha Leo</t>
        </is>
      </c>
      <c r="H274" t="inlineStr">
        <is>
          <t>TCNz004PH:SMS NewDev</t>
        </is>
      </c>
      <c r="I274" s="1" t="n">
        <v>45939</v>
      </c>
      <c r="J274" t="n">
        <v>2</v>
      </c>
      <c r="L274">
        <f>IFERROR(LEFT(K274,             FIND(",", K274) - 1), "-")</f>
        <v/>
      </c>
      <c r="M274">
        <f>IFERROR(MID(K274,             FIND(",", K274) + 1, LEN(K274) - FIND(",", K274)), K274)</f>
        <v/>
      </c>
      <c r="P274" t="inlineStr">
        <is>
          <t>15:45</t>
        </is>
      </c>
      <c r="Q274" t="inlineStr">
        <is>
          <t>17:45</t>
        </is>
      </c>
    </row>
    <row r="275">
      <c r="A275" t="inlineStr">
        <is>
          <t>Escarcha Leo</t>
        </is>
      </c>
      <c r="B275" t="inlineStr">
        <is>
          <t>TCNz004PH:SMS NewDev</t>
        </is>
      </c>
      <c r="D275">
        <f>L275</f>
        <v/>
      </c>
      <c r="E275">
        <f>SUMIFS(J:J, G:G,             A275, H:H, B275, L:L, L275)</f>
        <v/>
      </c>
      <c r="F275" t="inlineStr">
        <is>
          <t>PH0010</t>
        </is>
      </c>
      <c r="G275" t="inlineStr">
        <is>
          <t>Escarcha Leo</t>
        </is>
      </c>
      <c r="H275" t="inlineStr">
        <is>
          <t>TCNz004PH:SMS NewDev</t>
        </is>
      </c>
      <c r="I275" s="1" t="n">
        <v>45940</v>
      </c>
      <c r="J275" t="n">
        <v>3</v>
      </c>
      <c r="L275">
        <f>IFERROR(LEFT(K275,             FIND(",", K275) - 1), "-")</f>
        <v/>
      </c>
      <c r="M275">
        <f>IFERROR(MID(K275,             FIND(",", K275) + 1, LEN(K275) - FIND(",", K275)), K275)</f>
        <v/>
      </c>
      <c r="P275" t="inlineStr">
        <is>
          <t>08:00</t>
        </is>
      </c>
      <c r="Q275" t="inlineStr">
        <is>
          <t>11:00</t>
        </is>
      </c>
    </row>
    <row r="276">
      <c r="A276" t="inlineStr">
        <is>
          <t>Escarcha Leo</t>
        </is>
      </c>
      <c r="B276" t="inlineStr">
        <is>
          <t>TCNz004PH:SMS NewDev</t>
        </is>
      </c>
      <c r="D276">
        <f>L276</f>
        <v/>
      </c>
      <c r="E276">
        <f>SUMIFS(J:J, G:G,             A276, H:H, B276, L:L, L276)</f>
        <v/>
      </c>
      <c r="F276" t="inlineStr">
        <is>
          <t>PH0010</t>
        </is>
      </c>
      <c r="G276" t="inlineStr">
        <is>
          <t>Escarcha Leo</t>
        </is>
      </c>
      <c r="H276" t="inlineStr">
        <is>
          <t>TCNz004PH:SMS NewDev</t>
        </is>
      </c>
      <c r="I276" s="1" t="n">
        <v>45940</v>
      </c>
      <c r="J276" t="n">
        <v>3</v>
      </c>
      <c r="L276">
        <f>IFERROR(LEFT(K276,             FIND(",", K276) - 1), "-")</f>
        <v/>
      </c>
      <c r="M276">
        <f>IFERROR(MID(K276,             FIND(",", K276) + 1, LEN(K276) - FIND(",", K276)), K276)</f>
        <v/>
      </c>
      <c r="P276" t="inlineStr">
        <is>
          <t>12:00</t>
        </is>
      </c>
      <c r="Q276" t="inlineStr">
        <is>
          <t>15:00</t>
        </is>
      </c>
    </row>
    <row r="277">
      <c r="A277" t="inlineStr">
        <is>
          <t>Escarcha Leo</t>
        </is>
      </c>
      <c r="B277" t="inlineStr">
        <is>
          <t>TCNz004PH:SMS NewDev</t>
        </is>
      </c>
      <c r="D277">
        <f>L277</f>
        <v/>
      </c>
      <c r="E277">
        <f>SUMIFS(J:J, G:G,             A277, H:H, B277, L:L, L277)</f>
        <v/>
      </c>
      <c r="F277" t="inlineStr">
        <is>
          <t>PH0010</t>
        </is>
      </c>
      <c r="G277" t="inlineStr">
        <is>
          <t>Escarcha Leo</t>
        </is>
      </c>
      <c r="H277" t="inlineStr">
        <is>
          <t>TCNz004PH:SMS NewDev</t>
        </is>
      </c>
      <c r="I277" s="1" t="n">
        <v>45940</v>
      </c>
      <c r="J277" t="n">
        <v>2.75</v>
      </c>
      <c r="L277">
        <f>IFERROR(LEFT(K277,             FIND(",", K277) - 1), "-")</f>
        <v/>
      </c>
      <c r="M277">
        <f>IFERROR(MID(K277,             FIND(",", K277) + 1, LEN(K277) - FIND(",", K277)), K277)</f>
        <v/>
      </c>
      <c r="P277" t="inlineStr">
        <is>
          <t>15:15</t>
        </is>
      </c>
      <c r="Q277" t="inlineStr">
        <is>
          <t>18:00</t>
        </is>
      </c>
    </row>
    <row r="278">
      <c r="A278" t="inlineStr">
        <is>
          <t>Escarcha Leo</t>
        </is>
      </c>
      <c r="B278" t="inlineStr">
        <is>
          <t>TCNz004PH:SMS NewDev</t>
        </is>
      </c>
      <c r="D278">
        <f>L278</f>
        <v/>
      </c>
      <c r="E278">
        <f>SUMIFS(J:J, G:G,             A278, H:H, B278, L:L, L278)</f>
        <v/>
      </c>
      <c r="F278" t="inlineStr">
        <is>
          <t>PH0010</t>
        </is>
      </c>
      <c r="G278" t="inlineStr">
        <is>
          <t>Escarcha Leo</t>
        </is>
      </c>
      <c r="H278" t="inlineStr">
        <is>
          <t>TCNz004PH:SMS NewDev</t>
        </is>
      </c>
      <c r="I278" s="1" t="n">
        <v>45943</v>
      </c>
      <c r="J278" t="n">
        <v>2</v>
      </c>
      <c r="L278">
        <f>IFERROR(LEFT(K278,             FIND(",", K278) - 1), "-")</f>
        <v/>
      </c>
      <c r="M278">
        <f>IFERROR(MID(K278,             FIND(",", K278) + 1, LEN(K278) - FIND(",", K278)), K278)</f>
        <v/>
      </c>
      <c r="P278" t="inlineStr">
        <is>
          <t>08:00</t>
        </is>
      </c>
      <c r="Q278" t="inlineStr">
        <is>
          <t>10:00</t>
        </is>
      </c>
    </row>
    <row r="279">
      <c r="A279" t="inlineStr">
        <is>
          <t>Escarcha Leo</t>
        </is>
      </c>
      <c r="B279" t="inlineStr">
        <is>
          <t>TCNz004PH:SMS NewDev</t>
        </is>
      </c>
      <c r="D279">
        <f>L279</f>
        <v/>
      </c>
      <c r="E279">
        <f>SUMIFS(J:J, G:G,             A279, H:H, B279, L:L, L279)</f>
        <v/>
      </c>
      <c r="F279" t="inlineStr">
        <is>
          <t>PH0010</t>
        </is>
      </c>
      <c r="G279" t="inlineStr">
        <is>
          <t>Escarcha Leo</t>
        </is>
      </c>
      <c r="H279" t="inlineStr">
        <is>
          <t>TCNz004PH:SMS NewDev</t>
        </is>
      </c>
      <c r="I279" s="1" t="n">
        <v>45945</v>
      </c>
      <c r="J279" t="n">
        <v>1</v>
      </c>
      <c r="L279">
        <f>IFERROR(LEFT(K279,             FIND(",", K279) - 1), "-")</f>
        <v/>
      </c>
      <c r="M279">
        <f>IFERROR(MID(K279,             FIND(",", K279) + 1, LEN(K279) - FIND(",", K279)), K279)</f>
        <v/>
      </c>
      <c r="P279" t="inlineStr">
        <is>
          <t>10:00</t>
        </is>
      </c>
      <c r="Q279" t="inlineStr">
        <is>
          <t>11:00</t>
        </is>
      </c>
    </row>
    <row r="280">
      <c r="A280" t="inlineStr">
        <is>
          <t>Escarcha Leo</t>
        </is>
      </c>
      <c r="B280" t="inlineStr">
        <is>
          <t>TCNz004PH:SMS NewDev</t>
        </is>
      </c>
      <c r="D280">
        <f>L280</f>
        <v/>
      </c>
      <c r="E280">
        <f>SUMIFS(J:J, G:G,             A280, H:H, B280, L:L, L280)</f>
        <v/>
      </c>
      <c r="F280" t="inlineStr">
        <is>
          <t>PH0010</t>
        </is>
      </c>
      <c r="G280" t="inlineStr">
        <is>
          <t>Escarcha Leo</t>
        </is>
      </c>
      <c r="H280" t="inlineStr">
        <is>
          <t>TCNz004PH:SMS NewDev</t>
        </is>
      </c>
      <c r="I280" s="1" t="n">
        <v>45945</v>
      </c>
      <c r="J280" t="n">
        <v>3</v>
      </c>
      <c r="L280">
        <f>IFERROR(LEFT(K280,             FIND(",", K280) - 1), "-")</f>
        <v/>
      </c>
      <c r="M280">
        <f>IFERROR(MID(K280,             FIND(",", K280) + 1, LEN(K280) - FIND(",", K280)), K280)</f>
        <v/>
      </c>
      <c r="P280" t="inlineStr">
        <is>
          <t>12:00</t>
        </is>
      </c>
      <c r="Q280" t="inlineStr">
        <is>
          <t>15:00</t>
        </is>
      </c>
    </row>
    <row r="281">
      <c r="A281" t="inlineStr">
        <is>
          <t>Escarcha Leo</t>
        </is>
      </c>
      <c r="B281" t="inlineStr">
        <is>
          <t>TCNz004PH:SMS NewDev</t>
        </is>
      </c>
      <c r="D281">
        <f>L281</f>
        <v/>
      </c>
      <c r="E281">
        <f>SUMIFS(J:J, G:G,             A281, H:H, B281, L:L, L281)</f>
        <v/>
      </c>
      <c r="F281" t="inlineStr">
        <is>
          <t>PH0010</t>
        </is>
      </c>
      <c r="G281" t="inlineStr">
        <is>
          <t>Escarcha Leo</t>
        </is>
      </c>
      <c r="H281" t="inlineStr">
        <is>
          <t>TCNz004PH:SMS NewDev</t>
        </is>
      </c>
      <c r="I281" s="1" t="n">
        <v>45945</v>
      </c>
      <c r="J281" t="n">
        <v>1.75</v>
      </c>
      <c r="L281">
        <f>IFERROR(LEFT(K281,             FIND(",", K281) - 1), "-")</f>
        <v/>
      </c>
      <c r="M281">
        <f>IFERROR(MID(K281,             FIND(",", K281) + 1, LEN(K281) - FIND(",", K281)), K281)</f>
        <v/>
      </c>
      <c r="P281" t="inlineStr">
        <is>
          <t>15:15</t>
        </is>
      </c>
      <c r="Q281" t="inlineStr">
        <is>
          <t>17:00</t>
        </is>
      </c>
    </row>
    <row r="282">
      <c r="A282" t="inlineStr">
        <is>
          <t>Escarcha Leo</t>
        </is>
      </c>
      <c r="B282" t="inlineStr">
        <is>
          <t>TCNz004PH:SMS NewDev</t>
        </is>
      </c>
      <c r="D282">
        <f>L282</f>
        <v/>
      </c>
      <c r="E282">
        <f>SUMIFS(J:J, G:G,             A282, H:H, B282, L:L, L282)</f>
        <v/>
      </c>
      <c r="F282" t="inlineStr">
        <is>
          <t>PH0010</t>
        </is>
      </c>
      <c r="G282" t="inlineStr">
        <is>
          <t>Escarcha Leo</t>
        </is>
      </c>
      <c r="H282" t="inlineStr">
        <is>
          <t>TCNz004PH:SMS NewDev</t>
        </is>
      </c>
      <c r="I282" s="1" t="n">
        <v>45946</v>
      </c>
      <c r="J282" t="n">
        <v>3</v>
      </c>
      <c r="L282">
        <f>IFERROR(LEFT(K282,             FIND(",", K282) - 1), "-")</f>
        <v/>
      </c>
      <c r="M282">
        <f>IFERROR(MID(K282,             FIND(",", K282) + 1, LEN(K282) - FIND(",", K282)), K282)</f>
        <v/>
      </c>
      <c r="P282" t="inlineStr">
        <is>
          <t>08:00</t>
        </is>
      </c>
      <c r="Q282" t="inlineStr">
        <is>
          <t>11:00</t>
        </is>
      </c>
    </row>
    <row r="283">
      <c r="A283" t="inlineStr">
        <is>
          <t>Escarcha Leo</t>
        </is>
      </c>
      <c r="B283" t="inlineStr">
        <is>
          <t>TCNz004PH:SMS NewDev</t>
        </is>
      </c>
      <c r="D283">
        <f>L283</f>
        <v/>
      </c>
      <c r="E283">
        <f>SUMIFS(J:J, G:G,             A283, H:H, B283, L:L, L283)</f>
        <v/>
      </c>
      <c r="F283" t="inlineStr">
        <is>
          <t>PH0010</t>
        </is>
      </c>
      <c r="G283" t="inlineStr">
        <is>
          <t>Escarcha Leo</t>
        </is>
      </c>
      <c r="H283" t="inlineStr">
        <is>
          <t>TCNz004PH:SMS NewDev</t>
        </is>
      </c>
      <c r="I283" s="1" t="n">
        <v>45946</v>
      </c>
      <c r="J283" t="n">
        <v>3</v>
      </c>
      <c r="L283">
        <f>IFERROR(LEFT(K283,             FIND(",", K283) - 1), "-")</f>
        <v/>
      </c>
      <c r="M283">
        <f>IFERROR(MID(K283,             FIND(",", K283) + 1, LEN(K283) - FIND(",", K283)), K283)</f>
        <v/>
      </c>
      <c r="P283" t="inlineStr">
        <is>
          <t>12:00</t>
        </is>
      </c>
      <c r="Q283" t="inlineStr">
        <is>
          <t>15:00</t>
        </is>
      </c>
    </row>
    <row r="284">
      <c r="A284" t="inlineStr">
        <is>
          <t>Escarcha Leo</t>
        </is>
      </c>
      <c r="B284" t="inlineStr">
        <is>
          <t>TCNz004PH:SMS NewDev</t>
        </is>
      </c>
      <c r="D284">
        <f>L284</f>
        <v/>
      </c>
      <c r="E284">
        <f>SUMIFS(J:J, G:G,             A284, H:H, B284, L:L, L284)</f>
        <v/>
      </c>
      <c r="F284" t="inlineStr">
        <is>
          <t>PH0010</t>
        </is>
      </c>
      <c r="G284" t="inlineStr">
        <is>
          <t>Escarcha Leo</t>
        </is>
      </c>
      <c r="H284" t="inlineStr">
        <is>
          <t>TCNz004PH:SMS NewDev</t>
        </is>
      </c>
      <c r="I284" s="1" t="n">
        <v>45946</v>
      </c>
      <c r="J284" t="n">
        <v>1.75</v>
      </c>
      <c r="L284">
        <f>IFERROR(LEFT(K284,             FIND(",", K284) - 1), "-")</f>
        <v/>
      </c>
      <c r="M284">
        <f>IFERROR(MID(K284,             FIND(",", K284) + 1, LEN(K284) - FIND(",", K284)), K284)</f>
        <v/>
      </c>
      <c r="P284" t="inlineStr">
        <is>
          <t>15:15</t>
        </is>
      </c>
      <c r="Q284" t="inlineStr">
        <is>
          <t>17:00</t>
        </is>
      </c>
    </row>
    <row r="285">
      <c r="A285" t="inlineStr">
        <is>
          <t>Escarcha Leo</t>
        </is>
      </c>
      <c r="B285" t="inlineStr">
        <is>
          <t>TCNz004PH:SMS NewDev</t>
        </is>
      </c>
      <c r="D285">
        <f>L285</f>
        <v/>
      </c>
      <c r="E285">
        <f>SUMIFS(J:J, G:G,             A285, H:H, B285, L:L, L285)</f>
        <v/>
      </c>
      <c r="F285" t="inlineStr">
        <is>
          <t>PH0010</t>
        </is>
      </c>
      <c r="G285" t="inlineStr">
        <is>
          <t>Escarcha Leo</t>
        </is>
      </c>
      <c r="H285" t="inlineStr">
        <is>
          <t>TCNz004PH:SMS NewDev</t>
        </is>
      </c>
      <c r="I285" s="1" t="n">
        <v>45947</v>
      </c>
      <c r="J285" t="n">
        <v>1</v>
      </c>
      <c r="L285">
        <f>IFERROR(LEFT(K285,             FIND(",", K285) - 1), "-")</f>
        <v/>
      </c>
      <c r="M285">
        <f>IFERROR(MID(K285,             FIND(",", K285) + 1, LEN(K285) - FIND(",", K285)), K285)</f>
        <v/>
      </c>
      <c r="P285" t="inlineStr">
        <is>
          <t>14:00</t>
        </is>
      </c>
      <c r="Q285" t="inlineStr">
        <is>
          <t>15:00</t>
        </is>
      </c>
    </row>
    <row r="286">
      <c r="A286" t="inlineStr">
        <is>
          <t>Escarcha Leo</t>
        </is>
      </c>
      <c r="B286" t="inlineStr">
        <is>
          <t>TCNz004PH:SMS NewDev</t>
        </is>
      </c>
      <c r="D286">
        <f>L286</f>
        <v/>
      </c>
      <c r="E286">
        <f>SUMIFS(J:J, G:G,             A286, H:H, B286, L:L, L286)</f>
        <v/>
      </c>
      <c r="F286" t="inlineStr">
        <is>
          <t>PH0010</t>
        </is>
      </c>
      <c r="G286" t="inlineStr">
        <is>
          <t>Escarcha Leo</t>
        </is>
      </c>
      <c r="H286" t="inlineStr">
        <is>
          <t>TCNz004PH:SMS NewDev</t>
        </is>
      </c>
      <c r="I286" s="1" t="n">
        <v>45947</v>
      </c>
      <c r="J286" t="n">
        <v>2</v>
      </c>
      <c r="L286">
        <f>IFERROR(LEFT(K286,             FIND(",", K286) - 1), "-")</f>
        <v/>
      </c>
      <c r="M286">
        <f>IFERROR(MID(K286,             FIND(",", K286) + 1, LEN(K286) - FIND(",", K286)), K286)</f>
        <v/>
      </c>
      <c r="P286" t="inlineStr">
        <is>
          <t>15:15</t>
        </is>
      </c>
      <c r="Q286" t="inlineStr">
        <is>
          <t>17:15</t>
        </is>
      </c>
    </row>
    <row r="287">
      <c r="A287" t="inlineStr">
        <is>
          <t>Escarcha Leo</t>
        </is>
      </c>
      <c r="B287" t="inlineStr">
        <is>
          <t>TCNz004PH:SMS NewDev</t>
        </is>
      </c>
      <c r="D287">
        <f>L287</f>
        <v/>
      </c>
      <c r="E287">
        <f>SUMIFS(J:J, G:G,             A287, H:H, B287, L:L, L287)</f>
        <v/>
      </c>
      <c r="F287" t="inlineStr">
        <is>
          <t>PH0010</t>
        </is>
      </c>
      <c r="G287" t="inlineStr">
        <is>
          <t>Escarcha Leo</t>
        </is>
      </c>
      <c r="H287" t="inlineStr">
        <is>
          <t>TCNz004PH:SMS NewDev</t>
        </is>
      </c>
      <c r="I287" s="1" t="n">
        <v>45950</v>
      </c>
      <c r="J287" t="n">
        <v>3</v>
      </c>
      <c r="L287">
        <f>IFERROR(LEFT(K287,             FIND(",", K287) - 1), "-")</f>
        <v/>
      </c>
      <c r="M287">
        <f>IFERROR(MID(K287,             FIND(",", K287) + 1, LEN(K287) - FIND(",", K287)), K287)</f>
        <v/>
      </c>
      <c r="P287" t="inlineStr">
        <is>
          <t>08:00</t>
        </is>
      </c>
      <c r="Q287" t="inlineStr">
        <is>
          <t>11:00</t>
        </is>
      </c>
    </row>
    <row r="288">
      <c r="A288" t="inlineStr">
        <is>
          <t>Escarcha Leo</t>
        </is>
      </c>
      <c r="B288" t="inlineStr">
        <is>
          <t>TCNz004PH:SMS NewDev</t>
        </is>
      </c>
      <c r="D288">
        <f>L288</f>
        <v/>
      </c>
      <c r="E288">
        <f>SUMIFS(J:J, G:G,             A288, H:H, B288, L:L, L288)</f>
        <v/>
      </c>
      <c r="F288" t="inlineStr">
        <is>
          <t>PH0010</t>
        </is>
      </c>
      <c r="G288" t="inlineStr">
        <is>
          <t>Escarcha Leo</t>
        </is>
      </c>
      <c r="H288" t="inlineStr">
        <is>
          <t>TCNz004PH:SMS NewDev</t>
        </is>
      </c>
      <c r="I288" s="1" t="n">
        <v>45950</v>
      </c>
      <c r="J288" t="n">
        <v>1.5</v>
      </c>
      <c r="L288">
        <f>IFERROR(LEFT(K288,             FIND(",", K288) - 1), "-")</f>
        <v/>
      </c>
      <c r="M288">
        <f>IFERROR(MID(K288,             FIND(",", K288) + 1, LEN(K288) - FIND(",", K288)), K288)</f>
        <v/>
      </c>
      <c r="P288" t="inlineStr">
        <is>
          <t>12:00</t>
        </is>
      </c>
      <c r="Q288" t="inlineStr">
        <is>
          <t>13:30</t>
        </is>
      </c>
    </row>
    <row r="289">
      <c r="A289" t="inlineStr">
        <is>
          <t>Escarcha Leo</t>
        </is>
      </c>
      <c r="B289" t="inlineStr">
        <is>
          <t>TCNz004PH:SMS NewDev</t>
        </is>
      </c>
      <c r="D289">
        <f>L289</f>
        <v/>
      </c>
      <c r="E289">
        <f>SUMIFS(J:J, G:G,             A289, H:H, B289, L:L, L289)</f>
        <v/>
      </c>
      <c r="F289" t="inlineStr">
        <is>
          <t>PH0010</t>
        </is>
      </c>
      <c r="G289" t="inlineStr">
        <is>
          <t>Escarcha Leo</t>
        </is>
      </c>
      <c r="H289" t="inlineStr">
        <is>
          <t>TCNz004PH:SMS NewDev</t>
        </is>
      </c>
      <c r="I289" s="1" t="n">
        <v>45951</v>
      </c>
      <c r="J289" t="n">
        <v>3</v>
      </c>
      <c r="L289">
        <f>IFERROR(LEFT(K289,             FIND(",", K289) - 1), "-")</f>
        <v/>
      </c>
      <c r="M289">
        <f>IFERROR(MID(K289,             FIND(",", K289) + 1, LEN(K289) - FIND(",", K289)), K289)</f>
        <v/>
      </c>
      <c r="P289" t="inlineStr">
        <is>
          <t>08:00</t>
        </is>
      </c>
      <c r="Q289" t="inlineStr">
        <is>
          <t>11:00</t>
        </is>
      </c>
    </row>
    <row r="290">
      <c r="A290" t="inlineStr">
        <is>
          <t>Escarcha Leo</t>
        </is>
      </c>
      <c r="B290" t="inlineStr">
        <is>
          <t>TCNz004PH:SMS NewDev</t>
        </is>
      </c>
      <c r="D290">
        <f>L290</f>
        <v/>
      </c>
      <c r="E290">
        <f>SUMIFS(J:J, G:G,             A290, H:H, B290, L:L, L290)</f>
        <v/>
      </c>
      <c r="F290" t="inlineStr">
        <is>
          <t>PH0010</t>
        </is>
      </c>
      <c r="G290" t="inlineStr">
        <is>
          <t>Escarcha Leo</t>
        </is>
      </c>
      <c r="H290" t="inlineStr">
        <is>
          <t>TCNz004PH:SMS NewDev</t>
        </is>
      </c>
      <c r="I290" s="1" t="n">
        <v>45951</v>
      </c>
      <c r="J290" t="n">
        <v>3</v>
      </c>
      <c r="L290">
        <f>IFERROR(LEFT(K290,             FIND(",", K290) - 1), "-")</f>
        <v/>
      </c>
      <c r="M290">
        <f>IFERROR(MID(K290,             FIND(",", K290) + 1, LEN(K290) - FIND(",", K290)), K290)</f>
        <v/>
      </c>
      <c r="P290" t="inlineStr">
        <is>
          <t>12:00</t>
        </is>
      </c>
      <c r="Q290" t="inlineStr">
        <is>
          <t>15:00</t>
        </is>
      </c>
    </row>
    <row r="291">
      <c r="A291" t="inlineStr">
        <is>
          <t>Escarcha Leo</t>
        </is>
      </c>
      <c r="B291" t="inlineStr">
        <is>
          <t>TCNz004PH:SMS NewDev</t>
        </is>
      </c>
      <c r="D291">
        <f>L291</f>
        <v/>
      </c>
      <c r="E291">
        <f>SUMIFS(J:J, G:G,             A291, H:H, B291, L:L, L291)</f>
        <v/>
      </c>
      <c r="F291" t="inlineStr">
        <is>
          <t>PH0010</t>
        </is>
      </c>
      <c r="G291" t="inlineStr">
        <is>
          <t>Escarcha Leo</t>
        </is>
      </c>
      <c r="H291" t="inlineStr">
        <is>
          <t>TCNz004PH:SMS NewDev</t>
        </is>
      </c>
      <c r="I291" s="1" t="n">
        <v>45952</v>
      </c>
      <c r="J291" t="n">
        <v>2.5</v>
      </c>
      <c r="L291">
        <f>IFERROR(LEFT(K291,             FIND(",", K291) - 1), "-")</f>
        <v/>
      </c>
      <c r="M291">
        <f>IFERROR(MID(K291,             FIND(",", K291) + 1, LEN(K291) - FIND(",", K291)), K291)</f>
        <v/>
      </c>
      <c r="P291" t="inlineStr">
        <is>
          <t>08:30</t>
        </is>
      </c>
      <c r="Q291" t="inlineStr">
        <is>
          <t>11:00</t>
        </is>
      </c>
    </row>
    <row r="292">
      <c r="A292" t="inlineStr">
        <is>
          <t>Escarcha Leo</t>
        </is>
      </c>
      <c r="B292" t="inlineStr">
        <is>
          <t>TCNz004PH:SMS NewDev</t>
        </is>
      </c>
      <c r="D292">
        <f>L292</f>
        <v/>
      </c>
      <c r="E292">
        <f>SUMIFS(J:J, G:G,             A292, H:H, B292, L:L, L292)</f>
        <v/>
      </c>
      <c r="F292" t="inlineStr">
        <is>
          <t>PH0010</t>
        </is>
      </c>
      <c r="G292" t="inlineStr">
        <is>
          <t>Escarcha Leo</t>
        </is>
      </c>
      <c r="H292" t="inlineStr">
        <is>
          <t>TCNz004PH:SMS NewDev</t>
        </is>
      </c>
      <c r="I292" s="1" t="n">
        <v>45952</v>
      </c>
      <c r="J292" t="n">
        <v>3</v>
      </c>
      <c r="L292">
        <f>IFERROR(LEFT(K292,             FIND(",", K292) - 1), "-")</f>
        <v/>
      </c>
      <c r="M292">
        <f>IFERROR(MID(K292,             FIND(",", K292) + 1, LEN(K292) - FIND(",", K292)), K292)</f>
        <v/>
      </c>
      <c r="P292" t="inlineStr">
        <is>
          <t>12:00</t>
        </is>
      </c>
      <c r="Q292" t="inlineStr">
        <is>
          <t>15:00</t>
        </is>
      </c>
    </row>
    <row r="293">
      <c r="A293" t="inlineStr">
        <is>
          <t>Escarcha Leo</t>
        </is>
      </c>
      <c r="B293" t="inlineStr">
        <is>
          <t>TCNz004PH:SMS NewDev</t>
        </is>
      </c>
      <c r="D293">
        <f>L293</f>
        <v/>
      </c>
      <c r="E293">
        <f>SUMIFS(J:J, G:G,             A293, H:H, B293, L:L, L293)</f>
        <v/>
      </c>
      <c r="F293" t="inlineStr">
        <is>
          <t>PH0010</t>
        </is>
      </c>
      <c r="G293" t="inlineStr">
        <is>
          <t>Escarcha Leo</t>
        </is>
      </c>
      <c r="H293" t="inlineStr">
        <is>
          <t>TCNz004PH:SMS NewDev</t>
        </is>
      </c>
      <c r="I293" s="1" t="n">
        <v>45952</v>
      </c>
      <c r="J293" t="n">
        <v>2.5</v>
      </c>
      <c r="L293">
        <f>IFERROR(LEFT(K293,             FIND(",", K293) - 1), "-")</f>
        <v/>
      </c>
      <c r="M293">
        <f>IFERROR(MID(K293,             FIND(",", K293) + 1, LEN(K293) - FIND(",", K293)), K293)</f>
        <v/>
      </c>
      <c r="P293" t="inlineStr">
        <is>
          <t>15:15</t>
        </is>
      </c>
      <c r="Q293" t="inlineStr">
        <is>
          <t>17:45</t>
        </is>
      </c>
    </row>
    <row r="294">
      <c r="A294" t="inlineStr">
        <is>
          <t>Escarcha Leo</t>
        </is>
      </c>
      <c r="B294" t="inlineStr">
        <is>
          <t>TCNz004PH:SMS NewDev</t>
        </is>
      </c>
      <c r="D294">
        <f>L294</f>
        <v/>
      </c>
      <c r="E294">
        <f>SUMIFS(J:J, G:G,             A294, H:H, B294, L:L, L294)</f>
        <v/>
      </c>
      <c r="F294" t="inlineStr">
        <is>
          <t>PH0010</t>
        </is>
      </c>
      <c r="G294" t="inlineStr">
        <is>
          <t>Escarcha Leo</t>
        </is>
      </c>
      <c r="H294" t="inlineStr">
        <is>
          <t>TCNz004PH:SMS NewDev</t>
        </is>
      </c>
      <c r="I294" s="1" t="n">
        <v>45953</v>
      </c>
      <c r="J294" t="n">
        <v>3</v>
      </c>
      <c r="L294">
        <f>IFERROR(LEFT(K294,             FIND(",", K294) - 1), "-")</f>
        <v/>
      </c>
      <c r="M294">
        <f>IFERROR(MID(K294,             FIND(",", K294) + 1, LEN(K294) - FIND(",", K294)), K294)</f>
        <v/>
      </c>
      <c r="P294" t="inlineStr">
        <is>
          <t>08:00</t>
        </is>
      </c>
      <c r="Q294" t="inlineStr">
        <is>
          <t>11:00</t>
        </is>
      </c>
    </row>
    <row r="295">
      <c r="A295" t="inlineStr">
        <is>
          <t>Laxa Jeff</t>
        </is>
      </c>
      <c r="B295" t="inlineStr">
        <is>
          <t xml:space="preserve">ANAs001PH:ANASupport　　　</t>
        </is>
      </c>
      <c r="C295">
        <f>SUMIFS(J:J, G:G,             A295, H:H, B295)</f>
        <v/>
      </c>
      <c r="D295">
        <f>L295</f>
        <v/>
      </c>
      <c r="E295">
        <f>SUMIFS(J:J, G:G,             A295, H:H, B295, L:L, L295)</f>
        <v/>
      </c>
      <c r="F295" t="inlineStr">
        <is>
          <t>PH0019</t>
        </is>
      </c>
      <c r="G295" t="inlineStr">
        <is>
          <t>Laxa Jeff</t>
        </is>
      </c>
      <c r="H295" t="inlineStr">
        <is>
          <t xml:space="preserve">ANAs001PH:ANASupport　　　</t>
        </is>
      </c>
      <c r="I295" s="1" t="n">
        <v>45933</v>
      </c>
      <c r="J295" t="n">
        <v>1.25</v>
      </c>
      <c r="L295">
        <f>IFERROR(LEFT(K295,             FIND(",", K295) - 1), "-")</f>
        <v/>
      </c>
      <c r="M295">
        <f>IFERROR(MID(K295,             FIND(",", K295) + 1, LEN(K295) - FIND(",", K295)), K295)</f>
        <v/>
      </c>
      <c r="N295" t="n">
        <v>1</v>
      </c>
      <c r="P295" t="inlineStr">
        <is>
          <t>09:45</t>
        </is>
      </c>
      <c r="Q295" t="inlineStr">
        <is>
          <t>11:00</t>
        </is>
      </c>
    </row>
    <row r="296">
      <c r="A296" t="inlineStr">
        <is>
          <t>Laxa Jeff</t>
        </is>
      </c>
      <c r="B296" t="inlineStr">
        <is>
          <t xml:space="preserve">ANAs001PH:ANASupport　　　</t>
        </is>
      </c>
      <c r="D296">
        <f>L296</f>
        <v/>
      </c>
      <c r="E296">
        <f>SUMIFS(J:J, G:G,             A296, H:H, B296, L:L, L296)</f>
        <v/>
      </c>
      <c r="F296" t="inlineStr">
        <is>
          <t>PH0019</t>
        </is>
      </c>
      <c r="G296" t="inlineStr">
        <is>
          <t>Laxa Jeff</t>
        </is>
      </c>
      <c r="H296" t="inlineStr">
        <is>
          <t xml:space="preserve">ANAs001PH:ANASupport　　　</t>
        </is>
      </c>
      <c r="I296" s="1" t="n">
        <v>45933</v>
      </c>
      <c r="J296" t="n">
        <v>1</v>
      </c>
      <c r="L296">
        <f>IFERROR(LEFT(K296,             FIND(",", K296) - 1), "-")</f>
        <v/>
      </c>
      <c r="M296">
        <f>IFERROR(MID(K296,             FIND(",", K296) + 1, LEN(K296) - FIND(",", K296)), K296)</f>
        <v/>
      </c>
      <c r="N296" t="n">
        <v>1</v>
      </c>
      <c r="P296" t="inlineStr">
        <is>
          <t>12:00</t>
        </is>
      </c>
      <c r="Q296" t="inlineStr">
        <is>
          <t>13:00</t>
        </is>
      </c>
    </row>
    <row r="297">
      <c r="A297" t="inlineStr">
        <is>
          <t>Laxa Jeff</t>
        </is>
      </c>
      <c r="B297" t="inlineStr">
        <is>
          <t xml:space="preserve">ANAs001PH:ANASupport　　　</t>
        </is>
      </c>
      <c r="D297">
        <f>L297</f>
        <v/>
      </c>
      <c r="E297">
        <f>SUMIFS(J:J, G:G,             A297, H:H, B297, L:L, L297)</f>
        <v/>
      </c>
      <c r="F297" t="inlineStr">
        <is>
          <t>PH0019</t>
        </is>
      </c>
      <c r="G297" t="inlineStr">
        <is>
          <t>Laxa Jeff</t>
        </is>
      </c>
      <c r="H297" t="inlineStr">
        <is>
          <t xml:space="preserve">ANAs001PH:ANASupport　　　</t>
        </is>
      </c>
      <c r="I297" s="1" t="n">
        <v>45937</v>
      </c>
      <c r="J297" t="n">
        <v>1</v>
      </c>
      <c r="L297">
        <f>IFERROR(LEFT(K297,             FIND(",", K297) - 1), "-")</f>
        <v/>
      </c>
      <c r="M297">
        <f>IFERROR(MID(K297,             FIND(",", K297) + 1, LEN(K297) - FIND(",", K297)), K297)</f>
        <v/>
      </c>
      <c r="N297" t="n">
        <v>1</v>
      </c>
      <c r="P297" t="inlineStr">
        <is>
          <t>08:00</t>
        </is>
      </c>
      <c r="Q297" t="inlineStr">
        <is>
          <t>09:00</t>
        </is>
      </c>
    </row>
    <row r="298">
      <c r="A298" t="inlineStr">
        <is>
          <t>Laxa Jeff</t>
        </is>
      </c>
      <c r="B298" t="inlineStr">
        <is>
          <t>ITJs001PH:ITOJUKU Support</t>
        </is>
      </c>
      <c r="C298">
        <f>SUMIFS(J:J, G:G,             A298, H:H, B298)</f>
        <v/>
      </c>
      <c r="D298">
        <f>L298</f>
        <v/>
      </c>
      <c r="E298">
        <f>SUMIFS(J:J, G:G,             A298, H:H, B298, L:L, L298)</f>
        <v/>
      </c>
      <c r="F298" t="inlineStr">
        <is>
          <t>PH0019</t>
        </is>
      </c>
      <c r="G298" t="inlineStr">
        <is>
          <t>Laxa Jeff</t>
        </is>
      </c>
      <c r="H298" t="inlineStr">
        <is>
          <t>ITJs001PH:ITOJUKU Support</t>
        </is>
      </c>
      <c r="I298" s="1" t="n">
        <v>45931</v>
      </c>
      <c r="J298" t="n">
        <v>0.75</v>
      </c>
      <c r="L298">
        <f>IFERROR(LEFT(K298,             FIND(",", K298) - 1), "-")</f>
        <v/>
      </c>
      <c r="M298">
        <f>IFERROR(MID(K298,             FIND(",", K298) + 1, LEN(K298) - FIND(",", K298)), K298)</f>
        <v/>
      </c>
      <c r="N298" t="n">
        <v>1</v>
      </c>
      <c r="P298" t="inlineStr">
        <is>
          <t>16:15</t>
        </is>
      </c>
      <c r="Q298" t="inlineStr">
        <is>
          <t>17:00</t>
        </is>
      </c>
    </row>
    <row r="299">
      <c r="A299" t="inlineStr">
        <is>
          <t>Laxa Jeff</t>
        </is>
      </c>
      <c r="B299" t="inlineStr">
        <is>
          <t>ITJs001PH:ITOJUKU Support</t>
        </is>
      </c>
      <c r="D299">
        <f>L299</f>
        <v/>
      </c>
      <c r="E299">
        <f>SUMIFS(J:J, G:G,             A299, H:H, B299, L:L, L299)</f>
        <v/>
      </c>
      <c r="F299" t="inlineStr">
        <is>
          <t>PH0019</t>
        </is>
      </c>
      <c r="G299" t="inlineStr">
        <is>
          <t>Laxa Jeff</t>
        </is>
      </c>
      <c r="H299" t="inlineStr">
        <is>
          <t>ITJs001PH:ITOJUKU Support</t>
        </is>
      </c>
      <c r="I299" s="1" t="n">
        <v>45932</v>
      </c>
      <c r="J299" t="n">
        <v>1</v>
      </c>
      <c r="L299">
        <f>IFERROR(LEFT(K299,             FIND(",", K299) - 1), "-")</f>
        <v/>
      </c>
      <c r="M299">
        <f>IFERROR(MID(K299,             FIND(",", K299) + 1, LEN(K299) - FIND(",", K299)), K299)</f>
        <v/>
      </c>
      <c r="N299" t="n">
        <v>1</v>
      </c>
      <c r="P299" t="inlineStr">
        <is>
          <t>08:00</t>
        </is>
      </c>
      <c r="Q299" t="inlineStr">
        <is>
          <t>09:00</t>
        </is>
      </c>
    </row>
    <row r="300">
      <c r="A300" t="inlineStr">
        <is>
          <t>Laxa Jeff</t>
        </is>
      </c>
      <c r="B300" t="inlineStr">
        <is>
          <t>ITJs001PH:ITOJUKU Support</t>
        </is>
      </c>
      <c r="D300">
        <f>L300</f>
        <v/>
      </c>
      <c r="E300">
        <f>SUMIFS(J:J, G:G,             A300, H:H, B300, L:L, L300)</f>
        <v/>
      </c>
      <c r="F300" t="inlineStr">
        <is>
          <t>PH0019</t>
        </is>
      </c>
      <c r="G300" t="inlineStr">
        <is>
          <t>Laxa Jeff</t>
        </is>
      </c>
      <c r="H300" t="inlineStr">
        <is>
          <t>ITJs001PH:ITOJUKU Support</t>
        </is>
      </c>
      <c r="I300" s="1" t="n">
        <v>45946</v>
      </c>
      <c r="J300" t="n">
        <v>1</v>
      </c>
      <c r="L300">
        <f>IFERROR(LEFT(K300,             FIND(",", K300) - 1), "-")</f>
        <v/>
      </c>
      <c r="M300">
        <f>IFERROR(MID(K300,             FIND(",", K300) + 1, LEN(K300) - FIND(",", K300)), K300)</f>
        <v/>
      </c>
      <c r="N300" t="n">
        <v>1</v>
      </c>
      <c r="P300" t="inlineStr">
        <is>
          <t>08:00</t>
        </is>
      </c>
      <c r="Q300" t="inlineStr">
        <is>
          <t>09:00</t>
        </is>
      </c>
    </row>
    <row r="301">
      <c r="A301" t="inlineStr">
        <is>
          <t>Laxa Jeff</t>
        </is>
      </c>
      <c r="B301" t="inlineStr">
        <is>
          <t>ITJs001PH:ITOJUKU Support</t>
        </is>
      </c>
      <c r="D301">
        <f>L301</f>
        <v/>
      </c>
      <c r="E301">
        <f>SUMIFS(J:J, G:G,             A301, H:H, B301, L:L, L301)</f>
        <v/>
      </c>
      <c r="F301" t="inlineStr">
        <is>
          <t>PH0019</t>
        </is>
      </c>
      <c r="G301" t="inlineStr">
        <is>
          <t>Laxa Jeff</t>
        </is>
      </c>
      <c r="H301" t="inlineStr">
        <is>
          <t>ITJs001PH:ITOJUKU Support</t>
        </is>
      </c>
      <c r="I301" s="1" t="n">
        <v>45947</v>
      </c>
      <c r="J301" t="n">
        <v>0.75</v>
      </c>
      <c r="L301">
        <f>IFERROR(LEFT(K301,             FIND(",", K301) - 1), "-")</f>
        <v/>
      </c>
      <c r="M301">
        <f>IFERROR(MID(K301,             FIND(",", K301) + 1, LEN(K301) - FIND(",", K301)), K301)</f>
        <v/>
      </c>
      <c r="N301" t="n">
        <v>1</v>
      </c>
      <c r="P301" t="inlineStr">
        <is>
          <t>08:45</t>
        </is>
      </c>
      <c r="Q301" t="inlineStr">
        <is>
          <t>09:30</t>
        </is>
      </c>
    </row>
    <row r="302">
      <c r="A302" t="inlineStr">
        <is>
          <t>Laxa Jeff</t>
        </is>
      </c>
      <c r="B302" t="inlineStr">
        <is>
          <t>ITJs001PH:ITOJUKU Support</t>
        </is>
      </c>
      <c r="D302">
        <f>L302</f>
        <v/>
      </c>
      <c r="E302">
        <f>SUMIFS(J:J, G:G,             A302, H:H, B302, L:L, L302)</f>
        <v/>
      </c>
      <c r="F302" t="inlineStr">
        <is>
          <t>PH0019</t>
        </is>
      </c>
      <c r="G302" t="inlineStr">
        <is>
          <t>Laxa Jeff</t>
        </is>
      </c>
      <c r="H302" t="inlineStr">
        <is>
          <t>ITJs001PH:ITOJUKU Support</t>
        </is>
      </c>
      <c r="I302" s="1" t="n">
        <v>45947</v>
      </c>
      <c r="J302" t="n">
        <v>0.5</v>
      </c>
      <c r="L302">
        <f>IFERROR(LEFT(K302,             FIND(",", K302) - 1), "-")</f>
        <v/>
      </c>
      <c r="M302">
        <f>IFERROR(MID(K302,             FIND(",", K302) + 1, LEN(K302) - FIND(",", K302)), K302)</f>
        <v/>
      </c>
      <c r="N302" t="n">
        <v>1</v>
      </c>
      <c r="P302" t="inlineStr">
        <is>
          <t>09:45</t>
        </is>
      </c>
      <c r="Q302" t="inlineStr">
        <is>
          <t>10:15</t>
        </is>
      </c>
    </row>
    <row r="303">
      <c r="A303" t="inlineStr">
        <is>
          <t>Laxa Jeff</t>
        </is>
      </c>
      <c r="B303" t="inlineStr">
        <is>
          <t>ITJs001PH:ITOJUKU Support</t>
        </is>
      </c>
      <c r="D303">
        <f>L303</f>
        <v/>
      </c>
      <c r="E303">
        <f>SUMIFS(J:J, G:G,             A303, H:H, B303, L:L, L303)</f>
        <v/>
      </c>
      <c r="F303" t="inlineStr">
        <is>
          <t>PH0019</t>
        </is>
      </c>
      <c r="G303" t="inlineStr">
        <is>
          <t>Laxa Jeff</t>
        </is>
      </c>
      <c r="H303" t="inlineStr">
        <is>
          <t>ITJs001PH:ITOJUKU Support</t>
        </is>
      </c>
      <c r="I303" s="1" t="n">
        <v>45947</v>
      </c>
      <c r="J303" t="n">
        <v>0.5</v>
      </c>
      <c r="L303">
        <f>IFERROR(LEFT(K303,             FIND(",", K303) - 1), "-")</f>
        <v/>
      </c>
      <c r="M303">
        <f>IFERROR(MID(K303,             FIND(",", K303) + 1, LEN(K303) - FIND(",", K303)), K303)</f>
        <v/>
      </c>
      <c r="N303" t="n">
        <v>1</v>
      </c>
      <c r="P303" t="inlineStr">
        <is>
          <t>10:30</t>
        </is>
      </c>
      <c r="Q303" t="inlineStr">
        <is>
          <t>11:00</t>
        </is>
      </c>
    </row>
    <row r="304">
      <c r="A304" t="inlineStr">
        <is>
          <t>Laxa Jeff</t>
        </is>
      </c>
      <c r="B304" t="inlineStr">
        <is>
          <t>ITJs001PH:ITOJUKU Support</t>
        </is>
      </c>
      <c r="D304">
        <f>L304</f>
        <v/>
      </c>
      <c r="E304">
        <f>SUMIFS(J:J, G:G,             A304, H:H, B304, L:L, L304)</f>
        <v/>
      </c>
      <c r="F304" t="inlineStr">
        <is>
          <t>PH0019</t>
        </is>
      </c>
      <c r="G304" t="inlineStr">
        <is>
          <t>Laxa Jeff</t>
        </is>
      </c>
      <c r="H304" t="inlineStr">
        <is>
          <t>ITJs001PH:ITOJUKU Support</t>
        </is>
      </c>
      <c r="I304" s="1" t="n">
        <v>45947</v>
      </c>
      <c r="J304" t="n">
        <v>0.5</v>
      </c>
      <c r="L304">
        <f>IFERROR(LEFT(K304,             FIND(",", K304) - 1), "-")</f>
        <v/>
      </c>
      <c r="M304">
        <f>IFERROR(MID(K304,             FIND(",", K304) + 1, LEN(K304) - FIND(",", K304)), K304)</f>
        <v/>
      </c>
      <c r="N304" t="n">
        <v>1</v>
      </c>
      <c r="P304" t="inlineStr">
        <is>
          <t>12:00</t>
        </is>
      </c>
      <c r="Q304" t="inlineStr">
        <is>
          <t>12:30</t>
        </is>
      </c>
    </row>
    <row r="305">
      <c r="A305" t="inlineStr">
        <is>
          <t>Laxa Jeff</t>
        </is>
      </c>
      <c r="B305" t="inlineStr">
        <is>
          <t>ITJs001PH:ITOJUKU Support</t>
        </is>
      </c>
      <c r="D305">
        <f>L305</f>
        <v/>
      </c>
      <c r="E305">
        <f>SUMIFS(J:J, G:G,             A305, H:H, B305, L:L, L305)</f>
        <v/>
      </c>
      <c r="F305" t="inlineStr">
        <is>
          <t>PH0019</t>
        </is>
      </c>
      <c r="G305" t="inlineStr">
        <is>
          <t>Laxa Jeff</t>
        </is>
      </c>
      <c r="H305" t="inlineStr">
        <is>
          <t>ITJs001PH:ITOJUKU Support</t>
        </is>
      </c>
      <c r="I305" s="1" t="n">
        <v>45947</v>
      </c>
      <c r="J305" t="n">
        <v>0.25</v>
      </c>
      <c r="L305">
        <f>IFERROR(LEFT(K305,             FIND(",", K305) - 1), "-")</f>
        <v/>
      </c>
      <c r="M305">
        <f>IFERROR(MID(K305,             FIND(",", K305) + 1, LEN(K305) - FIND(",", K305)), K305)</f>
        <v/>
      </c>
      <c r="N305" t="n">
        <v>1</v>
      </c>
      <c r="P305" t="inlineStr">
        <is>
          <t>16:45</t>
        </is>
      </c>
      <c r="Q305" t="inlineStr">
        <is>
          <t>17:00</t>
        </is>
      </c>
    </row>
    <row r="306">
      <c r="A306" t="inlineStr">
        <is>
          <t>Laxa Jeff</t>
        </is>
      </c>
      <c r="B306" t="inlineStr">
        <is>
          <t>ITJs001PH:ITOJUKU Support</t>
        </is>
      </c>
      <c r="D306">
        <f>L306</f>
        <v/>
      </c>
      <c r="E306">
        <f>SUMIFS(J:J, G:G,             A306, H:H, B306, L:L, L306)</f>
        <v/>
      </c>
      <c r="F306" t="inlineStr">
        <is>
          <t>PH0019</t>
        </is>
      </c>
      <c r="G306" t="inlineStr">
        <is>
          <t>Laxa Jeff</t>
        </is>
      </c>
      <c r="H306" t="inlineStr">
        <is>
          <t>ITJs001PH:ITOJUKU Support</t>
        </is>
      </c>
      <c r="I306" s="1" t="n">
        <v>45950</v>
      </c>
      <c r="J306" t="n">
        <v>0.25</v>
      </c>
      <c r="L306">
        <f>IFERROR(LEFT(K306,             FIND(",", K306) - 1), "-")</f>
        <v/>
      </c>
      <c r="M306">
        <f>IFERROR(MID(K306,             FIND(",", K306) + 1, LEN(K306) - FIND(",", K306)), K306)</f>
        <v/>
      </c>
      <c r="N306" t="n">
        <v>1</v>
      </c>
      <c r="P306" t="inlineStr">
        <is>
          <t>08:00</t>
        </is>
      </c>
      <c r="Q306" t="inlineStr">
        <is>
          <t>08:15</t>
        </is>
      </c>
    </row>
    <row r="307">
      <c r="A307" t="inlineStr">
        <is>
          <t>Laxa Jeff</t>
        </is>
      </c>
      <c r="B307" t="inlineStr">
        <is>
          <t>ITJs001PH:ITOJUKU Support</t>
        </is>
      </c>
      <c r="D307">
        <f>L307</f>
        <v/>
      </c>
      <c r="E307">
        <f>SUMIFS(J:J, G:G,             A307, H:H, B307, L:L, L307)</f>
        <v/>
      </c>
      <c r="F307" t="inlineStr">
        <is>
          <t>PH0019</t>
        </is>
      </c>
      <c r="G307" t="inlineStr">
        <is>
          <t>Laxa Jeff</t>
        </is>
      </c>
      <c r="H307" t="inlineStr">
        <is>
          <t>ITJs001PH:ITOJUKU Support</t>
        </is>
      </c>
      <c r="I307" s="1" t="n">
        <v>45950</v>
      </c>
      <c r="J307" t="n">
        <v>0.25</v>
      </c>
      <c r="L307">
        <f>IFERROR(LEFT(K307,             FIND(",", K307) - 1), "-")</f>
        <v/>
      </c>
      <c r="M307">
        <f>IFERROR(MID(K307,             FIND(",", K307) + 1, LEN(K307) - FIND(",", K307)), K307)</f>
        <v/>
      </c>
      <c r="N307" t="n">
        <v>1</v>
      </c>
      <c r="P307" t="inlineStr">
        <is>
          <t>09:45</t>
        </is>
      </c>
      <c r="Q307" t="inlineStr">
        <is>
          <t>10:00</t>
        </is>
      </c>
    </row>
    <row r="308">
      <c r="A308" t="inlineStr">
        <is>
          <t>Laxa Jeff</t>
        </is>
      </c>
      <c r="B308" t="inlineStr">
        <is>
          <t>ITJs001PH:ITOJUKU Support</t>
        </is>
      </c>
      <c r="D308">
        <f>L308</f>
        <v/>
      </c>
      <c r="E308">
        <f>SUMIFS(J:J, G:G,             A308, H:H, B308, L:L, L308)</f>
        <v/>
      </c>
      <c r="F308" t="inlineStr">
        <is>
          <t>PH0019</t>
        </is>
      </c>
      <c r="G308" t="inlineStr">
        <is>
          <t>Laxa Jeff</t>
        </is>
      </c>
      <c r="H308" t="inlineStr">
        <is>
          <t>ITJs001PH:ITOJUKU Support</t>
        </is>
      </c>
      <c r="I308" s="1" t="n">
        <v>45951</v>
      </c>
      <c r="J308" t="n">
        <v>0.75</v>
      </c>
      <c r="L308">
        <f>IFERROR(LEFT(K308,             FIND(",", K308) - 1), "-")</f>
        <v/>
      </c>
      <c r="M308">
        <f>IFERROR(MID(K308,             FIND(",", K308) + 1, LEN(K308) - FIND(",", K308)), K308)</f>
        <v/>
      </c>
      <c r="N308" t="n">
        <v>1</v>
      </c>
      <c r="P308" t="inlineStr">
        <is>
          <t>12:45</t>
        </is>
      </c>
      <c r="Q308" t="inlineStr">
        <is>
          <t>13:30</t>
        </is>
      </c>
    </row>
    <row r="309">
      <c r="A309" t="inlineStr">
        <is>
          <t>Laxa Jeff</t>
        </is>
      </c>
      <c r="B309" t="inlineStr">
        <is>
          <t>ITJs001PH:ITOJUKU Support</t>
        </is>
      </c>
      <c r="D309">
        <f>L309</f>
        <v/>
      </c>
      <c r="E309">
        <f>SUMIFS(J:J, G:G,             A309, H:H, B309, L:L, L309)</f>
        <v/>
      </c>
      <c r="F309" t="inlineStr">
        <is>
          <t>PH0019</t>
        </is>
      </c>
      <c r="G309" t="inlineStr">
        <is>
          <t>Laxa Jeff</t>
        </is>
      </c>
      <c r="H309" t="inlineStr">
        <is>
          <t>ITJs001PH:ITOJUKU Support</t>
        </is>
      </c>
      <c r="I309" s="1" t="n">
        <v>45951</v>
      </c>
      <c r="J309" t="n">
        <v>0.5</v>
      </c>
      <c r="L309">
        <f>IFERROR(LEFT(K309,             FIND(",", K309) - 1), "-")</f>
        <v/>
      </c>
      <c r="M309">
        <f>IFERROR(MID(K309,             FIND(",", K309) + 1, LEN(K309) - FIND(",", K309)), K309)</f>
        <v/>
      </c>
      <c r="N309" t="n">
        <v>1</v>
      </c>
      <c r="P309" t="inlineStr">
        <is>
          <t>14:00</t>
        </is>
      </c>
      <c r="Q309" t="inlineStr">
        <is>
          <t>14:30</t>
        </is>
      </c>
    </row>
    <row r="310">
      <c r="A310" t="inlineStr">
        <is>
          <t>Laxa Jeff</t>
        </is>
      </c>
      <c r="B310" t="inlineStr">
        <is>
          <t>ITJs001PH:ITOJUKU Support</t>
        </is>
      </c>
      <c r="D310">
        <f>L310</f>
        <v/>
      </c>
      <c r="E310">
        <f>SUMIFS(J:J, G:G,             A310, H:H, B310, L:L, L310)</f>
        <v/>
      </c>
      <c r="F310" t="inlineStr">
        <is>
          <t>PH0019</t>
        </is>
      </c>
      <c r="G310" t="inlineStr">
        <is>
          <t>Laxa Jeff</t>
        </is>
      </c>
      <c r="H310" t="inlineStr">
        <is>
          <t>ITJs001PH:ITOJUKU Support</t>
        </is>
      </c>
      <c r="I310" s="1" t="n">
        <v>45951</v>
      </c>
      <c r="J310" t="n">
        <v>0.5</v>
      </c>
      <c r="L310">
        <f>IFERROR(LEFT(K310,             FIND(",", K310) - 1), "-")</f>
        <v/>
      </c>
      <c r="M310">
        <f>IFERROR(MID(K310,             FIND(",", K310) + 1, LEN(K310) - FIND(",", K310)), K310)</f>
        <v/>
      </c>
      <c r="N310" t="n">
        <v>1</v>
      </c>
      <c r="P310" t="inlineStr">
        <is>
          <t>14:45</t>
        </is>
      </c>
      <c r="Q310" t="inlineStr">
        <is>
          <t>15:15</t>
        </is>
      </c>
    </row>
    <row r="311">
      <c r="A311" t="inlineStr">
        <is>
          <t>Laxa Jeff</t>
        </is>
      </c>
      <c r="B311" t="inlineStr">
        <is>
          <t>ITJs001PH:ITOJUKU Support</t>
        </is>
      </c>
      <c r="D311">
        <f>L311</f>
        <v/>
      </c>
      <c r="E311">
        <f>SUMIFS(J:J, G:G,             A311, H:H, B311, L:L, L311)</f>
        <v/>
      </c>
      <c r="F311" t="inlineStr">
        <is>
          <t>PH0019</t>
        </is>
      </c>
      <c r="G311" t="inlineStr">
        <is>
          <t>Laxa Jeff</t>
        </is>
      </c>
      <c r="H311" t="inlineStr">
        <is>
          <t>ITJs001PH:ITOJUKU Support</t>
        </is>
      </c>
      <c r="I311" s="1" t="n">
        <v>45951</v>
      </c>
      <c r="J311" t="n">
        <v>0.5</v>
      </c>
      <c r="L311">
        <f>IFERROR(LEFT(K311,             FIND(",", K311) - 1), "-")</f>
        <v/>
      </c>
      <c r="M311">
        <f>IFERROR(MID(K311,             FIND(",", K311) + 1, LEN(K311) - FIND(",", K311)), K311)</f>
        <v/>
      </c>
      <c r="N311" t="n">
        <v>1</v>
      </c>
      <c r="P311" t="inlineStr">
        <is>
          <t>15:30</t>
        </is>
      </c>
      <c r="Q311" t="inlineStr">
        <is>
          <t>16:00</t>
        </is>
      </c>
    </row>
    <row r="312">
      <c r="A312" t="inlineStr">
        <is>
          <t>Laxa Jeff</t>
        </is>
      </c>
      <c r="B312" t="inlineStr">
        <is>
          <t>ITJs001PH:ITOJUKU Support</t>
        </is>
      </c>
      <c r="D312">
        <f>L312</f>
        <v/>
      </c>
      <c r="E312">
        <f>SUMIFS(J:J, G:G,             A312, H:H, B312, L:L, L312)</f>
        <v/>
      </c>
      <c r="F312" t="inlineStr">
        <is>
          <t>PH0019</t>
        </is>
      </c>
      <c r="G312" t="inlineStr">
        <is>
          <t>Laxa Jeff</t>
        </is>
      </c>
      <c r="H312" t="inlineStr">
        <is>
          <t>ITJs001PH:ITOJUKU Support</t>
        </is>
      </c>
      <c r="I312" s="1" t="n">
        <v>45951</v>
      </c>
      <c r="J312" t="n">
        <v>0.5</v>
      </c>
      <c r="L312">
        <f>IFERROR(LEFT(K312,             FIND(",", K312) - 1), "-")</f>
        <v/>
      </c>
      <c r="M312">
        <f>IFERROR(MID(K312,             FIND(",", K312) + 1, LEN(K312) - FIND(",", K312)), K312)</f>
        <v/>
      </c>
      <c r="N312" t="n">
        <v>1</v>
      </c>
      <c r="P312" t="inlineStr">
        <is>
          <t>16:15</t>
        </is>
      </c>
      <c r="Q312" t="inlineStr">
        <is>
          <t>16:45</t>
        </is>
      </c>
    </row>
    <row r="313">
      <c r="A313" t="inlineStr">
        <is>
          <t>Laxa Jeff</t>
        </is>
      </c>
      <c r="B313" t="inlineStr">
        <is>
          <t>ITJs001PH:ITOJUKU Support</t>
        </is>
      </c>
      <c r="D313">
        <f>L313</f>
        <v/>
      </c>
      <c r="E313">
        <f>SUMIFS(J:J, G:G,             A313, H:H, B313, L:L, L313)</f>
        <v/>
      </c>
      <c r="F313" t="inlineStr">
        <is>
          <t>PH0019</t>
        </is>
      </c>
      <c r="G313" t="inlineStr">
        <is>
          <t>Laxa Jeff</t>
        </is>
      </c>
      <c r="H313" t="inlineStr">
        <is>
          <t>ITJs001PH:ITOJUKU Support</t>
        </is>
      </c>
      <c r="I313" s="1" t="n">
        <v>45952</v>
      </c>
      <c r="J313" t="n">
        <v>0.25</v>
      </c>
      <c r="L313">
        <f>IFERROR(LEFT(K313,             FIND(",", K313) - 1), "-")</f>
        <v/>
      </c>
      <c r="M313">
        <f>IFERROR(MID(K313,             FIND(",", K313) + 1, LEN(K313) - FIND(",", K313)), K313)</f>
        <v/>
      </c>
      <c r="N313" t="n">
        <v>1</v>
      </c>
      <c r="P313" t="inlineStr">
        <is>
          <t>08:00</t>
        </is>
      </c>
      <c r="Q313" t="inlineStr">
        <is>
          <t>08:15</t>
        </is>
      </c>
    </row>
    <row r="314">
      <c r="A314" t="inlineStr">
        <is>
          <t>Laxa Jeff</t>
        </is>
      </c>
      <c r="B314" t="inlineStr">
        <is>
          <t>ITJs001PH:ITOJUKU Support</t>
        </is>
      </c>
      <c r="D314">
        <f>L314</f>
        <v/>
      </c>
      <c r="E314">
        <f>SUMIFS(J:J, G:G,             A314, H:H, B314, L:L, L314)</f>
        <v/>
      </c>
      <c r="F314" t="inlineStr">
        <is>
          <t>PH0019</t>
        </is>
      </c>
      <c r="G314" t="inlineStr">
        <is>
          <t>Laxa Jeff</t>
        </is>
      </c>
      <c r="H314" t="inlineStr">
        <is>
          <t>ITJs001PH:ITOJUKU Support</t>
        </is>
      </c>
      <c r="I314" s="1" t="n">
        <v>45952</v>
      </c>
      <c r="J314" t="n">
        <v>0.5</v>
      </c>
      <c r="L314">
        <f>IFERROR(LEFT(K314,             FIND(",", K314) - 1), "-")</f>
        <v/>
      </c>
      <c r="M314">
        <f>IFERROR(MID(K314,             FIND(",", K314) + 1, LEN(K314) - FIND(",", K314)), K314)</f>
        <v/>
      </c>
      <c r="N314" t="n">
        <v>1</v>
      </c>
      <c r="P314" t="inlineStr">
        <is>
          <t>08:30</t>
        </is>
      </c>
      <c r="Q314" t="inlineStr">
        <is>
          <t>09:00</t>
        </is>
      </c>
    </row>
    <row r="315">
      <c r="A315" t="inlineStr">
        <is>
          <t>Laxa Jeff</t>
        </is>
      </c>
      <c r="B315" t="inlineStr">
        <is>
          <t>ITJs001PH:ITOJUKU Support</t>
        </is>
      </c>
      <c r="D315">
        <f>L315</f>
        <v/>
      </c>
      <c r="E315">
        <f>SUMIFS(J:J, G:G,             A315, H:H, B315, L:L, L315)</f>
        <v/>
      </c>
      <c r="F315" t="inlineStr">
        <is>
          <t>PH0019</t>
        </is>
      </c>
      <c r="G315" t="inlineStr">
        <is>
          <t>Laxa Jeff</t>
        </is>
      </c>
      <c r="H315" t="inlineStr">
        <is>
          <t>ITJs001PH:ITOJUKU Support</t>
        </is>
      </c>
      <c r="I315" s="1" t="n">
        <v>45952</v>
      </c>
      <c r="J315" t="n">
        <v>1</v>
      </c>
      <c r="L315">
        <f>IFERROR(LEFT(K315,             FIND(",", K315) - 1), "-")</f>
        <v/>
      </c>
      <c r="M315">
        <f>IFERROR(MID(K315,             FIND(",", K315) + 1, LEN(K315) - FIND(",", K315)), K315)</f>
        <v/>
      </c>
      <c r="N315" t="n">
        <v>1</v>
      </c>
      <c r="P315" t="inlineStr">
        <is>
          <t>10:00</t>
        </is>
      </c>
      <c r="Q315" t="inlineStr">
        <is>
          <t>11:00</t>
        </is>
      </c>
    </row>
    <row r="316">
      <c r="A316" t="inlineStr">
        <is>
          <t>Laxa Jeff</t>
        </is>
      </c>
      <c r="B316" t="inlineStr">
        <is>
          <t>ITJs001PH:ITOJUKU Support</t>
        </is>
      </c>
      <c r="D316">
        <f>L316</f>
        <v/>
      </c>
      <c r="E316">
        <f>SUMIFS(J:J, G:G,             A316, H:H, B316, L:L, L316)</f>
        <v/>
      </c>
      <c r="F316" t="inlineStr">
        <is>
          <t>PH0019</t>
        </is>
      </c>
      <c r="G316" t="inlineStr">
        <is>
          <t>Laxa Jeff</t>
        </is>
      </c>
      <c r="H316" t="inlineStr">
        <is>
          <t>ITJs001PH:ITOJUKU Support</t>
        </is>
      </c>
      <c r="I316" s="1" t="n">
        <v>45952</v>
      </c>
      <c r="J316" t="n">
        <v>0.25</v>
      </c>
      <c r="L316">
        <f>IFERROR(LEFT(K316,             FIND(",", K316) - 1), "-")</f>
        <v/>
      </c>
      <c r="M316">
        <f>IFERROR(MID(K316,             FIND(",", K316) + 1, LEN(K316) - FIND(",", K316)), K316)</f>
        <v/>
      </c>
      <c r="N316" t="n">
        <v>1</v>
      </c>
      <c r="P316" t="inlineStr">
        <is>
          <t>12:00</t>
        </is>
      </c>
      <c r="Q316" t="inlineStr">
        <is>
          <t>12:15</t>
        </is>
      </c>
    </row>
    <row r="317">
      <c r="A317" t="inlineStr">
        <is>
          <t>Laxa Jeff</t>
        </is>
      </c>
      <c r="B317" t="inlineStr">
        <is>
          <t>ITJs001PH:ITOJUKU Support</t>
        </is>
      </c>
      <c r="D317">
        <f>L317</f>
        <v/>
      </c>
      <c r="E317">
        <f>SUMIFS(J:J, G:G,             A317, H:H, B317, L:L, L317)</f>
        <v/>
      </c>
      <c r="F317" t="inlineStr">
        <is>
          <t>PH0019</t>
        </is>
      </c>
      <c r="G317" t="inlineStr">
        <is>
          <t>Laxa Jeff</t>
        </is>
      </c>
      <c r="H317" t="inlineStr">
        <is>
          <t>ITJs001PH:ITOJUKU Support</t>
        </is>
      </c>
      <c r="I317" s="1" t="n">
        <v>45952</v>
      </c>
      <c r="J317" t="n">
        <v>0.25</v>
      </c>
      <c r="L317">
        <f>IFERROR(LEFT(K317,             FIND(",", K317) - 1), "-")</f>
        <v/>
      </c>
      <c r="M317">
        <f>IFERROR(MID(K317,             FIND(",", K317) + 1, LEN(K317) - FIND(",", K317)), K317)</f>
        <v/>
      </c>
      <c r="N317" t="n">
        <v>1</v>
      </c>
      <c r="P317" t="inlineStr">
        <is>
          <t>13:45</t>
        </is>
      </c>
      <c r="Q317" t="inlineStr">
        <is>
          <t>14:00</t>
        </is>
      </c>
    </row>
    <row r="318">
      <c r="A318" t="inlineStr">
        <is>
          <t>Laxa Jeff</t>
        </is>
      </c>
      <c r="B318" t="inlineStr">
        <is>
          <t>ITJs001PH:ITOJUKU Support</t>
        </is>
      </c>
      <c r="D318">
        <f>L318</f>
        <v/>
      </c>
      <c r="E318">
        <f>SUMIFS(J:J, G:G,             A318, H:H, B318, L:L, L318)</f>
        <v/>
      </c>
      <c r="F318" t="inlineStr">
        <is>
          <t>PH0019</t>
        </is>
      </c>
      <c r="G318" t="inlineStr">
        <is>
          <t>Laxa Jeff</t>
        </is>
      </c>
      <c r="H318" t="inlineStr">
        <is>
          <t>ITJs001PH:ITOJUKU Support</t>
        </is>
      </c>
      <c r="I318" s="1" t="n">
        <v>45952</v>
      </c>
      <c r="J318" t="n">
        <v>0.5</v>
      </c>
      <c r="L318">
        <f>IFERROR(LEFT(K318,             FIND(",", K318) - 1), "-")</f>
        <v/>
      </c>
      <c r="M318">
        <f>IFERROR(MID(K318,             FIND(",", K318) + 1, LEN(K318) - FIND(",", K318)), K318)</f>
        <v/>
      </c>
      <c r="N318" t="n">
        <v>1</v>
      </c>
      <c r="P318" t="inlineStr">
        <is>
          <t>14:15</t>
        </is>
      </c>
      <c r="Q318" t="inlineStr">
        <is>
          <t>14:45</t>
        </is>
      </c>
    </row>
    <row r="319">
      <c r="A319" t="inlineStr">
        <is>
          <t>Laxa Jeff</t>
        </is>
      </c>
      <c r="B319" t="inlineStr">
        <is>
          <t>KSUs001PH:KYUSYUU Support</t>
        </is>
      </c>
      <c r="C319">
        <f>SUMIFS(J:J, G:G,             A319, H:H, B319)</f>
        <v/>
      </c>
      <c r="D319">
        <f>L319</f>
        <v/>
      </c>
      <c r="E319">
        <f>SUMIFS(J:J, G:G,             A319, H:H, B319, L:L, L319)</f>
        <v/>
      </c>
      <c r="F319" t="inlineStr">
        <is>
          <t>PH0019</t>
        </is>
      </c>
      <c r="G319" t="inlineStr">
        <is>
          <t>Laxa Jeff</t>
        </is>
      </c>
      <c r="H319" t="inlineStr">
        <is>
          <t>KSUs001PH:KYUSYUU Support</t>
        </is>
      </c>
      <c r="I319" s="1" t="n">
        <v>45952</v>
      </c>
      <c r="J319" t="n">
        <v>1</v>
      </c>
      <c r="L319">
        <f>IFERROR(LEFT(K319,             FIND(",", K319) - 1), "-")</f>
        <v/>
      </c>
      <c r="M319">
        <f>IFERROR(MID(K319,             FIND(",", K319) + 1, LEN(K319) - FIND(",", K319)), K319)</f>
        <v/>
      </c>
      <c r="N319" t="n">
        <v>1</v>
      </c>
      <c r="P319" t="inlineStr">
        <is>
          <t>12:45</t>
        </is>
      </c>
      <c r="Q319" t="inlineStr">
        <is>
          <t>13:45</t>
        </is>
      </c>
    </row>
    <row r="320">
      <c r="A320" t="inlineStr">
        <is>
          <t>Laxa Jeff</t>
        </is>
      </c>
      <c r="B320" t="inlineStr">
        <is>
          <t>KSUs001PH:KYUSYUU Support</t>
        </is>
      </c>
      <c r="D320">
        <f>L320</f>
        <v/>
      </c>
      <c r="E320">
        <f>SUMIFS(J:J, G:G,             A320, H:H, B320, L:L, L320)</f>
        <v/>
      </c>
      <c r="F320" t="inlineStr">
        <is>
          <t>PH0019</t>
        </is>
      </c>
      <c r="G320" t="inlineStr">
        <is>
          <t>Laxa Jeff</t>
        </is>
      </c>
      <c r="H320" t="inlineStr">
        <is>
          <t>KSUs001PH:KYUSYUU Support</t>
        </is>
      </c>
      <c r="I320" s="1" t="n">
        <v>45952</v>
      </c>
      <c r="J320" t="n">
        <v>0.25</v>
      </c>
      <c r="L320">
        <f>IFERROR(LEFT(K320,             FIND(",", K320) - 1), "-")</f>
        <v/>
      </c>
      <c r="M320">
        <f>IFERROR(MID(K320,             FIND(",", K320) + 1, LEN(K320) - FIND(",", K320)), K320)</f>
        <v/>
      </c>
      <c r="N320" t="n">
        <v>1</v>
      </c>
      <c r="P320" t="inlineStr">
        <is>
          <t>14:00</t>
        </is>
      </c>
      <c r="Q320" t="inlineStr">
        <is>
          <t>14:15</t>
        </is>
      </c>
    </row>
    <row r="321">
      <c r="A321" t="inlineStr">
        <is>
          <t>Laxa Jeff</t>
        </is>
      </c>
      <c r="B321" t="inlineStr">
        <is>
          <t>KSUs001PH:KYUSYUU Support</t>
        </is>
      </c>
      <c r="D321">
        <f>L321</f>
        <v/>
      </c>
      <c r="E321">
        <f>SUMIFS(J:J, G:G,             A321, H:H, B321, L:L, L321)</f>
        <v/>
      </c>
      <c r="F321" t="inlineStr">
        <is>
          <t>PH0019</t>
        </is>
      </c>
      <c r="G321" t="inlineStr">
        <is>
          <t>Laxa Jeff</t>
        </is>
      </c>
      <c r="H321" t="inlineStr">
        <is>
          <t>KSUs001PH:KYUSYUU Support</t>
        </is>
      </c>
      <c r="I321" s="1" t="n">
        <v>45952</v>
      </c>
      <c r="J321" t="n">
        <v>0.5</v>
      </c>
      <c r="L321">
        <f>IFERROR(LEFT(K321,             FIND(",", K321) - 1), "-")</f>
        <v/>
      </c>
      <c r="M321">
        <f>IFERROR(MID(K321,             FIND(",", K321) + 1, LEN(K321) - FIND(",", K321)), K321)</f>
        <v/>
      </c>
      <c r="N321" t="n">
        <v>1</v>
      </c>
      <c r="P321" t="inlineStr">
        <is>
          <t>14:45</t>
        </is>
      </c>
      <c r="Q321" t="inlineStr">
        <is>
          <t>15:15</t>
        </is>
      </c>
    </row>
    <row r="322">
      <c r="A322" t="inlineStr">
        <is>
          <t>Laxa Jeff</t>
        </is>
      </c>
      <c r="B322" t="inlineStr">
        <is>
          <t>KSUs001PH:KYUSYUU Support</t>
        </is>
      </c>
      <c r="D322">
        <f>L322</f>
        <v/>
      </c>
      <c r="E322">
        <f>SUMIFS(J:J, G:G,             A322, H:H, B322, L:L, L322)</f>
        <v/>
      </c>
      <c r="F322" t="inlineStr">
        <is>
          <t>PH0019</t>
        </is>
      </c>
      <c r="G322" t="inlineStr">
        <is>
          <t>Laxa Jeff</t>
        </is>
      </c>
      <c r="H322" t="inlineStr">
        <is>
          <t>KSUs001PH:KYUSYUU Support</t>
        </is>
      </c>
      <c r="I322" s="1" t="n">
        <v>45952</v>
      </c>
      <c r="J322" t="n">
        <v>0.25</v>
      </c>
      <c r="L322">
        <f>IFERROR(LEFT(K322,             FIND(",", K322) - 1), "-")</f>
        <v/>
      </c>
      <c r="M322">
        <f>IFERROR(MID(K322,             FIND(",", K322) + 1, LEN(K322) - FIND(",", K322)), K322)</f>
        <v/>
      </c>
      <c r="N322" t="n">
        <v>1</v>
      </c>
      <c r="P322" t="inlineStr">
        <is>
          <t>15:30</t>
        </is>
      </c>
      <c r="Q322" t="inlineStr">
        <is>
          <t>15:45</t>
        </is>
      </c>
    </row>
    <row r="323">
      <c r="A323" t="inlineStr">
        <is>
          <t>Laxa Jeff</t>
        </is>
      </c>
      <c r="B323" t="inlineStr">
        <is>
          <t>KSUs001PH:KYUSYUU Support</t>
        </is>
      </c>
      <c r="D323">
        <f>L323</f>
        <v/>
      </c>
      <c r="E323">
        <f>SUMIFS(J:J, G:G,             A323, H:H, B323, L:L, L323)</f>
        <v/>
      </c>
      <c r="F323" t="inlineStr">
        <is>
          <t>PH0019</t>
        </is>
      </c>
      <c r="G323" t="inlineStr">
        <is>
          <t>Laxa Jeff</t>
        </is>
      </c>
      <c r="H323" t="inlineStr">
        <is>
          <t>KSUs001PH:KYUSYUU Support</t>
        </is>
      </c>
      <c r="I323" s="1" t="n">
        <v>45952</v>
      </c>
      <c r="J323" t="n">
        <v>0.5</v>
      </c>
      <c r="L323">
        <f>IFERROR(LEFT(K323,             FIND(",", K323) - 1), "-")</f>
        <v/>
      </c>
      <c r="M323">
        <f>IFERROR(MID(K323,             FIND(",", K323) + 1, LEN(K323) - FIND(",", K323)), K323)</f>
        <v/>
      </c>
      <c r="N323" t="n">
        <v>1</v>
      </c>
      <c r="P323" t="inlineStr">
        <is>
          <t>16:15</t>
        </is>
      </c>
      <c r="Q323" t="inlineStr">
        <is>
          <t>16:45</t>
        </is>
      </c>
    </row>
    <row r="324">
      <c r="A324" t="inlineStr">
        <is>
          <t>Laxa Jeff</t>
        </is>
      </c>
      <c r="B324" t="inlineStr">
        <is>
          <t>NBDn001PH:noborders New_Dev</t>
        </is>
      </c>
      <c r="C324">
        <f>SUMIFS(J:J, G:G,             A324, H:H, B324)</f>
        <v/>
      </c>
      <c r="D324">
        <f>L324</f>
        <v/>
      </c>
      <c r="E324">
        <f>SUMIFS(J:J, G:G,             A324, H:H, B324, L:L, L324)</f>
        <v/>
      </c>
      <c r="F324" t="inlineStr">
        <is>
          <t>PH0019</t>
        </is>
      </c>
      <c r="G324" t="inlineStr">
        <is>
          <t>Laxa Jeff</t>
        </is>
      </c>
      <c r="H324" t="inlineStr">
        <is>
          <t>NBDn001PH:noborders New_Dev</t>
        </is>
      </c>
      <c r="I324" s="1" t="n">
        <v>45946</v>
      </c>
      <c r="J324" t="n">
        <v>0.5</v>
      </c>
      <c r="L324">
        <f>IFERROR(LEFT(K324,             FIND(",", K324) - 1), "-")</f>
        <v/>
      </c>
      <c r="M324">
        <f>IFERROR(MID(K324,             FIND(",", K324) + 1, LEN(K324) - FIND(",", K324)), K324)</f>
        <v/>
      </c>
      <c r="N324" t="n">
        <v>1</v>
      </c>
      <c r="P324" t="inlineStr">
        <is>
          <t>09:00</t>
        </is>
      </c>
      <c r="Q324" t="inlineStr">
        <is>
          <t>09:30</t>
        </is>
      </c>
    </row>
    <row r="325">
      <c r="A325" t="inlineStr">
        <is>
          <t>Laxa Jeff</t>
        </is>
      </c>
      <c r="B325" t="inlineStr">
        <is>
          <t>NBDn001PH:noborders New_Dev</t>
        </is>
      </c>
      <c r="D325">
        <f>L325</f>
        <v/>
      </c>
      <c r="E325">
        <f>SUMIFS(J:J, G:G,             A325, H:H, B325, L:L, L325)</f>
        <v/>
      </c>
      <c r="F325" t="inlineStr">
        <is>
          <t>PH0019</t>
        </is>
      </c>
      <c r="G325" t="inlineStr">
        <is>
          <t>Laxa Jeff</t>
        </is>
      </c>
      <c r="H325" t="inlineStr">
        <is>
          <t>NBDn001PH:noborders New_Dev</t>
        </is>
      </c>
      <c r="I325" s="1" t="n">
        <v>45946</v>
      </c>
      <c r="J325" t="n">
        <v>1.25</v>
      </c>
      <c r="L325">
        <f>IFERROR(LEFT(K325,             FIND(",", K325) - 1), "-")</f>
        <v/>
      </c>
      <c r="M325">
        <f>IFERROR(MID(K325,             FIND(",", K325) + 1, LEN(K325) - FIND(",", K325)), K325)</f>
        <v/>
      </c>
      <c r="N325" t="n">
        <v>1</v>
      </c>
      <c r="P325" t="inlineStr">
        <is>
          <t>09:45</t>
        </is>
      </c>
      <c r="Q325" t="inlineStr">
        <is>
          <t>11:00</t>
        </is>
      </c>
    </row>
    <row r="326">
      <c r="A326" t="inlineStr">
        <is>
          <t>Laxa Jeff</t>
        </is>
      </c>
      <c r="B326" t="inlineStr">
        <is>
          <t>NBDn001PH:noborders New_Dev</t>
        </is>
      </c>
      <c r="D326">
        <f>L326</f>
        <v/>
      </c>
      <c r="E326">
        <f>SUMIFS(J:J, G:G,             A326, H:H, B326, L:L, L326)</f>
        <v/>
      </c>
      <c r="F326" t="inlineStr">
        <is>
          <t>PH0019</t>
        </is>
      </c>
      <c r="G326" t="inlineStr">
        <is>
          <t>Laxa Jeff</t>
        </is>
      </c>
      <c r="H326" t="inlineStr">
        <is>
          <t>NBDn001PH:noborders New_Dev</t>
        </is>
      </c>
      <c r="I326" s="1" t="n">
        <v>45946</v>
      </c>
      <c r="J326" t="n">
        <v>3.25</v>
      </c>
      <c r="L326">
        <f>IFERROR(LEFT(K326,             FIND(",", K326) - 1), "-")</f>
        <v/>
      </c>
      <c r="M326">
        <f>IFERROR(MID(K326,             FIND(",", K326) + 1, LEN(K326) - FIND(",", K326)), K326)</f>
        <v/>
      </c>
      <c r="N326" t="n">
        <v>1</v>
      </c>
      <c r="P326" t="inlineStr">
        <is>
          <t>12:00</t>
        </is>
      </c>
      <c r="Q326" t="inlineStr">
        <is>
          <t>15:15</t>
        </is>
      </c>
    </row>
    <row r="327">
      <c r="A327" t="inlineStr">
        <is>
          <t>Laxa Jeff</t>
        </is>
      </c>
      <c r="B327" t="inlineStr">
        <is>
          <t>NBDn001PH:noborders New_Dev</t>
        </is>
      </c>
      <c r="D327">
        <f>L327</f>
        <v/>
      </c>
      <c r="E327">
        <f>SUMIFS(J:J, G:G,             A327, H:H, B327, L:L, L327)</f>
        <v/>
      </c>
      <c r="F327" t="inlineStr">
        <is>
          <t>PH0019</t>
        </is>
      </c>
      <c r="G327" t="inlineStr">
        <is>
          <t>Laxa Jeff</t>
        </is>
      </c>
      <c r="H327" t="inlineStr">
        <is>
          <t>NBDn001PH:noborders New_Dev</t>
        </is>
      </c>
      <c r="I327" s="1" t="n">
        <v>45946</v>
      </c>
      <c r="J327" t="n">
        <v>1</v>
      </c>
      <c r="L327">
        <f>IFERROR(LEFT(K327,             FIND(",", K327) - 1), "-")</f>
        <v/>
      </c>
      <c r="M327">
        <f>IFERROR(MID(K327,             FIND(",", K327) + 1, LEN(K327) - FIND(",", K327)), K327)</f>
        <v/>
      </c>
      <c r="N327" t="n">
        <v>1</v>
      </c>
      <c r="P327" t="inlineStr">
        <is>
          <t>15:30</t>
        </is>
      </c>
      <c r="Q327" t="inlineStr">
        <is>
          <t>16:30</t>
        </is>
      </c>
    </row>
    <row r="328">
      <c r="A328" t="inlineStr">
        <is>
          <t>Laxa Jeff</t>
        </is>
      </c>
      <c r="B328" t="inlineStr">
        <is>
          <t>NBDn001PH:noborders New_Dev</t>
        </is>
      </c>
      <c r="D328">
        <f>L328</f>
        <v/>
      </c>
      <c r="E328">
        <f>SUMIFS(J:J, G:G,             A328, H:H, B328, L:L, L328)</f>
        <v/>
      </c>
      <c r="F328" t="inlineStr">
        <is>
          <t>PH0019</t>
        </is>
      </c>
      <c r="G328" t="inlineStr">
        <is>
          <t>Laxa Jeff</t>
        </is>
      </c>
      <c r="H328" t="inlineStr">
        <is>
          <t>NBDn001PH:noborders New_Dev</t>
        </is>
      </c>
      <c r="I328" s="1" t="n">
        <v>45947</v>
      </c>
      <c r="J328" t="n">
        <v>0.75</v>
      </c>
      <c r="L328">
        <f>IFERROR(LEFT(K328,             FIND(",", K328) - 1), "-")</f>
        <v/>
      </c>
      <c r="M328">
        <f>IFERROR(MID(K328,             FIND(",", K328) + 1, LEN(K328) - FIND(",", K328)), K328)</f>
        <v/>
      </c>
      <c r="N328" t="n">
        <v>3</v>
      </c>
      <c r="P328" t="inlineStr">
        <is>
          <t>14:30</t>
        </is>
      </c>
      <c r="Q328" t="inlineStr">
        <is>
          <t>15:15</t>
        </is>
      </c>
    </row>
    <row r="329">
      <c r="A329" t="inlineStr">
        <is>
          <t>Laxa Jeff</t>
        </is>
      </c>
      <c r="B329" t="inlineStr">
        <is>
          <t>NBDn001PH:noborders New_Dev</t>
        </is>
      </c>
      <c r="D329">
        <f>L329</f>
        <v/>
      </c>
      <c r="E329">
        <f>SUMIFS(J:J, G:G,             A329, H:H, B329, L:L, L329)</f>
        <v/>
      </c>
      <c r="F329" t="inlineStr">
        <is>
          <t>PH0019</t>
        </is>
      </c>
      <c r="G329" t="inlineStr">
        <is>
          <t>Laxa Jeff</t>
        </is>
      </c>
      <c r="H329" t="inlineStr">
        <is>
          <t>NBDn001PH:noborders New_Dev</t>
        </is>
      </c>
      <c r="I329" s="1" t="n">
        <v>45947</v>
      </c>
      <c r="J329" t="n">
        <v>0.75</v>
      </c>
      <c r="L329">
        <f>IFERROR(LEFT(K329,             FIND(",", K329) - 1), "-")</f>
        <v/>
      </c>
      <c r="M329">
        <f>IFERROR(MID(K329,             FIND(",", K329) + 1, LEN(K329) - FIND(",", K329)), K329)</f>
        <v/>
      </c>
      <c r="N329" t="n">
        <v>3</v>
      </c>
      <c r="P329" t="inlineStr">
        <is>
          <t>15:30</t>
        </is>
      </c>
      <c r="Q329" t="inlineStr">
        <is>
          <t>16:15</t>
        </is>
      </c>
    </row>
    <row r="330">
      <c r="A330" t="inlineStr">
        <is>
          <t>Laxa Jeff</t>
        </is>
      </c>
      <c r="B330" t="inlineStr">
        <is>
          <t>TCNz001PH:Internal operations</t>
        </is>
      </c>
      <c r="C330">
        <f>SUMIFS(J:J, G:G,             A330, H:H, B330)</f>
        <v/>
      </c>
      <c r="D330">
        <f>L330</f>
        <v/>
      </c>
      <c r="E330">
        <f>SUMIFS(J:J, G:G,             A330, H:H, B330, L:L, L330)</f>
        <v/>
      </c>
      <c r="F330" t="inlineStr">
        <is>
          <t>PH0019</t>
        </is>
      </c>
      <c r="G330" t="inlineStr">
        <is>
          <t>Laxa Jeff</t>
        </is>
      </c>
      <c r="H330" t="inlineStr">
        <is>
          <t>TCNz001PH:Internal operations</t>
        </is>
      </c>
      <c r="I330" s="1" t="n">
        <v>45943</v>
      </c>
      <c r="J330" t="n">
        <v>0.5</v>
      </c>
      <c r="K330" t="inlineStr">
        <is>
          <t>Attendance</t>
        </is>
      </c>
      <c r="L330">
        <f>IFERROR(LEFT(K330,             FIND(",", K330) - 1), "-")</f>
        <v/>
      </c>
      <c r="M330">
        <f>IFERROR(MID(K330,             FIND(",", K330) + 1, LEN(K330) - FIND(",", K330)), K330)</f>
        <v/>
      </c>
      <c r="N330" t="n">
        <v>5</v>
      </c>
      <c r="P330" t="inlineStr">
        <is>
          <t>08:30</t>
        </is>
      </c>
      <c r="Q330" t="inlineStr">
        <is>
          <t>09:00</t>
        </is>
      </c>
    </row>
    <row r="331">
      <c r="A331" t="inlineStr">
        <is>
          <t>Laxa Jeff</t>
        </is>
      </c>
      <c r="B331" t="inlineStr">
        <is>
          <t>TCNz001PH:Internal operations</t>
        </is>
      </c>
      <c r="D331">
        <f>L331</f>
        <v/>
      </c>
      <c r="E331">
        <f>SUMIFS(J:J, G:G,             A331, H:H, B331, L:L, L331)</f>
        <v/>
      </c>
      <c r="F331" t="inlineStr">
        <is>
          <t>PH0019</t>
        </is>
      </c>
      <c r="G331" t="inlineStr">
        <is>
          <t>Laxa Jeff</t>
        </is>
      </c>
      <c r="H331" t="inlineStr">
        <is>
          <t>TCNz001PH:Internal operations</t>
        </is>
      </c>
      <c r="I331" s="1" t="n">
        <v>45944</v>
      </c>
      <c r="J331" t="n">
        <v>0.25</v>
      </c>
      <c r="K331" t="inlineStr">
        <is>
          <t>Check attendance</t>
        </is>
      </c>
      <c r="L331">
        <f>IFERROR(LEFT(K331,             FIND(",", K331) - 1), "-")</f>
        <v/>
      </c>
      <c r="M331">
        <f>IFERROR(MID(K331,             FIND(",", K331) + 1, LEN(K331) - FIND(",", K331)), K331)</f>
        <v/>
      </c>
      <c r="N331" t="n">
        <v>5</v>
      </c>
      <c r="P331" t="inlineStr">
        <is>
          <t>08:00</t>
        </is>
      </c>
      <c r="Q331" t="inlineStr">
        <is>
          <t>08:15</t>
        </is>
      </c>
    </row>
    <row r="332">
      <c r="A332" t="inlineStr">
        <is>
          <t>Laxa Jeff</t>
        </is>
      </c>
      <c r="B332" t="inlineStr">
        <is>
          <t>TCNz001PH:Internal operations</t>
        </is>
      </c>
      <c r="D332">
        <f>L332</f>
        <v/>
      </c>
      <c r="E332">
        <f>SUMIFS(J:J, G:G,             A332, H:H, B332, L:L, L332)</f>
        <v/>
      </c>
      <c r="F332" t="inlineStr">
        <is>
          <t>PH0019</t>
        </is>
      </c>
      <c r="G332" t="inlineStr">
        <is>
          <t>Laxa Jeff</t>
        </is>
      </c>
      <c r="H332" t="inlineStr">
        <is>
          <t>TCNz001PH:Internal operations</t>
        </is>
      </c>
      <c r="I332" s="1" t="n">
        <v>45947</v>
      </c>
      <c r="J332" t="n">
        <v>0.5</v>
      </c>
      <c r="K332" t="inlineStr">
        <is>
          <t>Check attendance</t>
        </is>
      </c>
      <c r="L332">
        <f>IFERROR(LEFT(K332,             FIND(",", K332) - 1), "-")</f>
        <v/>
      </c>
      <c r="M332">
        <f>IFERROR(MID(K332,             FIND(",", K332) + 1, LEN(K332) - FIND(",", K332)), K332)</f>
        <v/>
      </c>
      <c r="N332" t="n">
        <v>5</v>
      </c>
      <c r="P332" t="inlineStr">
        <is>
          <t>16:15</t>
        </is>
      </c>
      <c r="Q332" t="inlineStr">
        <is>
          <t>16:45</t>
        </is>
      </c>
    </row>
    <row r="333">
      <c r="A333" t="inlineStr">
        <is>
          <t>Laxa Jeff</t>
        </is>
      </c>
      <c r="B333" t="inlineStr">
        <is>
          <t>TCNz001PH:Internal operations</t>
        </is>
      </c>
      <c r="D333">
        <f>L333</f>
        <v/>
      </c>
      <c r="E333">
        <f>SUMIFS(J:J, G:G,             A333, H:H, B333, L:L, L333)</f>
        <v/>
      </c>
      <c r="F333" t="inlineStr">
        <is>
          <t>PH0019</t>
        </is>
      </c>
      <c r="G333" t="inlineStr">
        <is>
          <t>Laxa Jeff</t>
        </is>
      </c>
      <c r="H333" t="inlineStr">
        <is>
          <t>TCNz001PH:Internal operations</t>
        </is>
      </c>
      <c r="I333" s="1" t="n">
        <v>45952</v>
      </c>
      <c r="J333" t="n">
        <v>0.25</v>
      </c>
      <c r="K333" t="inlineStr">
        <is>
          <t>Check attendance</t>
        </is>
      </c>
      <c r="L333">
        <f>IFERROR(LEFT(K333,             FIND(",", K333) - 1), "-")</f>
        <v/>
      </c>
      <c r="M333">
        <f>IFERROR(MID(K333,             FIND(",", K333) + 1, LEN(K333) - FIND(",", K333)), K333)</f>
        <v/>
      </c>
      <c r="N333" t="n">
        <v>5</v>
      </c>
      <c r="P333" t="inlineStr">
        <is>
          <t>08:15</t>
        </is>
      </c>
      <c r="Q333" t="inlineStr">
        <is>
          <t>08:30</t>
        </is>
      </c>
    </row>
    <row r="334">
      <c r="A334" t="inlineStr">
        <is>
          <t>Laxa Jeff</t>
        </is>
      </c>
      <c r="B334" t="inlineStr">
        <is>
          <t>TCNz001PH:Internal operations</t>
        </is>
      </c>
      <c r="D334">
        <f>L334</f>
        <v/>
      </c>
      <c r="E334">
        <f>SUMIFS(J:J, G:G,             A334, H:H, B334, L:L, L334)</f>
        <v/>
      </c>
      <c r="F334" t="inlineStr">
        <is>
          <t>PH0019</t>
        </is>
      </c>
      <c r="G334" t="inlineStr">
        <is>
          <t>Laxa Jeff</t>
        </is>
      </c>
      <c r="H334" t="inlineStr">
        <is>
          <t>TCNz001PH:Internal operations</t>
        </is>
      </c>
      <c r="I334" s="1" t="n">
        <v>45931</v>
      </c>
      <c r="J334" t="n">
        <v>0.25</v>
      </c>
      <c r="K334" t="inlineStr">
        <is>
          <t>IJ log</t>
        </is>
      </c>
      <c r="L334">
        <f>IFERROR(LEFT(K334,             FIND(",", K334) - 1), "-")</f>
        <v/>
      </c>
      <c r="M334">
        <f>IFERROR(MID(K334,             FIND(",", K334) + 1, LEN(K334) - FIND(",", K334)), K334)</f>
        <v/>
      </c>
      <c r="N334" t="n">
        <v>5</v>
      </c>
      <c r="P334" t="inlineStr">
        <is>
          <t>09:45</t>
        </is>
      </c>
      <c r="Q334" t="inlineStr">
        <is>
          <t>10:00</t>
        </is>
      </c>
    </row>
    <row r="335">
      <c r="A335" t="inlineStr">
        <is>
          <t>Laxa Jeff</t>
        </is>
      </c>
      <c r="B335" t="inlineStr">
        <is>
          <t>TCNz001PH:Internal operations</t>
        </is>
      </c>
      <c r="D335">
        <f>L335</f>
        <v/>
      </c>
      <c r="E335">
        <f>SUMIFS(J:J, G:G,             A335, H:H, B335, L:L, L335)</f>
        <v/>
      </c>
      <c r="F335" t="inlineStr">
        <is>
          <t>PH0019</t>
        </is>
      </c>
      <c r="G335" t="inlineStr">
        <is>
          <t>Laxa Jeff</t>
        </is>
      </c>
      <c r="H335" t="inlineStr">
        <is>
          <t>TCNz001PH:Internal operations</t>
        </is>
      </c>
      <c r="I335" s="1" t="n">
        <v>45937</v>
      </c>
      <c r="J335" t="n">
        <v>1</v>
      </c>
      <c r="K335" t="inlineStr">
        <is>
          <t>Meeting, etc.</t>
        </is>
      </c>
      <c r="L335">
        <f>IFERROR(LEFT(K335,             FIND(",", K335) - 1), "-")</f>
        <v/>
      </c>
      <c r="M335">
        <f>IFERROR(MID(K335,             FIND(",", K335) + 1, LEN(K335) - FIND(",", K335)), K335)</f>
        <v/>
      </c>
      <c r="N335" t="n">
        <v>5</v>
      </c>
      <c r="P335" t="inlineStr">
        <is>
          <t>16:00</t>
        </is>
      </c>
      <c r="Q335" t="inlineStr">
        <is>
          <t>17:00</t>
        </is>
      </c>
    </row>
    <row r="336">
      <c r="A336" t="inlineStr">
        <is>
          <t>Laxa Jeff</t>
        </is>
      </c>
      <c r="B336" t="inlineStr">
        <is>
          <t>TCNz001PH:Internal operations</t>
        </is>
      </c>
      <c r="D336">
        <f>L336</f>
        <v/>
      </c>
      <c r="E336">
        <f>SUMIFS(J:J, G:G,             A336, H:H, B336, L:L, L336)</f>
        <v/>
      </c>
      <c r="F336" t="inlineStr">
        <is>
          <t>PH0019</t>
        </is>
      </c>
      <c r="G336" t="inlineStr">
        <is>
          <t>Laxa Jeff</t>
        </is>
      </c>
      <c r="H336" t="inlineStr">
        <is>
          <t>TCNz001PH:Internal operations</t>
        </is>
      </c>
      <c r="I336" s="1" t="n">
        <v>45939</v>
      </c>
      <c r="J336" t="n">
        <v>0.25</v>
      </c>
      <c r="K336" t="inlineStr">
        <is>
          <t>PC restart</t>
        </is>
      </c>
      <c r="L336">
        <f>IFERROR(LEFT(K336,             FIND(",", K336) - 1), "-")</f>
        <v/>
      </c>
      <c r="M336">
        <f>IFERROR(MID(K336,             FIND(",", K336) + 1, LEN(K336) - FIND(",", K336)), K336)</f>
        <v/>
      </c>
      <c r="N336" t="n">
        <v>5</v>
      </c>
      <c r="P336" t="inlineStr">
        <is>
          <t>08:00</t>
        </is>
      </c>
      <c r="Q336" t="inlineStr">
        <is>
          <t>08:15</t>
        </is>
      </c>
    </row>
    <row r="337">
      <c r="A337" t="inlineStr">
        <is>
          <t>Laxa Jeff</t>
        </is>
      </c>
      <c r="B337" t="inlineStr">
        <is>
          <t>TCNz001PH:Internal operations</t>
        </is>
      </c>
      <c r="D337">
        <f>L337</f>
        <v/>
      </c>
      <c r="E337">
        <f>SUMIFS(J:J, G:G,             A337, H:H, B337, L:L, L337)</f>
        <v/>
      </c>
      <c r="F337" t="inlineStr">
        <is>
          <t>PH0019</t>
        </is>
      </c>
      <c r="G337" t="inlineStr">
        <is>
          <t>Laxa Jeff</t>
        </is>
      </c>
      <c r="H337" t="inlineStr">
        <is>
          <t>TCNz001PH:Internal operations</t>
        </is>
      </c>
      <c r="I337" s="1" t="n">
        <v>45936</v>
      </c>
      <c r="J337" t="n">
        <v>0.25</v>
      </c>
      <c r="K337" t="inlineStr">
        <is>
          <t>PC update</t>
        </is>
      </c>
      <c r="L337">
        <f>IFERROR(LEFT(K337,             FIND(",", K337) - 1), "-")</f>
        <v/>
      </c>
      <c r="M337">
        <f>IFERROR(MID(K337,             FIND(",", K337) + 1, LEN(K337) - FIND(",", K337)), K337)</f>
        <v/>
      </c>
      <c r="N337" t="n">
        <v>5</v>
      </c>
      <c r="P337" t="inlineStr">
        <is>
          <t>08:00</t>
        </is>
      </c>
      <c r="Q337" t="inlineStr">
        <is>
          <t>08:15</t>
        </is>
      </c>
    </row>
    <row r="338">
      <c r="A338" t="inlineStr">
        <is>
          <t>Laxa Jeff</t>
        </is>
      </c>
      <c r="B338" t="inlineStr">
        <is>
          <t>TCNz001PH:Internal operations</t>
        </is>
      </c>
      <c r="D338">
        <f>L338</f>
        <v/>
      </c>
      <c r="E338">
        <f>SUMIFS(J:J, G:G,             A338, H:H, B338, L:L, L338)</f>
        <v/>
      </c>
      <c r="F338" t="inlineStr">
        <is>
          <t>PH0019</t>
        </is>
      </c>
      <c r="G338" t="inlineStr">
        <is>
          <t>Laxa Jeff</t>
        </is>
      </c>
      <c r="H338" t="inlineStr">
        <is>
          <t>TCNz001PH:Internal operations</t>
        </is>
      </c>
      <c r="I338" s="1" t="n">
        <v>45944</v>
      </c>
      <c r="J338" t="n">
        <v>0.75</v>
      </c>
      <c r="K338" t="inlineStr">
        <is>
          <t>Reading Japanese materials to improve Nihongo</t>
        </is>
      </c>
      <c r="L338">
        <f>IFERROR(LEFT(K338,             FIND(",", K338) - 1), "-")</f>
        <v/>
      </c>
      <c r="M338">
        <f>IFERROR(MID(K338,             FIND(",", K338) + 1, LEN(K338) - FIND(",", K338)), K338)</f>
        <v/>
      </c>
      <c r="N338" t="n">
        <v>5</v>
      </c>
      <c r="P338" t="inlineStr">
        <is>
          <t>10:15</t>
        </is>
      </c>
      <c r="Q338" t="inlineStr">
        <is>
          <t>11:00</t>
        </is>
      </c>
    </row>
    <row r="339">
      <c r="A339" t="inlineStr">
        <is>
          <t>Laxa Jeff</t>
        </is>
      </c>
      <c r="B339" t="inlineStr">
        <is>
          <t>TCNz001PH:Internal operations</t>
        </is>
      </c>
      <c r="D339">
        <f>L339</f>
        <v/>
      </c>
      <c r="E339">
        <f>SUMIFS(J:J, G:G,             A339, H:H, B339, L:L, L339)</f>
        <v/>
      </c>
      <c r="F339" t="inlineStr">
        <is>
          <t>PH0019</t>
        </is>
      </c>
      <c r="G339" t="inlineStr">
        <is>
          <t>Laxa Jeff</t>
        </is>
      </c>
      <c r="H339" t="inlineStr">
        <is>
          <t>TCNz001PH:Internal operations</t>
        </is>
      </c>
      <c r="I339" s="1" t="n">
        <v>45944</v>
      </c>
      <c r="J339" t="n">
        <v>0.75</v>
      </c>
      <c r="K339" t="inlineStr">
        <is>
          <t>Reading Japanese materials to improve Nihongo</t>
        </is>
      </c>
      <c r="L339">
        <f>IFERROR(LEFT(K339,             FIND(",", K339) - 1), "-")</f>
        <v/>
      </c>
      <c r="M339">
        <f>IFERROR(MID(K339,             FIND(",", K339) + 1, LEN(K339) - FIND(",", K339)), K339)</f>
        <v/>
      </c>
      <c r="N339" t="n">
        <v>5</v>
      </c>
      <c r="P339" t="inlineStr">
        <is>
          <t>12:45</t>
        </is>
      </c>
      <c r="Q339" t="inlineStr">
        <is>
          <t>13:30</t>
        </is>
      </c>
    </row>
    <row r="340">
      <c r="A340" t="inlineStr">
        <is>
          <t>Laxa Jeff</t>
        </is>
      </c>
      <c r="B340" t="inlineStr">
        <is>
          <t>TCNz001PH:Internal operations</t>
        </is>
      </c>
      <c r="D340">
        <f>L340</f>
        <v/>
      </c>
      <c r="E340">
        <f>SUMIFS(J:J, G:G,             A340, H:H, B340, L:L, L340)</f>
        <v/>
      </c>
      <c r="F340" t="inlineStr">
        <is>
          <t>PH0019</t>
        </is>
      </c>
      <c r="G340" t="inlineStr">
        <is>
          <t>Laxa Jeff</t>
        </is>
      </c>
      <c r="H340" t="inlineStr">
        <is>
          <t>TCNz001PH:Internal operations</t>
        </is>
      </c>
      <c r="I340" s="1" t="n">
        <v>45944</v>
      </c>
      <c r="J340" t="n">
        <v>0.75</v>
      </c>
      <c r="K340" t="inlineStr">
        <is>
          <t>Reading Japanese materials to improve Nihongo</t>
        </is>
      </c>
      <c r="L340">
        <f>IFERROR(LEFT(K340,             FIND(",", K340) - 1), "-")</f>
        <v/>
      </c>
      <c r="M340">
        <f>IFERROR(MID(K340,             FIND(",", K340) + 1, LEN(K340) - FIND(",", K340)), K340)</f>
        <v/>
      </c>
      <c r="N340" t="n">
        <v>5</v>
      </c>
      <c r="P340" t="inlineStr">
        <is>
          <t>14:30</t>
        </is>
      </c>
      <c r="Q340" t="inlineStr">
        <is>
          <t>15:15</t>
        </is>
      </c>
    </row>
    <row r="341">
      <c r="A341" t="inlineStr">
        <is>
          <t>Laxa Jeff</t>
        </is>
      </c>
      <c r="B341" t="inlineStr">
        <is>
          <t>TCNz001PH:Internal operations</t>
        </is>
      </c>
      <c r="D341">
        <f>L341</f>
        <v/>
      </c>
      <c r="E341">
        <f>SUMIFS(J:J, G:G,             A341, H:H, B341, L:L, L341)</f>
        <v/>
      </c>
      <c r="F341" t="inlineStr">
        <is>
          <t>PH0019</t>
        </is>
      </c>
      <c r="G341" t="inlineStr">
        <is>
          <t>Laxa Jeff</t>
        </is>
      </c>
      <c r="H341" t="inlineStr">
        <is>
          <t>TCNz001PH:Internal operations</t>
        </is>
      </c>
      <c r="I341" s="1" t="n">
        <v>45944</v>
      </c>
      <c r="J341" t="n">
        <v>0.75</v>
      </c>
      <c r="K341" t="inlineStr">
        <is>
          <t>Reading Japanese materials to improve Nihongo</t>
        </is>
      </c>
      <c r="L341">
        <f>IFERROR(LEFT(K341,             FIND(",", K341) - 1), "-")</f>
        <v/>
      </c>
      <c r="M341">
        <f>IFERROR(MID(K341,             FIND(",", K341) + 1, LEN(K341) - FIND(",", K341)), K341)</f>
        <v/>
      </c>
      <c r="N341" t="n">
        <v>5</v>
      </c>
      <c r="P341" t="inlineStr">
        <is>
          <t>16:15</t>
        </is>
      </c>
      <c r="Q341" t="inlineStr">
        <is>
          <t>17:00</t>
        </is>
      </c>
    </row>
    <row r="342">
      <c r="A342" t="inlineStr">
        <is>
          <t>Laxa Jeff</t>
        </is>
      </c>
      <c r="B342" t="inlineStr">
        <is>
          <t>TCNz001PH:Internal operations</t>
        </is>
      </c>
      <c r="D342">
        <f>L342</f>
        <v/>
      </c>
      <c r="E342">
        <f>SUMIFS(J:J, G:G,             A342, H:H, B342, L:L, L342)</f>
        <v/>
      </c>
      <c r="F342" t="inlineStr">
        <is>
          <t>PH0019</t>
        </is>
      </c>
      <c r="G342" t="inlineStr">
        <is>
          <t>Laxa Jeff</t>
        </is>
      </c>
      <c r="H342" t="inlineStr">
        <is>
          <t>TCNz001PH:Internal operations</t>
        </is>
      </c>
      <c r="I342" s="1" t="n">
        <v>45938</v>
      </c>
      <c r="J342" t="n">
        <v>0.25</v>
      </c>
      <c r="K342" t="inlineStr">
        <is>
          <t>Reviewing spec</t>
        </is>
      </c>
      <c r="L342">
        <f>IFERROR(LEFT(K342,             FIND(",", K342) - 1), "-")</f>
        <v/>
      </c>
      <c r="M342">
        <f>IFERROR(MID(K342,             FIND(",", K342) + 1, LEN(K342) - FIND(",", K342)), K342)</f>
        <v/>
      </c>
      <c r="N342" t="n">
        <v>5</v>
      </c>
      <c r="P342" t="inlineStr">
        <is>
          <t>16:45</t>
        </is>
      </c>
      <c r="Q342" t="inlineStr">
        <is>
          <t>17:00</t>
        </is>
      </c>
    </row>
    <row r="343">
      <c r="A343" t="inlineStr">
        <is>
          <t>Laxa Jeff</t>
        </is>
      </c>
      <c r="B343" t="inlineStr">
        <is>
          <t>TCNz001PH:Internal operations</t>
        </is>
      </c>
      <c r="D343">
        <f>L343</f>
        <v/>
      </c>
      <c r="E343">
        <f>SUMIFS(J:J, G:G,             A343, H:H, B343, L:L, L343)</f>
        <v/>
      </c>
      <c r="F343" t="inlineStr">
        <is>
          <t>PH0019</t>
        </is>
      </c>
      <c r="G343" t="inlineStr">
        <is>
          <t>Laxa Jeff</t>
        </is>
      </c>
      <c r="H343" t="inlineStr">
        <is>
          <t>TCNz001PH:Internal operations</t>
        </is>
      </c>
      <c r="I343" s="1" t="n">
        <v>45945</v>
      </c>
      <c r="J343" t="n">
        <v>1</v>
      </c>
      <c r="K343" t="inlineStr">
        <is>
          <t>Update tool</t>
        </is>
      </c>
      <c r="L343">
        <f>IFERROR(LEFT(K343,             FIND(",", K343) - 1), "-")</f>
        <v/>
      </c>
      <c r="M343">
        <f>IFERROR(MID(K343,             FIND(",", K343) + 1, LEN(K343) - FIND(",", K343)), K343)</f>
        <v/>
      </c>
      <c r="N343" t="n">
        <v>5</v>
      </c>
      <c r="P343" t="inlineStr">
        <is>
          <t>12:00</t>
        </is>
      </c>
      <c r="Q343" t="inlineStr">
        <is>
          <t>13:00</t>
        </is>
      </c>
    </row>
    <row r="344">
      <c r="A344" t="inlineStr">
        <is>
          <t>Laxa Jeff</t>
        </is>
      </c>
      <c r="B344" t="inlineStr">
        <is>
          <t>TCNz001PH:Internal operations</t>
        </is>
      </c>
      <c r="D344">
        <f>L344</f>
        <v/>
      </c>
      <c r="E344">
        <f>SUMIFS(J:J, G:G,             A344, H:H, B344, L:L, L344)</f>
        <v/>
      </c>
      <c r="F344" t="inlineStr">
        <is>
          <t>PH0019</t>
        </is>
      </c>
      <c r="G344" t="inlineStr">
        <is>
          <t>Laxa Jeff</t>
        </is>
      </c>
      <c r="H344" t="inlineStr">
        <is>
          <t>TCNz001PH:Internal operations</t>
        </is>
      </c>
      <c r="I344" s="1" t="n">
        <v>45945</v>
      </c>
      <c r="J344" t="n">
        <v>0.5</v>
      </c>
      <c r="K344" t="inlineStr">
        <is>
          <t>Update tool</t>
        </is>
      </c>
      <c r="L344">
        <f>IFERROR(LEFT(K344,             FIND(",", K344) - 1), "-")</f>
        <v/>
      </c>
      <c r="M344">
        <f>IFERROR(MID(K344,             FIND(",", K344) + 1, LEN(K344) - FIND(",", K344)), K344)</f>
        <v/>
      </c>
      <c r="N344" t="n">
        <v>5</v>
      </c>
      <c r="P344" t="inlineStr">
        <is>
          <t>16:30</t>
        </is>
      </c>
      <c r="Q344" t="inlineStr">
        <is>
          <t>17:00</t>
        </is>
      </c>
    </row>
    <row r="345">
      <c r="A345" t="inlineStr">
        <is>
          <t>Laxa Jeff</t>
        </is>
      </c>
      <c r="B345" t="inlineStr">
        <is>
          <t>TCNz001PH:Internal operations</t>
        </is>
      </c>
      <c r="D345">
        <f>L345</f>
        <v/>
      </c>
      <c r="E345">
        <f>SUMIFS(J:J, G:G,             A345, H:H, B345, L:L, L345)</f>
        <v/>
      </c>
      <c r="F345" t="inlineStr">
        <is>
          <t>PH0019</t>
        </is>
      </c>
      <c r="G345" t="inlineStr">
        <is>
          <t>Laxa Jeff</t>
        </is>
      </c>
      <c r="H345" t="inlineStr">
        <is>
          <t>TCNz001PH:Internal operations</t>
        </is>
      </c>
      <c r="I345" s="1" t="n">
        <v>45946</v>
      </c>
      <c r="J345" t="n">
        <v>0.75</v>
      </c>
      <c r="K345" t="inlineStr">
        <is>
          <t>Update tool</t>
        </is>
      </c>
      <c r="L345">
        <f>IFERROR(LEFT(K345,             FIND(",", K345) - 1), "-")</f>
        <v/>
      </c>
      <c r="M345">
        <f>IFERROR(MID(K345,             FIND(",", K345) + 1, LEN(K345) - FIND(",", K345)), K345)</f>
        <v/>
      </c>
      <c r="N345" t="n">
        <v>5</v>
      </c>
      <c r="P345" t="inlineStr">
        <is>
          <t>16:30</t>
        </is>
      </c>
      <c r="Q345" t="inlineStr">
        <is>
          <t>17:15</t>
        </is>
      </c>
    </row>
    <row r="346">
      <c r="A346" t="inlineStr">
        <is>
          <t>Laxa Jeff</t>
        </is>
      </c>
      <c r="B346" t="inlineStr">
        <is>
          <t>TCNz001PH:Internal operations</t>
        </is>
      </c>
      <c r="D346">
        <f>L346</f>
        <v/>
      </c>
      <c r="E346">
        <f>SUMIFS(J:J, G:G,             A346, H:H, B346, L:L, L346)</f>
        <v/>
      </c>
      <c r="F346" t="inlineStr">
        <is>
          <t>PH0019</t>
        </is>
      </c>
      <c r="G346" t="inlineStr">
        <is>
          <t>Laxa Jeff</t>
        </is>
      </c>
      <c r="H346" t="inlineStr">
        <is>
          <t>TCNz001PH:Internal operations</t>
        </is>
      </c>
      <c r="I346" s="1" t="n">
        <v>45950</v>
      </c>
      <c r="J346" t="n">
        <v>0.25</v>
      </c>
      <c r="K346" t="inlineStr">
        <is>
          <t>Yamaha account check</t>
        </is>
      </c>
      <c r="L346">
        <f>IFERROR(LEFT(K346,             FIND(",", K346) - 1), "-")</f>
        <v/>
      </c>
      <c r="M346">
        <f>IFERROR(MID(K346,             FIND(",", K346) + 1, LEN(K346) - FIND(",", K346)), K346)</f>
        <v/>
      </c>
      <c r="N346" t="n">
        <v>5</v>
      </c>
      <c r="P346" t="inlineStr">
        <is>
          <t>08:15</t>
        </is>
      </c>
      <c r="Q346" t="inlineStr">
        <is>
          <t>08:30</t>
        </is>
      </c>
    </row>
    <row r="347">
      <c r="A347" t="inlineStr">
        <is>
          <t>Laxa Jeff</t>
        </is>
      </c>
      <c r="B347" t="inlineStr">
        <is>
          <t>TCNz001PH:Internal operations</t>
        </is>
      </c>
      <c r="D347">
        <f>L347</f>
        <v/>
      </c>
      <c r="E347">
        <f>SUMIFS(J:J, G:G,             A347, H:H, B347, L:L, L347)</f>
        <v/>
      </c>
      <c r="F347" t="inlineStr">
        <is>
          <t>PH0019</t>
        </is>
      </c>
      <c r="G347" t="inlineStr">
        <is>
          <t>Laxa Jeff</t>
        </is>
      </c>
      <c r="H347" t="inlineStr">
        <is>
          <t>TCNz001PH:Internal operations</t>
        </is>
      </c>
      <c r="I347" s="1" t="n">
        <v>45950</v>
      </c>
      <c r="J347" t="n">
        <v>0.25</v>
      </c>
      <c r="K347" t="inlineStr">
        <is>
          <t>Yamaha account check</t>
        </is>
      </c>
      <c r="L347">
        <f>IFERROR(LEFT(K347,             FIND(",", K347) - 1), "-")</f>
        <v/>
      </c>
      <c r="M347">
        <f>IFERROR(MID(K347,             FIND(",", K347) + 1, LEN(K347) - FIND(",", K347)), K347)</f>
        <v/>
      </c>
      <c r="N347" t="n">
        <v>5</v>
      </c>
      <c r="P347" t="inlineStr">
        <is>
          <t>09:00</t>
        </is>
      </c>
      <c r="Q347" t="inlineStr">
        <is>
          <t>09:15</t>
        </is>
      </c>
    </row>
    <row r="348">
      <c r="A348" t="inlineStr">
        <is>
          <t>Laxa Jeff</t>
        </is>
      </c>
      <c r="B348" t="inlineStr">
        <is>
          <t>TCNz001PH:Internal operations</t>
        </is>
      </c>
      <c r="D348">
        <f>L348</f>
        <v/>
      </c>
      <c r="E348">
        <f>SUMIFS(J:J, G:G,             A348, H:H, B348, L:L, L348)</f>
        <v/>
      </c>
      <c r="F348" t="inlineStr">
        <is>
          <t>PH0019</t>
        </is>
      </c>
      <c r="G348" t="inlineStr">
        <is>
          <t>Laxa Jeff</t>
        </is>
      </c>
      <c r="H348" t="inlineStr">
        <is>
          <t>TCNz001PH:Internal operations</t>
        </is>
      </c>
      <c r="I348" s="1" t="n">
        <v>45950</v>
      </c>
      <c r="J348" t="n">
        <v>0.25</v>
      </c>
      <c r="K348" t="inlineStr">
        <is>
          <t>Yamaha account check</t>
        </is>
      </c>
      <c r="L348">
        <f>IFERROR(LEFT(K348,             FIND(",", K348) - 1), "-")</f>
        <v/>
      </c>
      <c r="M348">
        <f>IFERROR(MID(K348,             FIND(",", K348) + 1, LEN(K348) - FIND(",", K348)), K348)</f>
        <v/>
      </c>
      <c r="N348" t="n">
        <v>5</v>
      </c>
      <c r="P348" t="inlineStr">
        <is>
          <t>13:00</t>
        </is>
      </c>
      <c r="Q348" t="inlineStr">
        <is>
          <t>13:15</t>
        </is>
      </c>
    </row>
    <row r="349">
      <c r="A349" t="inlineStr">
        <is>
          <t>Laxa Jeff</t>
        </is>
      </c>
      <c r="B349" t="inlineStr">
        <is>
          <t>TCNz001PH:Internal operations</t>
        </is>
      </c>
      <c r="D349">
        <f>L349</f>
        <v/>
      </c>
      <c r="E349">
        <f>SUMIFS(J:J, G:G,             A349, H:H, B349, L:L, L349)</f>
        <v/>
      </c>
      <c r="F349" t="inlineStr">
        <is>
          <t>PH0019</t>
        </is>
      </c>
      <c r="G349" t="inlineStr">
        <is>
          <t>Laxa Jeff</t>
        </is>
      </c>
      <c r="H349" t="inlineStr">
        <is>
          <t>TCNz001PH:Internal operations</t>
        </is>
      </c>
      <c r="I349" s="1" t="n">
        <v>45951</v>
      </c>
      <c r="J349" t="n">
        <v>0.5</v>
      </c>
      <c r="K349" t="inlineStr">
        <is>
          <t>Yamaha account check</t>
        </is>
      </c>
      <c r="L349">
        <f>IFERROR(LEFT(K349,             FIND(",", K349) - 1), "-")</f>
        <v/>
      </c>
      <c r="M349">
        <f>IFERROR(MID(K349,             FIND(",", K349) + 1, LEN(K349) - FIND(",", K349)), K349)</f>
        <v/>
      </c>
      <c r="N349" t="n">
        <v>5</v>
      </c>
      <c r="P349" t="inlineStr">
        <is>
          <t>08:00</t>
        </is>
      </c>
      <c r="Q349" t="inlineStr">
        <is>
          <t>08:30</t>
        </is>
      </c>
    </row>
    <row r="350">
      <c r="A350" t="inlineStr">
        <is>
          <t>Laxa Jeff</t>
        </is>
      </c>
      <c r="B350" t="inlineStr">
        <is>
          <t>TCNz001PH:Internal operations</t>
        </is>
      </c>
      <c r="D350">
        <f>L350</f>
        <v/>
      </c>
      <c r="E350">
        <f>SUMIFS(J:J, G:G,             A350, H:H, B350, L:L, L350)</f>
        <v/>
      </c>
      <c r="F350" t="inlineStr">
        <is>
          <t>PH0019</t>
        </is>
      </c>
      <c r="G350" t="inlineStr">
        <is>
          <t>Laxa Jeff</t>
        </is>
      </c>
      <c r="H350" t="inlineStr">
        <is>
          <t>TCNz001PH:Internal operations</t>
        </is>
      </c>
      <c r="I350" s="1" t="n">
        <v>45931</v>
      </c>
      <c r="J350" t="n">
        <v>1</v>
      </c>
      <c r="L350">
        <f>IFERROR(LEFT(K350,             FIND(",", K350) - 1), "-")</f>
        <v/>
      </c>
      <c r="M350">
        <f>IFERROR(MID(K350,             FIND(",", K350) + 1, LEN(K350) - FIND(",", K350)), K350)</f>
        <v/>
      </c>
      <c r="N350" t="n">
        <v>5</v>
      </c>
      <c r="P350" t="inlineStr">
        <is>
          <t>10:00</t>
        </is>
      </c>
      <c r="Q350" t="inlineStr">
        <is>
          <t>11:00</t>
        </is>
      </c>
    </row>
    <row r="351">
      <c r="A351" t="inlineStr">
        <is>
          <t>Laxa Jeff</t>
        </is>
      </c>
      <c r="B351" t="inlineStr">
        <is>
          <t>TCNz001PH:Internal operations</t>
        </is>
      </c>
      <c r="D351">
        <f>L351</f>
        <v/>
      </c>
      <c r="E351">
        <f>SUMIFS(J:J, G:G,             A351, H:H, B351, L:L, L351)</f>
        <v/>
      </c>
      <c r="F351" t="inlineStr">
        <is>
          <t>PH0019</t>
        </is>
      </c>
      <c r="G351" t="inlineStr">
        <is>
          <t>Laxa Jeff</t>
        </is>
      </c>
      <c r="H351" t="inlineStr">
        <is>
          <t>TCNz001PH:Internal operations</t>
        </is>
      </c>
      <c r="I351" s="1" t="n">
        <v>45931</v>
      </c>
      <c r="J351" t="n">
        <v>0.75</v>
      </c>
      <c r="L351">
        <f>IFERROR(LEFT(K351,             FIND(",", K351) - 1), "-")</f>
        <v/>
      </c>
      <c r="M351">
        <f>IFERROR(MID(K351,             FIND(",", K351) + 1, LEN(K351) - FIND(",", K351)), K351)</f>
        <v/>
      </c>
      <c r="N351" t="n">
        <v>5</v>
      </c>
      <c r="P351" t="inlineStr">
        <is>
          <t>12:45</t>
        </is>
      </c>
      <c r="Q351" t="inlineStr">
        <is>
          <t>13:30</t>
        </is>
      </c>
    </row>
    <row r="352">
      <c r="A352" t="inlineStr">
        <is>
          <t>Laxa Jeff</t>
        </is>
      </c>
      <c r="B352" t="inlineStr">
        <is>
          <t>TCNz001PH:Internal operations</t>
        </is>
      </c>
      <c r="D352">
        <f>L352</f>
        <v/>
      </c>
      <c r="E352">
        <f>SUMIFS(J:J, G:G,             A352, H:H, B352, L:L, L352)</f>
        <v/>
      </c>
      <c r="F352" t="inlineStr">
        <is>
          <t>PH0019</t>
        </is>
      </c>
      <c r="G352" t="inlineStr">
        <is>
          <t>Laxa Jeff</t>
        </is>
      </c>
      <c r="H352" t="inlineStr">
        <is>
          <t>TCNz001PH:Internal operations</t>
        </is>
      </c>
      <c r="I352" s="1" t="n">
        <v>45931</v>
      </c>
      <c r="J352" t="n">
        <v>0.75</v>
      </c>
      <c r="L352">
        <f>IFERROR(LEFT(K352,             FIND(",", K352) - 1), "-")</f>
        <v/>
      </c>
      <c r="M352">
        <f>IFERROR(MID(K352,             FIND(",", K352) + 1, LEN(K352) - FIND(",", K352)), K352)</f>
        <v/>
      </c>
      <c r="N352" t="n">
        <v>5</v>
      </c>
      <c r="P352" t="inlineStr">
        <is>
          <t>14:15</t>
        </is>
      </c>
      <c r="Q352" t="inlineStr">
        <is>
          <t>15:00</t>
        </is>
      </c>
    </row>
    <row r="353">
      <c r="A353" t="inlineStr">
        <is>
          <t>Laxa Jeff</t>
        </is>
      </c>
      <c r="B353" t="inlineStr">
        <is>
          <t>TCNz001PH:Internal operations</t>
        </is>
      </c>
      <c r="D353">
        <f>L353</f>
        <v/>
      </c>
      <c r="E353">
        <f>SUMIFS(J:J, G:G,             A353, H:H, B353, L:L, L353)</f>
        <v/>
      </c>
      <c r="F353" t="inlineStr">
        <is>
          <t>PH0019</t>
        </is>
      </c>
      <c r="G353" t="inlineStr">
        <is>
          <t>Laxa Jeff</t>
        </is>
      </c>
      <c r="H353" t="inlineStr">
        <is>
          <t>TCNz001PH:Internal operations</t>
        </is>
      </c>
      <c r="I353" s="1" t="n">
        <v>45933</v>
      </c>
      <c r="J353" t="n">
        <v>1.25</v>
      </c>
      <c r="L353">
        <f>IFERROR(LEFT(K353,             FIND(",", K353) - 1), "-")</f>
        <v/>
      </c>
      <c r="M353">
        <f>IFERROR(MID(K353,             FIND(",", K353) + 1, LEN(K353) - FIND(",", K353)), K353)</f>
        <v/>
      </c>
      <c r="N353" t="n">
        <v>5</v>
      </c>
      <c r="P353" t="inlineStr">
        <is>
          <t>08:15</t>
        </is>
      </c>
      <c r="Q353" t="inlineStr">
        <is>
          <t>09:30</t>
        </is>
      </c>
    </row>
    <row r="354">
      <c r="A354" t="inlineStr">
        <is>
          <t>Laxa Jeff</t>
        </is>
      </c>
      <c r="B354" t="inlineStr">
        <is>
          <t>TCNz001PH:Internal operations</t>
        </is>
      </c>
      <c r="D354">
        <f>L354</f>
        <v/>
      </c>
      <c r="E354">
        <f>SUMIFS(J:J, G:G,             A354, H:H, B354, L:L, L354)</f>
        <v/>
      </c>
      <c r="F354" t="inlineStr">
        <is>
          <t>PH0019</t>
        </is>
      </c>
      <c r="G354" t="inlineStr">
        <is>
          <t>Laxa Jeff</t>
        </is>
      </c>
      <c r="H354" t="inlineStr">
        <is>
          <t>TCNz001PH:Internal operations</t>
        </is>
      </c>
      <c r="I354" s="1" t="n">
        <v>45933</v>
      </c>
      <c r="J354" t="n">
        <v>0.75</v>
      </c>
      <c r="L354">
        <f>IFERROR(LEFT(K354,             FIND(",", K354) - 1), "-")</f>
        <v/>
      </c>
      <c r="M354">
        <f>IFERROR(MID(K354,             FIND(",", K354) + 1, LEN(K354) - FIND(",", K354)), K354)</f>
        <v/>
      </c>
      <c r="N354" t="n">
        <v>5</v>
      </c>
      <c r="P354" t="inlineStr">
        <is>
          <t>13:45</t>
        </is>
      </c>
      <c r="Q354" t="inlineStr">
        <is>
          <t>14:30</t>
        </is>
      </c>
    </row>
    <row r="355">
      <c r="A355" t="inlineStr">
        <is>
          <t>Laxa Jeff</t>
        </is>
      </c>
      <c r="B355" t="inlineStr">
        <is>
          <t>TCNz001PH:Internal operations</t>
        </is>
      </c>
      <c r="D355">
        <f>L355</f>
        <v/>
      </c>
      <c r="E355">
        <f>SUMIFS(J:J, G:G,             A355, H:H, B355, L:L, L355)</f>
        <v/>
      </c>
      <c r="F355" t="inlineStr">
        <is>
          <t>PH0019</t>
        </is>
      </c>
      <c r="G355" t="inlineStr">
        <is>
          <t>Laxa Jeff</t>
        </is>
      </c>
      <c r="H355" t="inlineStr">
        <is>
          <t>TCNz001PH:Internal operations</t>
        </is>
      </c>
      <c r="I355" s="1" t="n">
        <v>45933</v>
      </c>
      <c r="J355" t="n">
        <v>0.75</v>
      </c>
      <c r="L355">
        <f>IFERROR(LEFT(K355,             FIND(",", K355) - 1), "-")</f>
        <v/>
      </c>
      <c r="M355">
        <f>IFERROR(MID(K355,             FIND(",", K355) + 1, LEN(K355) - FIND(",", K355)), K355)</f>
        <v/>
      </c>
      <c r="N355" t="n">
        <v>5</v>
      </c>
      <c r="P355" t="inlineStr">
        <is>
          <t>15:30</t>
        </is>
      </c>
      <c r="Q355" t="inlineStr">
        <is>
          <t>16:15</t>
        </is>
      </c>
    </row>
    <row r="356">
      <c r="A356" t="inlineStr">
        <is>
          <t>Laxa Jeff</t>
        </is>
      </c>
      <c r="B356" t="inlineStr">
        <is>
          <t>TCNz001PH:Internal operations</t>
        </is>
      </c>
      <c r="D356">
        <f>L356</f>
        <v/>
      </c>
      <c r="E356">
        <f>SUMIFS(J:J, G:G,             A356, H:H, B356, L:L, L356)</f>
        <v/>
      </c>
      <c r="F356" t="inlineStr">
        <is>
          <t>PH0019</t>
        </is>
      </c>
      <c r="G356" t="inlineStr">
        <is>
          <t>Laxa Jeff</t>
        </is>
      </c>
      <c r="H356" t="inlineStr">
        <is>
          <t>TCNz001PH:Internal operations</t>
        </is>
      </c>
      <c r="I356" s="1" t="n">
        <v>45936</v>
      </c>
      <c r="J356" t="n">
        <v>1.25</v>
      </c>
      <c r="L356">
        <f>IFERROR(LEFT(K356,             FIND(",", K356) - 1), "-")</f>
        <v/>
      </c>
      <c r="M356">
        <f>IFERROR(MID(K356,             FIND(",", K356) + 1, LEN(K356) - FIND(",", K356)), K356)</f>
        <v/>
      </c>
      <c r="N356" t="n">
        <v>5</v>
      </c>
      <c r="P356" t="inlineStr">
        <is>
          <t>08:15</t>
        </is>
      </c>
      <c r="Q356" t="inlineStr">
        <is>
          <t>09:30</t>
        </is>
      </c>
    </row>
    <row r="357">
      <c r="A357" t="inlineStr">
        <is>
          <t>Laxa Jeff</t>
        </is>
      </c>
      <c r="B357" t="inlineStr">
        <is>
          <t>TCNz001PH:Internal operations</t>
        </is>
      </c>
      <c r="D357">
        <f>L357</f>
        <v/>
      </c>
      <c r="E357">
        <f>SUMIFS(J:J, G:G,             A357, H:H, B357, L:L, L357)</f>
        <v/>
      </c>
      <c r="F357" t="inlineStr">
        <is>
          <t>PH0019</t>
        </is>
      </c>
      <c r="G357" t="inlineStr">
        <is>
          <t>Laxa Jeff</t>
        </is>
      </c>
      <c r="H357" t="inlineStr">
        <is>
          <t>TCNz001PH:Internal operations</t>
        </is>
      </c>
      <c r="I357" s="1" t="n">
        <v>45936</v>
      </c>
      <c r="J357" t="n">
        <v>0.75</v>
      </c>
      <c r="L357">
        <f>IFERROR(LEFT(K357,             FIND(",", K357) - 1), "-")</f>
        <v/>
      </c>
      <c r="M357">
        <f>IFERROR(MID(K357,             FIND(",", K357) + 1, LEN(K357) - FIND(",", K357)), K357)</f>
        <v/>
      </c>
      <c r="N357" t="n">
        <v>5</v>
      </c>
      <c r="P357" t="inlineStr">
        <is>
          <t>10:15</t>
        </is>
      </c>
      <c r="Q357" t="inlineStr">
        <is>
          <t>11:00</t>
        </is>
      </c>
    </row>
    <row r="358">
      <c r="A358" t="inlineStr">
        <is>
          <t>Laxa Jeff</t>
        </is>
      </c>
      <c r="B358" t="inlineStr">
        <is>
          <t>TCNz001PH:Internal operations</t>
        </is>
      </c>
      <c r="D358">
        <f>L358</f>
        <v/>
      </c>
      <c r="E358">
        <f>SUMIFS(J:J, G:G,             A358, H:H, B358, L:L, L358)</f>
        <v/>
      </c>
      <c r="F358" t="inlineStr">
        <is>
          <t>PH0019</t>
        </is>
      </c>
      <c r="G358" t="inlineStr">
        <is>
          <t>Laxa Jeff</t>
        </is>
      </c>
      <c r="H358" t="inlineStr">
        <is>
          <t>TCNz001PH:Internal operations</t>
        </is>
      </c>
      <c r="I358" s="1" t="n">
        <v>45936</v>
      </c>
      <c r="J358" t="n">
        <v>0.75</v>
      </c>
      <c r="L358">
        <f>IFERROR(LEFT(K358,             FIND(",", K358) - 1), "-")</f>
        <v/>
      </c>
      <c r="M358">
        <f>IFERROR(MID(K358,             FIND(",", K358) + 1, LEN(K358) - FIND(",", K358)), K358)</f>
        <v/>
      </c>
      <c r="N358" t="n">
        <v>5</v>
      </c>
      <c r="P358" t="inlineStr">
        <is>
          <t>12:45</t>
        </is>
      </c>
      <c r="Q358" t="inlineStr">
        <is>
          <t>13:30</t>
        </is>
      </c>
    </row>
    <row r="359">
      <c r="A359" t="inlineStr">
        <is>
          <t>Laxa Jeff</t>
        </is>
      </c>
      <c r="B359" t="inlineStr">
        <is>
          <t>TCNz001PH:Internal operations</t>
        </is>
      </c>
      <c r="D359">
        <f>L359</f>
        <v/>
      </c>
      <c r="E359">
        <f>SUMIFS(J:J, G:G,             A359, H:H, B359, L:L, L359)</f>
        <v/>
      </c>
      <c r="F359" t="inlineStr">
        <is>
          <t>PH0019</t>
        </is>
      </c>
      <c r="G359" t="inlineStr">
        <is>
          <t>Laxa Jeff</t>
        </is>
      </c>
      <c r="H359" t="inlineStr">
        <is>
          <t>TCNz001PH:Internal operations</t>
        </is>
      </c>
      <c r="I359" s="1" t="n">
        <v>45936</v>
      </c>
      <c r="J359" t="n">
        <v>0.75</v>
      </c>
      <c r="L359">
        <f>IFERROR(LEFT(K359,             FIND(",", K359) - 1), "-")</f>
        <v/>
      </c>
      <c r="M359">
        <f>IFERROR(MID(K359,             FIND(",", K359) + 1, LEN(K359) - FIND(",", K359)), K359)</f>
        <v/>
      </c>
      <c r="N359" t="n">
        <v>5</v>
      </c>
      <c r="P359" t="inlineStr">
        <is>
          <t>14:30</t>
        </is>
      </c>
      <c r="Q359" t="inlineStr">
        <is>
          <t>15:15</t>
        </is>
      </c>
    </row>
    <row r="360">
      <c r="A360" t="inlineStr">
        <is>
          <t>Laxa Jeff</t>
        </is>
      </c>
      <c r="B360" t="inlineStr">
        <is>
          <t>TCNz001PH:Internal operations</t>
        </is>
      </c>
      <c r="D360">
        <f>L360</f>
        <v/>
      </c>
      <c r="E360">
        <f>SUMIFS(J:J, G:G,             A360, H:H, B360, L:L, L360)</f>
        <v/>
      </c>
      <c r="F360" t="inlineStr">
        <is>
          <t>PH0019</t>
        </is>
      </c>
      <c r="G360" t="inlineStr">
        <is>
          <t>Laxa Jeff</t>
        </is>
      </c>
      <c r="H360" t="inlineStr">
        <is>
          <t>TCNz001PH:Internal operations</t>
        </is>
      </c>
      <c r="I360" s="1" t="n">
        <v>45936</v>
      </c>
      <c r="J360" t="n">
        <v>0.75</v>
      </c>
      <c r="L360">
        <f>IFERROR(LEFT(K360,             FIND(",", K360) - 1), "-")</f>
        <v/>
      </c>
      <c r="M360">
        <f>IFERROR(MID(K360,             FIND(",", K360) + 1, LEN(K360) - FIND(",", K360)), K360)</f>
        <v/>
      </c>
      <c r="N360" t="n">
        <v>5</v>
      </c>
      <c r="P360" t="inlineStr">
        <is>
          <t>16:15</t>
        </is>
      </c>
      <c r="Q360" t="inlineStr">
        <is>
          <t>17:00</t>
        </is>
      </c>
    </row>
    <row r="361">
      <c r="A361" t="inlineStr">
        <is>
          <t>Laxa Jeff</t>
        </is>
      </c>
      <c r="B361" t="inlineStr">
        <is>
          <t>TCNz001PH:Internal operations</t>
        </is>
      </c>
      <c r="D361">
        <f>L361</f>
        <v/>
      </c>
      <c r="E361">
        <f>SUMIFS(J:J, G:G,             A361, H:H, B361, L:L, L361)</f>
        <v/>
      </c>
      <c r="F361" t="inlineStr">
        <is>
          <t>PH0019</t>
        </is>
      </c>
      <c r="G361" t="inlineStr">
        <is>
          <t>Laxa Jeff</t>
        </is>
      </c>
      <c r="H361" t="inlineStr">
        <is>
          <t>TCNz001PH:Internal operations</t>
        </is>
      </c>
      <c r="I361" s="1" t="n">
        <v>45937</v>
      </c>
      <c r="J361" t="n">
        <v>0.5</v>
      </c>
      <c r="L361">
        <f>IFERROR(LEFT(K361,             FIND(",", K361) - 1), "-")</f>
        <v/>
      </c>
      <c r="M361">
        <f>IFERROR(MID(K361,             FIND(",", K361) + 1, LEN(K361) - FIND(",", K361)), K361)</f>
        <v/>
      </c>
      <c r="N361" t="n">
        <v>5</v>
      </c>
      <c r="P361" t="inlineStr">
        <is>
          <t>09:00</t>
        </is>
      </c>
      <c r="Q361" t="inlineStr">
        <is>
          <t>09:30</t>
        </is>
      </c>
    </row>
    <row r="362">
      <c r="A362" t="inlineStr">
        <is>
          <t>Laxa Jeff</t>
        </is>
      </c>
      <c r="B362" t="inlineStr">
        <is>
          <t>TCNz001PH:Internal operations</t>
        </is>
      </c>
      <c r="D362">
        <f>L362</f>
        <v/>
      </c>
      <c r="E362">
        <f>SUMIFS(J:J, G:G,             A362, H:H, B362, L:L, L362)</f>
        <v/>
      </c>
      <c r="F362" t="inlineStr">
        <is>
          <t>PH0019</t>
        </is>
      </c>
      <c r="G362" t="inlineStr">
        <is>
          <t>Laxa Jeff</t>
        </is>
      </c>
      <c r="H362" t="inlineStr">
        <is>
          <t>TCNz001PH:Internal operations</t>
        </is>
      </c>
      <c r="I362" s="1" t="n">
        <v>45937</v>
      </c>
      <c r="J362" t="n">
        <v>0.25</v>
      </c>
      <c r="L362">
        <f>IFERROR(LEFT(K362,             FIND(",", K362) - 1), "-")</f>
        <v/>
      </c>
      <c r="M362">
        <f>IFERROR(MID(K362,             FIND(",", K362) + 1, LEN(K362) - FIND(",", K362)), K362)</f>
        <v/>
      </c>
      <c r="N362" t="n">
        <v>5</v>
      </c>
      <c r="P362" t="inlineStr">
        <is>
          <t>09:45</t>
        </is>
      </c>
      <c r="Q362" t="inlineStr">
        <is>
          <t>10:00</t>
        </is>
      </c>
    </row>
    <row r="363">
      <c r="A363" t="inlineStr">
        <is>
          <t>Laxa Jeff</t>
        </is>
      </c>
      <c r="B363" t="inlineStr">
        <is>
          <t>TCNz001PH:Internal operations</t>
        </is>
      </c>
      <c r="D363">
        <f>L363</f>
        <v/>
      </c>
      <c r="E363">
        <f>SUMIFS(J:J, G:G,             A363, H:H, B363, L:L, L363)</f>
        <v/>
      </c>
      <c r="F363" t="inlineStr">
        <is>
          <t>PH0019</t>
        </is>
      </c>
      <c r="G363" t="inlineStr">
        <is>
          <t>Laxa Jeff</t>
        </is>
      </c>
      <c r="H363" t="inlineStr">
        <is>
          <t>TCNz001PH:Internal operations</t>
        </is>
      </c>
      <c r="I363" s="1" t="n">
        <v>45937</v>
      </c>
      <c r="J363" t="n">
        <v>0.25</v>
      </c>
      <c r="L363">
        <f>IFERROR(LEFT(K363,             FIND(",", K363) - 1), "-")</f>
        <v/>
      </c>
      <c r="M363">
        <f>IFERROR(MID(K363,             FIND(",", K363) + 1, LEN(K363) - FIND(",", K363)), K363)</f>
        <v/>
      </c>
      <c r="N363" t="n">
        <v>5</v>
      </c>
      <c r="P363" t="inlineStr">
        <is>
          <t>10:45</t>
        </is>
      </c>
      <c r="Q363" t="inlineStr">
        <is>
          <t>11:00</t>
        </is>
      </c>
    </row>
    <row r="364">
      <c r="A364" t="inlineStr">
        <is>
          <t>Laxa Jeff</t>
        </is>
      </c>
      <c r="B364" t="inlineStr">
        <is>
          <t>TCNz001PH:Internal operations</t>
        </is>
      </c>
      <c r="D364">
        <f>L364</f>
        <v/>
      </c>
      <c r="E364">
        <f>SUMIFS(J:J, G:G,             A364, H:H, B364, L:L, L364)</f>
        <v/>
      </c>
      <c r="F364" t="inlineStr">
        <is>
          <t>PH0019</t>
        </is>
      </c>
      <c r="G364" t="inlineStr">
        <is>
          <t>Laxa Jeff</t>
        </is>
      </c>
      <c r="H364" t="inlineStr">
        <is>
          <t>TCNz001PH:Internal operations</t>
        </is>
      </c>
      <c r="I364" s="1" t="n">
        <v>45937</v>
      </c>
      <c r="J364" t="n">
        <v>0.75</v>
      </c>
      <c r="L364">
        <f>IFERROR(LEFT(K364,             FIND(",", K364) - 1), "-")</f>
        <v/>
      </c>
      <c r="M364">
        <f>IFERROR(MID(K364,             FIND(",", K364) + 1, LEN(K364) - FIND(",", K364)), K364)</f>
        <v/>
      </c>
      <c r="N364" t="n">
        <v>5</v>
      </c>
      <c r="P364" t="inlineStr">
        <is>
          <t>12:00</t>
        </is>
      </c>
      <c r="Q364" t="inlineStr">
        <is>
          <t>12:45</t>
        </is>
      </c>
    </row>
    <row r="365">
      <c r="A365" t="inlineStr">
        <is>
          <t>Laxa Jeff</t>
        </is>
      </c>
      <c r="B365" t="inlineStr">
        <is>
          <t>TCNz001PH:Internal operations</t>
        </is>
      </c>
      <c r="D365">
        <f>L365</f>
        <v/>
      </c>
      <c r="E365">
        <f>SUMIFS(J:J, G:G,             A365, H:H, B365, L:L, L365)</f>
        <v/>
      </c>
      <c r="F365" t="inlineStr">
        <is>
          <t>PH0019</t>
        </is>
      </c>
      <c r="G365" t="inlineStr">
        <is>
          <t>Laxa Jeff</t>
        </is>
      </c>
      <c r="H365" t="inlineStr">
        <is>
          <t>TCNz001PH:Internal operations</t>
        </is>
      </c>
      <c r="I365" s="1" t="n">
        <v>45937</v>
      </c>
      <c r="J365" t="n">
        <v>0.75</v>
      </c>
      <c r="L365">
        <f>IFERROR(LEFT(K365,             FIND(",", K365) - 1), "-")</f>
        <v/>
      </c>
      <c r="M365">
        <f>IFERROR(MID(K365,             FIND(",", K365) + 1, LEN(K365) - FIND(",", K365)), K365)</f>
        <v/>
      </c>
      <c r="N365" t="n">
        <v>5</v>
      </c>
      <c r="P365" t="inlineStr">
        <is>
          <t>13:45</t>
        </is>
      </c>
      <c r="Q365" t="inlineStr">
        <is>
          <t>14:30</t>
        </is>
      </c>
    </row>
    <row r="366">
      <c r="A366" t="inlineStr">
        <is>
          <t>Laxa Jeff</t>
        </is>
      </c>
      <c r="B366" t="inlineStr">
        <is>
          <t>TCNz001PH:Internal operations</t>
        </is>
      </c>
      <c r="D366">
        <f>L366</f>
        <v/>
      </c>
      <c r="E366">
        <f>SUMIFS(J:J, G:G,             A366, H:H, B366, L:L, L366)</f>
        <v/>
      </c>
      <c r="F366" t="inlineStr">
        <is>
          <t>PH0019</t>
        </is>
      </c>
      <c r="G366" t="inlineStr">
        <is>
          <t>Laxa Jeff</t>
        </is>
      </c>
      <c r="H366" t="inlineStr">
        <is>
          <t>TCNz001PH:Internal operations</t>
        </is>
      </c>
      <c r="I366" s="1" t="n">
        <v>45937</v>
      </c>
      <c r="J366" t="n">
        <v>0.5</v>
      </c>
      <c r="L366">
        <f>IFERROR(LEFT(K366,             FIND(",", K366) - 1), "-")</f>
        <v/>
      </c>
      <c r="M366">
        <f>IFERROR(MID(K366,             FIND(",", K366) + 1, LEN(K366) - FIND(",", K366)), K366)</f>
        <v/>
      </c>
      <c r="N366" t="n">
        <v>5</v>
      </c>
      <c r="P366" t="inlineStr">
        <is>
          <t>15:30</t>
        </is>
      </c>
      <c r="Q366" t="inlineStr">
        <is>
          <t>16:00</t>
        </is>
      </c>
    </row>
    <row r="367">
      <c r="A367" t="inlineStr">
        <is>
          <t>Laxa Jeff</t>
        </is>
      </c>
      <c r="B367" t="inlineStr">
        <is>
          <t>TCNz001PH:Internal operations</t>
        </is>
      </c>
      <c r="D367">
        <f>L367</f>
        <v/>
      </c>
      <c r="E367">
        <f>SUMIFS(J:J, G:G,             A367, H:H, B367, L:L, L367)</f>
        <v/>
      </c>
      <c r="F367" t="inlineStr">
        <is>
          <t>PH0019</t>
        </is>
      </c>
      <c r="G367" t="inlineStr">
        <is>
          <t>Laxa Jeff</t>
        </is>
      </c>
      <c r="H367" t="inlineStr">
        <is>
          <t>TCNz001PH:Internal operations</t>
        </is>
      </c>
      <c r="I367" s="1" t="n">
        <v>45938</v>
      </c>
      <c r="J367" t="n">
        <v>0.75</v>
      </c>
      <c r="L367">
        <f>IFERROR(LEFT(K367,             FIND(",", K367) - 1), "-")</f>
        <v/>
      </c>
      <c r="M367">
        <f>IFERROR(MID(K367,             FIND(",", K367) + 1, LEN(K367) - FIND(",", K367)), K367)</f>
        <v/>
      </c>
      <c r="N367" t="n">
        <v>5</v>
      </c>
      <c r="P367" t="inlineStr">
        <is>
          <t>08:45</t>
        </is>
      </c>
      <c r="Q367" t="inlineStr">
        <is>
          <t>09:30</t>
        </is>
      </c>
    </row>
    <row r="368">
      <c r="A368" t="inlineStr">
        <is>
          <t>Laxa Jeff</t>
        </is>
      </c>
      <c r="B368" t="inlineStr">
        <is>
          <t>TCNz001PH:Internal operations</t>
        </is>
      </c>
      <c r="D368">
        <f>L368</f>
        <v/>
      </c>
      <c r="E368">
        <f>SUMIFS(J:J, G:G,             A368, H:H, B368, L:L, L368)</f>
        <v/>
      </c>
      <c r="F368" t="inlineStr">
        <is>
          <t>PH0019</t>
        </is>
      </c>
      <c r="G368" t="inlineStr">
        <is>
          <t>Laxa Jeff</t>
        </is>
      </c>
      <c r="H368" t="inlineStr">
        <is>
          <t>TCNz001PH:Internal operations</t>
        </is>
      </c>
      <c r="I368" s="1" t="n">
        <v>45938</v>
      </c>
      <c r="J368" t="n">
        <v>0.25</v>
      </c>
      <c r="L368">
        <f>IFERROR(LEFT(K368,             FIND(",", K368) - 1), "-")</f>
        <v/>
      </c>
      <c r="M368">
        <f>IFERROR(MID(K368,             FIND(",", K368) + 1, LEN(K368) - FIND(",", K368)), K368)</f>
        <v/>
      </c>
      <c r="N368" t="n">
        <v>5</v>
      </c>
      <c r="P368" t="inlineStr">
        <is>
          <t>09:45</t>
        </is>
      </c>
      <c r="Q368" t="inlineStr">
        <is>
          <t>10:00</t>
        </is>
      </c>
    </row>
    <row r="369">
      <c r="A369" t="inlineStr">
        <is>
          <t>Laxa Jeff</t>
        </is>
      </c>
      <c r="B369" t="inlineStr">
        <is>
          <t>TCNz001PH:Internal operations</t>
        </is>
      </c>
      <c r="D369">
        <f>L369</f>
        <v/>
      </c>
      <c r="E369">
        <f>SUMIFS(J:J, G:G,             A369, H:H, B369, L:L, L369)</f>
        <v/>
      </c>
      <c r="F369" t="inlineStr">
        <is>
          <t>PH0019</t>
        </is>
      </c>
      <c r="G369" t="inlineStr">
        <is>
          <t>Laxa Jeff</t>
        </is>
      </c>
      <c r="H369" t="inlineStr">
        <is>
          <t>TCNz001PH:Internal operations</t>
        </is>
      </c>
      <c r="I369" s="1" t="n">
        <v>45938</v>
      </c>
      <c r="J369" t="n">
        <v>1</v>
      </c>
      <c r="L369">
        <f>IFERROR(LEFT(K369,             FIND(",", K369) - 1), "-")</f>
        <v/>
      </c>
      <c r="M369">
        <f>IFERROR(MID(K369,             FIND(",", K369) + 1, LEN(K369) - FIND(",", K369)), K369)</f>
        <v/>
      </c>
      <c r="N369" t="n">
        <v>5</v>
      </c>
      <c r="P369" t="inlineStr">
        <is>
          <t>13:00</t>
        </is>
      </c>
      <c r="Q369" t="inlineStr">
        <is>
          <t>14:00</t>
        </is>
      </c>
    </row>
    <row r="370">
      <c r="A370" t="inlineStr">
        <is>
          <t>Laxa Jeff</t>
        </is>
      </c>
      <c r="B370" t="inlineStr">
        <is>
          <t>TCNz001PH:Internal operations</t>
        </is>
      </c>
      <c r="D370">
        <f>L370</f>
        <v/>
      </c>
      <c r="E370">
        <f>SUMIFS(J:J, G:G,             A370, H:H, B370, L:L, L370)</f>
        <v/>
      </c>
      <c r="F370" t="inlineStr">
        <is>
          <t>PH0019</t>
        </is>
      </c>
      <c r="G370" t="inlineStr">
        <is>
          <t>Laxa Jeff</t>
        </is>
      </c>
      <c r="H370" t="inlineStr">
        <is>
          <t>TCNz001PH:Internal operations</t>
        </is>
      </c>
      <c r="I370" s="1" t="n">
        <v>45939</v>
      </c>
      <c r="J370" t="n">
        <v>1.25</v>
      </c>
      <c r="L370">
        <f>IFERROR(LEFT(K370,             FIND(",", K370) - 1), "-")</f>
        <v/>
      </c>
      <c r="M370">
        <f>IFERROR(MID(K370,             FIND(",", K370) + 1, LEN(K370) - FIND(",", K370)), K370)</f>
        <v/>
      </c>
      <c r="N370" t="n">
        <v>5</v>
      </c>
      <c r="P370" t="inlineStr">
        <is>
          <t>08:15</t>
        </is>
      </c>
      <c r="Q370" t="inlineStr">
        <is>
          <t>09:30</t>
        </is>
      </c>
    </row>
    <row r="371">
      <c r="A371" t="inlineStr">
        <is>
          <t>Laxa Jeff</t>
        </is>
      </c>
      <c r="B371" t="inlineStr">
        <is>
          <t>TCNz001PH:Internal operations</t>
        </is>
      </c>
      <c r="D371">
        <f>L371</f>
        <v/>
      </c>
      <c r="E371">
        <f>SUMIFS(J:J, G:G,             A371, H:H, B371, L:L, L371)</f>
        <v/>
      </c>
      <c r="F371" t="inlineStr">
        <is>
          <t>PH0019</t>
        </is>
      </c>
      <c r="G371" t="inlineStr">
        <is>
          <t>Laxa Jeff</t>
        </is>
      </c>
      <c r="H371" t="inlineStr">
        <is>
          <t>TCNz001PH:Internal operations</t>
        </is>
      </c>
      <c r="I371" s="1" t="n">
        <v>45939</v>
      </c>
      <c r="J371" t="n">
        <v>0.75</v>
      </c>
      <c r="L371">
        <f>IFERROR(LEFT(K371,             FIND(",", K371) - 1), "-")</f>
        <v/>
      </c>
      <c r="M371">
        <f>IFERROR(MID(K371,             FIND(",", K371) + 1, LEN(K371) - FIND(",", K371)), K371)</f>
        <v/>
      </c>
      <c r="N371" t="n">
        <v>5</v>
      </c>
      <c r="P371" t="inlineStr">
        <is>
          <t>10:15</t>
        </is>
      </c>
      <c r="Q371" t="inlineStr">
        <is>
          <t>11:00</t>
        </is>
      </c>
    </row>
    <row r="372">
      <c r="A372" t="inlineStr">
        <is>
          <t>Laxa Jeff</t>
        </is>
      </c>
      <c r="B372" t="inlineStr">
        <is>
          <t>TCNz001PH:Internal operations</t>
        </is>
      </c>
      <c r="D372">
        <f>L372</f>
        <v/>
      </c>
      <c r="E372">
        <f>SUMIFS(J:J, G:G,             A372, H:H, B372, L:L, L372)</f>
        <v/>
      </c>
      <c r="F372" t="inlineStr">
        <is>
          <t>PH0019</t>
        </is>
      </c>
      <c r="G372" t="inlineStr">
        <is>
          <t>Laxa Jeff</t>
        </is>
      </c>
      <c r="H372" t="inlineStr">
        <is>
          <t>TCNz001PH:Internal operations</t>
        </is>
      </c>
      <c r="I372" s="1" t="n">
        <v>45939</v>
      </c>
      <c r="J372" t="n">
        <v>1</v>
      </c>
      <c r="L372">
        <f>IFERROR(LEFT(K372,             FIND(",", K372) - 1), "-")</f>
        <v/>
      </c>
      <c r="M372">
        <f>IFERROR(MID(K372,             FIND(",", K372) + 1, LEN(K372) - FIND(",", K372)), K372)</f>
        <v/>
      </c>
      <c r="N372" t="n">
        <v>5</v>
      </c>
      <c r="P372" t="inlineStr">
        <is>
          <t>12:45</t>
        </is>
      </c>
      <c r="Q372" t="inlineStr">
        <is>
          <t>13:45</t>
        </is>
      </c>
    </row>
    <row r="373">
      <c r="A373" t="inlineStr">
        <is>
          <t>Laxa Jeff</t>
        </is>
      </c>
      <c r="B373" t="inlineStr">
        <is>
          <t>TCNz001PH:Internal operations</t>
        </is>
      </c>
      <c r="D373">
        <f>L373</f>
        <v/>
      </c>
      <c r="E373">
        <f>SUMIFS(J:J, G:G,             A373, H:H, B373, L:L, L373)</f>
        <v/>
      </c>
      <c r="F373" t="inlineStr">
        <is>
          <t>PH0019</t>
        </is>
      </c>
      <c r="G373" t="inlineStr">
        <is>
          <t>Laxa Jeff</t>
        </is>
      </c>
      <c r="H373" t="inlineStr">
        <is>
          <t>TCNz001PH:Internal operations</t>
        </is>
      </c>
      <c r="I373" s="1" t="n">
        <v>45939</v>
      </c>
      <c r="J373" t="n">
        <v>0.75</v>
      </c>
      <c r="L373">
        <f>IFERROR(LEFT(K373,             FIND(",", K373) - 1), "-")</f>
        <v/>
      </c>
      <c r="M373">
        <f>IFERROR(MID(K373,             FIND(",", K373) + 1, LEN(K373) - FIND(",", K373)), K373)</f>
        <v/>
      </c>
      <c r="N373" t="n">
        <v>5</v>
      </c>
      <c r="P373" t="inlineStr">
        <is>
          <t>14:30</t>
        </is>
      </c>
      <c r="Q373" t="inlineStr">
        <is>
          <t>15:15</t>
        </is>
      </c>
    </row>
    <row r="374">
      <c r="A374" t="inlineStr">
        <is>
          <t>Laxa Jeff</t>
        </is>
      </c>
      <c r="B374" t="inlineStr">
        <is>
          <t>TCNz001PH:Internal operations</t>
        </is>
      </c>
      <c r="D374">
        <f>L374</f>
        <v/>
      </c>
      <c r="E374">
        <f>SUMIFS(J:J, G:G,             A374, H:H, B374, L:L, L374)</f>
        <v/>
      </c>
      <c r="F374" t="inlineStr">
        <is>
          <t>PH0019</t>
        </is>
      </c>
      <c r="G374" t="inlineStr">
        <is>
          <t>Laxa Jeff</t>
        </is>
      </c>
      <c r="H374" t="inlineStr">
        <is>
          <t>TCNz001PH:Internal operations</t>
        </is>
      </c>
      <c r="I374" s="1" t="n">
        <v>45939</v>
      </c>
      <c r="J374" t="n">
        <v>0.75</v>
      </c>
      <c r="L374">
        <f>IFERROR(LEFT(K374,             FIND(",", K374) - 1), "-")</f>
        <v/>
      </c>
      <c r="M374">
        <f>IFERROR(MID(K374,             FIND(",", K374) + 1, LEN(K374) - FIND(",", K374)), K374)</f>
        <v/>
      </c>
      <c r="N374" t="n">
        <v>5</v>
      </c>
      <c r="P374" t="inlineStr">
        <is>
          <t>16:15</t>
        </is>
      </c>
      <c r="Q374" t="inlineStr">
        <is>
          <t>17:00</t>
        </is>
      </c>
    </row>
    <row r="375">
      <c r="A375" t="inlineStr">
        <is>
          <t>Laxa Jeff</t>
        </is>
      </c>
      <c r="B375" t="inlineStr">
        <is>
          <t>TCNz001PH:Internal operations</t>
        </is>
      </c>
      <c r="D375">
        <f>L375</f>
        <v/>
      </c>
      <c r="E375">
        <f>SUMIFS(J:J, G:G,             A375, H:H, B375, L:L, L375)</f>
        <v/>
      </c>
      <c r="F375" t="inlineStr">
        <is>
          <t>PH0019</t>
        </is>
      </c>
      <c r="G375" t="inlineStr">
        <is>
          <t>Laxa Jeff</t>
        </is>
      </c>
      <c r="H375" t="inlineStr">
        <is>
          <t>TCNz001PH:Internal operations</t>
        </is>
      </c>
      <c r="I375" s="1" t="n">
        <v>45940</v>
      </c>
      <c r="J375" t="n">
        <v>0.75</v>
      </c>
      <c r="L375">
        <f>IFERROR(LEFT(K375,             FIND(",", K375) - 1), "-")</f>
        <v/>
      </c>
      <c r="M375">
        <f>IFERROR(MID(K375,             FIND(",", K375) + 1, LEN(K375) - FIND(",", K375)), K375)</f>
        <v/>
      </c>
      <c r="N375" t="n">
        <v>5</v>
      </c>
      <c r="P375" t="inlineStr">
        <is>
          <t>08:00</t>
        </is>
      </c>
      <c r="Q375" t="inlineStr">
        <is>
          <t>08:45</t>
        </is>
      </c>
    </row>
    <row r="376">
      <c r="A376" t="inlineStr">
        <is>
          <t>Laxa Jeff</t>
        </is>
      </c>
      <c r="B376" t="inlineStr">
        <is>
          <t>TCNz001PH:Internal operations</t>
        </is>
      </c>
      <c r="D376">
        <f>L376</f>
        <v/>
      </c>
      <c r="E376">
        <f>SUMIFS(J:J, G:G,             A376, H:H, B376, L:L, L376)</f>
        <v/>
      </c>
      <c r="F376" t="inlineStr">
        <is>
          <t>PH0019</t>
        </is>
      </c>
      <c r="G376" t="inlineStr">
        <is>
          <t>Laxa Jeff</t>
        </is>
      </c>
      <c r="H376" t="inlineStr">
        <is>
          <t>TCNz001PH:Internal operations</t>
        </is>
      </c>
      <c r="I376" s="1" t="n">
        <v>45940</v>
      </c>
      <c r="J376" t="n">
        <v>0.5</v>
      </c>
      <c r="L376">
        <f>IFERROR(LEFT(K376,             FIND(",", K376) - 1), "-")</f>
        <v/>
      </c>
      <c r="M376">
        <f>IFERROR(MID(K376,             FIND(",", K376) + 1, LEN(K376) - FIND(",", K376)), K376)</f>
        <v/>
      </c>
      <c r="N376" t="n">
        <v>5</v>
      </c>
      <c r="P376" t="inlineStr">
        <is>
          <t>10:00</t>
        </is>
      </c>
      <c r="Q376" t="inlineStr">
        <is>
          <t>10:30</t>
        </is>
      </c>
    </row>
    <row r="377">
      <c r="A377" t="inlineStr">
        <is>
          <t>Laxa Jeff</t>
        </is>
      </c>
      <c r="B377" t="inlineStr">
        <is>
          <t>TCNz001PH:Internal operations</t>
        </is>
      </c>
      <c r="D377">
        <f>L377</f>
        <v/>
      </c>
      <c r="E377">
        <f>SUMIFS(J:J, G:G,             A377, H:H, B377, L:L, L377)</f>
        <v/>
      </c>
      <c r="F377" t="inlineStr">
        <is>
          <t>PH0019</t>
        </is>
      </c>
      <c r="G377" t="inlineStr">
        <is>
          <t>Laxa Jeff</t>
        </is>
      </c>
      <c r="H377" t="inlineStr">
        <is>
          <t>TCNz001PH:Internal operations</t>
        </is>
      </c>
      <c r="I377" s="1" t="n">
        <v>45940</v>
      </c>
      <c r="J377" t="n">
        <v>0.75</v>
      </c>
      <c r="L377">
        <f>IFERROR(LEFT(K377,             FIND(",", K377) - 1), "-")</f>
        <v/>
      </c>
      <c r="M377">
        <f>IFERROR(MID(K377,             FIND(",", K377) + 1, LEN(K377) - FIND(",", K377)), K377)</f>
        <v/>
      </c>
      <c r="N377" t="n">
        <v>5</v>
      </c>
      <c r="P377" t="inlineStr">
        <is>
          <t>14:30</t>
        </is>
      </c>
      <c r="Q377" t="inlineStr">
        <is>
          <t>15:15</t>
        </is>
      </c>
    </row>
    <row r="378">
      <c r="A378" t="inlineStr">
        <is>
          <t>Laxa Jeff</t>
        </is>
      </c>
      <c r="B378" t="inlineStr">
        <is>
          <t>TCNz001PH:Internal operations</t>
        </is>
      </c>
      <c r="D378">
        <f>L378</f>
        <v/>
      </c>
      <c r="E378">
        <f>SUMIFS(J:J, G:G,             A378, H:H, B378, L:L, L378)</f>
        <v/>
      </c>
      <c r="F378" t="inlineStr">
        <is>
          <t>PH0019</t>
        </is>
      </c>
      <c r="G378" t="inlineStr">
        <is>
          <t>Laxa Jeff</t>
        </is>
      </c>
      <c r="H378" t="inlineStr">
        <is>
          <t>TCNz001PH:Internal operations</t>
        </is>
      </c>
      <c r="I378" s="1" t="n">
        <v>45940</v>
      </c>
      <c r="J378" t="n">
        <v>0.25</v>
      </c>
      <c r="L378">
        <f>IFERROR(LEFT(K378,             FIND(",", K378) - 1), "-")</f>
        <v/>
      </c>
      <c r="M378">
        <f>IFERROR(MID(K378,             FIND(",", K378) + 1, LEN(K378) - FIND(",", K378)), K378)</f>
        <v/>
      </c>
      <c r="N378" t="n">
        <v>5</v>
      </c>
      <c r="P378" t="inlineStr">
        <is>
          <t>15:30</t>
        </is>
      </c>
      <c r="Q378" t="inlineStr">
        <is>
          <t>15:45</t>
        </is>
      </c>
    </row>
    <row r="379">
      <c r="A379" t="inlineStr">
        <is>
          <t>Laxa Jeff</t>
        </is>
      </c>
      <c r="B379" t="inlineStr">
        <is>
          <t>TCNz001PH:Internal operations</t>
        </is>
      </c>
      <c r="D379">
        <f>L379</f>
        <v/>
      </c>
      <c r="E379">
        <f>SUMIFS(J:J, G:G,             A379, H:H, B379, L:L, L379)</f>
        <v/>
      </c>
      <c r="F379" t="inlineStr">
        <is>
          <t>PH0019</t>
        </is>
      </c>
      <c r="G379" t="inlineStr">
        <is>
          <t>Laxa Jeff</t>
        </is>
      </c>
      <c r="H379" t="inlineStr">
        <is>
          <t>TCNz001PH:Internal operations</t>
        </is>
      </c>
      <c r="I379" s="1" t="n">
        <v>45940</v>
      </c>
      <c r="J379" t="n">
        <v>0.5</v>
      </c>
      <c r="L379">
        <f>IFERROR(LEFT(K379,             FIND(",", K379) - 1), "-")</f>
        <v/>
      </c>
      <c r="M379">
        <f>IFERROR(MID(K379,             FIND(",", K379) + 1, LEN(K379) - FIND(",", K379)), K379)</f>
        <v/>
      </c>
      <c r="N379" t="n">
        <v>5</v>
      </c>
      <c r="P379" t="inlineStr">
        <is>
          <t>16:30</t>
        </is>
      </c>
      <c r="Q379" t="inlineStr">
        <is>
          <t>17:00</t>
        </is>
      </c>
    </row>
    <row r="380">
      <c r="A380" t="inlineStr">
        <is>
          <t>Laxa Jeff</t>
        </is>
      </c>
      <c r="B380" t="inlineStr">
        <is>
          <t>TCNz001PH:Internal operations</t>
        </is>
      </c>
      <c r="D380">
        <f>L380</f>
        <v/>
      </c>
      <c r="E380">
        <f>SUMIFS(J:J, G:G,             A380, H:H, B380, L:L, L380)</f>
        <v/>
      </c>
      <c r="F380" t="inlineStr">
        <is>
          <t>PH0019</t>
        </is>
      </c>
      <c r="G380" t="inlineStr">
        <is>
          <t>Laxa Jeff</t>
        </is>
      </c>
      <c r="H380" t="inlineStr">
        <is>
          <t>TCNz001PH:Internal operations</t>
        </is>
      </c>
      <c r="I380" s="1" t="n">
        <v>45943</v>
      </c>
      <c r="J380" t="n">
        <v>1.25</v>
      </c>
      <c r="L380">
        <f>IFERROR(LEFT(K380,             FIND(",", K380) - 1), "-")</f>
        <v/>
      </c>
      <c r="M380">
        <f>IFERROR(MID(K380,             FIND(",", K380) + 1, LEN(K380) - FIND(",", K380)), K380)</f>
        <v/>
      </c>
      <c r="N380" t="n">
        <v>5</v>
      </c>
      <c r="P380" t="inlineStr">
        <is>
          <t>09:45</t>
        </is>
      </c>
      <c r="Q380" t="inlineStr">
        <is>
          <t>11:00</t>
        </is>
      </c>
    </row>
    <row r="381">
      <c r="A381" t="inlineStr">
        <is>
          <t>Laxa Jeff</t>
        </is>
      </c>
      <c r="B381" t="inlineStr">
        <is>
          <t>TCNz001PH:Internal operations</t>
        </is>
      </c>
      <c r="D381">
        <f>L381</f>
        <v/>
      </c>
      <c r="E381">
        <f>SUMIFS(J:J, G:G,             A381, H:H, B381, L:L, L381)</f>
        <v/>
      </c>
      <c r="F381" t="inlineStr">
        <is>
          <t>PH0019</t>
        </is>
      </c>
      <c r="G381" t="inlineStr">
        <is>
          <t>Laxa Jeff</t>
        </is>
      </c>
      <c r="H381" t="inlineStr">
        <is>
          <t>TCNz001PH:Internal operations</t>
        </is>
      </c>
      <c r="I381" s="1" t="n">
        <v>45943</v>
      </c>
      <c r="J381" t="n">
        <v>1</v>
      </c>
      <c r="L381">
        <f>IFERROR(LEFT(K381,             FIND(",", K381) - 1), "-")</f>
        <v/>
      </c>
      <c r="M381">
        <f>IFERROR(MID(K381,             FIND(",", K381) + 1, LEN(K381) - FIND(",", K381)), K381)</f>
        <v/>
      </c>
      <c r="N381" t="n">
        <v>5</v>
      </c>
      <c r="P381" t="inlineStr">
        <is>
          <t>13:00</t>
        </is>
      </c>
      <c r="Q381" t="inlineStr">
        <is>
          <t>14:00</t>
        </is>
      </c>
    </row>
    <row r="382">
      <c r="A382" t="inlineStr">
        <is>
          <t>Laxa Jeff</t>
        </is>
      </c>
      <c r="B382" t="inlineStr">
        <is>
          <t>TCNz001PH:Internal operations</t>
        </is>
      </c>
      <c r="D382">
        <f>L382</f>
        <v/>
      </c>
      <c r="E382">
        <f>SUMIFS(J:J, G:G,             A382, H:H, B382, L:L, L382)</f>
        <v/>
      </c>
      <c r="F382" t="inlineStr">
        <is>
          <t>PH0019</t>
        </is>
      </c>
      <c r="G382" t="inlineStr">
        <is>
          <t>Laxa Jeff</t>
        </is>
      </c>
      <c r="H382" t="inlineStr">
        <is>
          <t>TCNz001PH:Internal operations</t>
        </is>
      </c>
      <c r="I382" s="1" t="n">
        <v>45943</v>
      </c>
      <c r="J382" t="n">
        <v>0.25</v>
      </c>
      <c r="L382">
        <f>IFERROR(LEFT(K382,             FIND(",", K382) - 1), "-")</f>
        <v/>
      </c>
      <c r="M382">
        <f>IFERROR(MID(K382,             FIND(",", K382) + 1, LEN(K382) - FIND(",", K382)), K382)</f>
        <v/>
      </c>
      <c r="N382" t="n">
        <v>5</v>
      </c>
      <c r="P382" t="inlineStr">
        <is>
          <t>15:00</t>
        </is>
      </c>
      <c r="Q382" t="inlineStr">
        <is>
          <t>15:15</t>
        </is>
      </c>
    </row>
    <row r="383">
      <c r="A383" t="inlineStr">
        <is>
          <t>Laxa Jeff</t>
        </is>
      </c>
      <c r="B383" t="inlineStr">
        <is>
          <t>TCNz001PH:Internal operations</t>
        </is>
      </c>
      <c r="D383">
        <f>L383</f>
        <v/>
      </c>
      <c r="E383">
        <f>SUMIFS(J:J, G:G,             A383, H:H, B383, L:L, L383)</f>
        <v/>
      </c>
      <c r="F383" t="inlineStr">
        <is>
          <t>PH0019</t>
        </is>
      </c>
      <c r="G383" t="inlineStr">
        <is>
          <t>Laxa Jeff</t>
        </is>
      </c>
      <c r="H383" t="inlineStr">
        <is>
          <t>TCNz001PH:Internal operations</t>
        </is>
      </c>
      <c r="I383" s="1" t="n">
        <v>45943</v>
      </c>
      <c r="J383" t="n">
        <v>0.5</v>
      </c>
      <c r="L383">
        <f>IFERROR(LEFT(K383,             FIND(",", K383) - 1), "-")</f>
        <v/>
      </c>
      <c r="M383">
        <f>IFERROR(MID(K383,             FIND(",", K383) + 1, LEN(K383) - FIND(",", K383)), K383)</f>
        <v/>
      </c>
      <c r="N383" t="n">
        <v>5</v>
      </c>
      <c r="P383" t="inlineStr">
        <is>
          <t>16:30</t>
        </is>
      </c>
      <c r="Q383" t="inlineStr">
        <is>
          <t>17:00</t>
        </is>
      </c>
    </row>
    <row r="384">
      <c r="A384" t="inlineStr">
        <is>
          <t>Laxa Jeff</t>
        </is>
      </c>
      <c r="B384" t="inlineStr">
        <is>
          <t>TCNz001PH:Internal operations</t>
        </is>
      </c>
      <c r="D384">
        <f>L384</f>
        <v/>
      </c>
      <c r="E384">
        <f>SUMIFS(J:J, G:G,             A384, H:H, B384, L:L, L384)</f>
        <v/>
      </c>
      <c r="F384" t="inlineStr">
        <is>
          <t>PH0019</t>
        </is>
      </c>
      <c r="G384" t="inlineStr">
        <is>
          <t>Laxa Jeff</t>
        </is>
      </c>
      <c r="H384" t="inlineStr">
        <is>
          <t>TCNz001PH:Internal operations</t>
        </is>
      </c>
      <c r="I384" s="1" t="n">
        <v>45944</v>
      </c>
      <c r="J384" t="n">
        <v>0.75</v>
      </c>
      <c r="L384">
        <f>IFERROR(LEFT(K384,             FIND(",", K384) - 1), "-")</f>
        <v/>
      </c>
      <c r="M384">
        <f>IFERROR(MID(K384,             FIND(",", K384) + 1, LEN(K384) - FIND(",", K384)), K384)</f>
        <v/>
      </c>
      <c r="N384" t="n">
        <v>5</v>
      </c>
      <c r="P384" t="inlineStr">
        <is>
          <t>08:15</t>
        </is>
      </c>
      <c r="Q384" t="inlineStr">
        <is>
          <t>09:00</t>
        </is>
      </c>
    </row>
    <row r="385">
      <c r="A385" t="inlineStr">
        <is>
          <t>Laxa Jeff</t>
        </is>
      </c>
      <c r="B385" t="inlineStr">
        <is>
          <t>TCNz001PH:Internal operations</t>
        </is>
      </c>
      <c r="D385">
        <f>L385</f>
        <v/>
      </c>
      <c r="E385">
        <f>SUMIFS(J:J, G:G,             A385, H:H, B385, L:L, L385)</f>
        <v/>
      </c>
      <c r="F385" t="inlineStr">
        <is>
          <t>PH0019</t>
        </is>
      </c>
      <c r="G385" t="inlineStr">
        <is>
          <t>Laxa Jeff</t>
        </is>
      </c>
      <c r="H385" t="inlineStr">
        <is>
          <t>TCNz001PH:Internal operations</t>
        </is>
      </c>
      <c r="I385" s="1" t="n">
        <v>45945</v>
      </c>
      <c r="J385" t="n">
        <v>0.5</v>
      </c>
      <c r="L385">
        <f>IFERROR(LEFT(K385,             FIND(",", K385) - 1), "-")</f>
        <v/>
      </c>
      <c r="M385">
        <f>IFERROR(MID(K385,             FIND(",", K385) + 1, LEN(K385) - FIND(",", K385)), K385)</f>
        <v/>
      </c>
      <c r="N385" t="n">
        <v>5</v>
      </c>
      <c r="P385" t="inlineStr">
        <is>
          <t>08:00</t>
        </is>
      </c>
      <c r="Q385" t="inlineStr">
        <is>
          <t>08:30</t>
        </is>
      </c>
    </row>
    <row r="386">
      <c r="A386" t="inlineStr">
        <is>
          <t>Laxa Jeff</t>
        </is>
      </c>
      <c r="B386" t="inlineStr">
        <is>
          <t>TCNz001PH:Internal operations</t>
        </is>
      </c>
      <c r="D386">
        <f>L386</f>
        <v/>
      </c>
      <c r="E386">
        <f>SUMIFS(J:J, G:G,             A386, H:H, B386, L:L, L386)</f>
        <v/>
      </c>
      <c r="F386" t="inlineStr">
        <is>
          <t>PH0019</t>
        </is>
      </c>
      <c r="G386" t="inlineStr">
        <is>
          <t>Laxa Jeff</t>
        </is>
      </c>
      <c r="H386" t="inlineStr">
        <is>
          <t>TCNz001PH:Internal operations</t>
        </is>
      </c>
      <c r="I386" s="1" t="n">
        <v>45945</v>
      </c>
      <c r="J386" t="n">
        <v>1.25</v>
      </c>
      <c r="L386">
        <f>IFERROR(LEFT(K386,             FIND(",", K386) - 1), "-")</f>
        <v/>
      </c>
      <c r="M386">
        <f>IFERROR(MID(K386,             FIND(",", K386) + 1, LEN(K386) - FIND(",", K386)), K386)</f>
        <v/>
      </c>
      <c r="N386" t="n">
        <v>5</v>
      </c>
      <c r="P386" t="inlineStr">
        <is>
          <t>14:00</t>
        </is>
      </c>
      <c r="Q386" t="inlineStr">
        <is>
          <t>15:15</t>
        </is>
      </c>
    </row>
    <row r="387">
      <c r="A387" t="inlineStr">
        <is>
          <t>Laxa Jeff</t>
        </is>
      </c>
      <c r="B387" t="inlineStr">
        <is>
          <t>TCNz001PH:Internal operations</t>
        </is>
      </c>
      <c r="D387">
        <f>L387</f>
        <v/>
      </c>
      <c r="E387">
        <f>SUMIFS(J:J, G:G,             A387, H:H, B387, L:L, L387)</f>
        <v/>
      </c>
      <c r="F387" t="inlineStr">
        <is>
          <t>PH0019</t>
        </is>
      </c>
      <c r="G387" t="inlineStr">
        <is>
          <t>Laxa Jeff</t>
        </is>
      </c>
      <c r="H387" t="inlineStr">
        <is>
          <t>TCNz001PH:Internal operations</t>
        </is>
      </c>
      <c r="I387" s="1" t="n">
        <v>45947</v>
      </c>
      <c r="J387" t="n">
        <v>0.75</v>
      </c>
      <c r="L387">
        <f>IFERROR(LEFT(K387,             FIND(",", K387) - 1), "-")</f>
        <v/>
      </c>
      <c r="M387">
        <f>IFERROR(MID(K387,             FIND(",", K387) + 1, LEN(K387) - FIND(",", K387)), K387)</f>
        <v/>
      </c>
      <c r="N387" t="n">
        <v>5</v>
      </c>
      <c r="P387" t="inlineStr">
        <is>
          <t>08:00</t>
        </is>
      </c>
      <c r="Q387" t="inlineStr">
        <is>
          <t>08:45</t>
        </is>
      </c>
    </row>
    <row r="388">
      <c r="A388" t="inlineStr">
        <is>
          <t>Laxa Jeff</t>
        </is>
      </c>
      <c r="B388" t="inlineStr">
        <is>
          <t>TCNz001PH:Internal operations</t>
        </is>
      </c>
      <c r="D388">
        <f>L388</f>
        <v/>
      </c>
      <c r="E388">
        <f>SUMIFS(J:J, G:G,             A388, H:H, B388, L:L, L388)</f>
        <v/>
      </c>
      <c r="F388" t="inlineStr">
        <is>
          <t>PH0019</t>
        </is>
      </c>
      <c r="G388" t="inlineStr">
        <is>
          <t>Laxa Jeff</t>
        </is>
      </c>
      <c r="H388" t="inlineStr">
        <is>
          <t>TCNz001PH:Internal operations</t>
        </is>
      </c>
      <c r="I388" s="1" t="n">
        <v>45947</v>
      </c>
      <c r="J388" t="n">
        <v>1</v>
      </c>
      <c r="L388">
        <f>IFERROR(LEFT(K388,             FIND(",", K388) - 1), "-")</f>
        <v/>
      </c>
      <c r="M388">
        <f>IFERROR(MID(K388,             FIND(",", K388) + 1, LEN(K388) - FIND(",", K388)), K388)</f>
        <v/>
      </c>
      <c r="N388" t="n">
        <v>5</v>
      </c>
      <c r="P388" t="inlineStr">
        <is>
          <t>13:30</t>
        </is>
      </c>
      <c r="Q388" t="inlineStr">
        <is>
          <t>14:30</t>
        </is>
      </c>
    </row>
    <row r="389">
      <c r="A389" t="inlineStr">
        <is>
          <t>Laxa Jeff</t>
        </is>
      </c>
      <c r="B389" t="inlineStr">
        <is>
          <t>TCNz001PH:Internal operations</t>
        </is>
      </c>
      <c r="D389">
        <f>L389</f>
        <v/>
      </c>
      <c r="E389">
        <f>SUMIFS(J:J, G:G,             A389, H:H, B389, L:L, L389)</f>
        <v/>
      </c>
      <c r="F389" t="inlineStr">
        <is>
          <t>PH0019</t>
        </is>
      </c>
      <c r="G389" t="inlineStr">
        <is>
          <t>Laxa Jeff</t>
        </is>
      </c>
      <c r="H389" t="inlineStr">
        <is>
          <t>TCNz001PH:Internal operations</t>
        </is>
      </c>
      <c r="I389" s="1" t="n">
        <v>45950</v>
      </c>
      <c r="J389" t="n">
        <v>0.5</v>
      </c>
      <c r="L389">
        <f>IFERROR(LEFT(K389,             FIND(",", K389) - 1), "-")</f>
        <v/>
      </c>
      <c r="M389">
        <f>IFERROR(MID(K389,             FIND(",", K389) + 1, LEN(K389) - FIND(",", K389)), K389)</f>
        <v/>
      </c>
      <c r="N389" t="n">
        <v>5</v>
      </c>
      <c r="P389" t="inlineStr">
        <is>
          <t>08:30</t>
        </is>
      </c>
      <c r="Q389" t="inlineStr">
        <is>
          <t>09:00</t>
        </is>
      </c>
    </row>
    <row r="390">
      <c r="A390" t="inlineStr">
        <is>
          <t>Laxa Jeff</t>
        </is>
      </c>
      <c r="B390" t="inlineStr">
        <is>
          <t>TCNz001PH:Internal operations</t>
        </is>
      </c>
      <c r="D390">
        <f>L390</f>
        <v/>
      </c>
      <c r="E390">
        <f>SUMIFS(J:J, G:G,             A390, H:H, B390, L:L, L390)</f>
        <v/>
      </c>
      <c r="F390" t="inlineStr">
        <is>
          <t>PH0019</t>
        </is>
      </c>
      <c r="G390" t="inlineStr">
        <is>
          <t>Laxa Jeff</t>
        </is>
      </c>
      <c r="H390" t="inlineStr">
        <is>
          <t>TCNz001PH:Internal operations</t>
        </is>
      </c>
      <c r="I390" s="1" t="n">
        <v>45950</v>
      </c>
      <c r="J390" t="n">
        <v>0.25</v>
      </c>
      <c r="L390">
        <f>IFERROR(LEFT(K390,             FIND(",", K390) - 1), "-")</f>
        <v/>
      </c>
      <c r="M390">
        <f>IFERROR(MID(K390,             FIND(",", K390) + 1, LEN(K390) - FIND(",", K390)), K390)</f>
        <v/>
      </c>
      <c r="N390" t="n">
        <v>5</v>
      </c>
      <c r="P390" t="inlineStr">
        <is>
          <t>09:15</t>
        </is>
      </c>
      <c r="Q390" t="inlineStr">
        <is>
          <t>09:30</t>
        </is>
      </c>
    </row>
    <row r="391">
      <c r="A391" t="inlineStr">
        <is>
          <t>Laxa Jeff</t>
        </is>
      </c>
      <c r="B391" t="inlineStr">
        <is>
          <t>TCNz001PH:Internal operations</t>
        </is>
      </c>
      <c r="D391">
        <f>L391</f>
        <v/>
      </c>
      <c r="E391">
        <f>SUMIFS(J:J, G:G,             A391, H:H, B391, L:L, L391)</f>
        <v/>
      </c>
      <c r="F391" t="inlineStr">
        <is>
          <t>PH0019</t>
        </is>
      </c>
      <c r="G391" t="inlineStr">
        <is>
          <t>Laxa Jeff</t>
        </is>
      </c>
      <c r="H391" t="inlineStr">
        <is>
          <t>TCNz001PH:Internal operations</t>
        </is>
      </c>
      <c r="I391" s="1" t="n">
        <v>45950</v>
      </c>
      <c r="J391" t="n">
        <v>1</v>
      </c>
      <c r="L391">
        <f>IFERROR(LEFT(K391,             FIND(",", K391) - 1), "-")</f>
        <v/>
      </c>
      <c r="M391">
        <f>IFERROR(MID(K391,             FIND(",", K391) + 1, LEN(K391) - FIND(",", K391)), K391)</f>
        <v/>
      </c>
      <c r="N391" t="n">
        <v>5</v>
      </c>
      <c r="P391" t="inlineStr">
        <is>
          <t>12:00</t>
        </is>
      </c>
      <c r="Q391" t="inlineStr">
        <is>
          <t>13:00</t>
        </is>
      </c>
    </row>
    <row r="392">
      <c r="A392" t="inlineStr">
        <is>
          <t>Laxa Jeff</t>
        </is>
      </c>
      <c r="B392" t="inlineStr">
        <is>
          <t>TCNz001PH:Internal operations</t>
        </is>
      </c>
      <c r="D392">
        <f>L392</f>
        <v/>
      </c>
      <c r="E392">
        <f>SUMIFS(J:J, G:G,             A392, H:H, B392, L:L, L392)</f>
        <v/>
      </c>
      <c r="F392" t="inlineStr">
        <is>
          <t>PH0019</t>
        </is>
      </c>
      <c r="G392" t="inlineStr">
        <is>
          <t>Laxa Jeff</t>
        </is>
      </c>
      <c r="H392" t="inlineStr">
        <is>
          <t>TCNz001PH:Internal operations</t>
        </is>
      </c>
      <c r="I392" s="1" t="n">
        <v>45950</v>
      </c>
      <c r="J392" t="n">
        <v>1</v>
      </c>
      <c r="L392">
        <f>IFERROR(LEFT(K392,             FIND(",", K392) - 1), "-")</f>
        <v/>
      </c>
      <c r="M392">
        <f>IFERROR(MID(K392,             FIND(",", K392) + 1, LEN(K392) - FIND(",", K392)), K392)</f>
        <v/>
      </c>
      <c r="N392" t="n">
        <v>5</v>
      </c>
      <c r="P392" t="inlineStr">
        <is>
          <t>14:15</t>
        </is>
      </c>
      <c r="Q392" t="inlineStr">
        <is>
          <t>15:15</t>
        </is>
      </c>
    </row>
    <row r="393">
      <c r="A393" t="inlineStr">
        <is>
          <t>Laxa Jeff</t>
        </is>
      </c>
      <c r="B393" t="inlineStr">
        <is>
          <t>TCNz001PH:Internal operations</t>
        </is>
      </c>
      <c r="D393">
        <f>L393</f>
        <v/>
      </c>
      <c r="E393">
        <f>SUMIFS(J:J, G:G,             A393, H:H, B393, L:L, L393)</f>
        <v/>
      </c>
      <c r="F393" t="inlineStr">
        <is>
          <t>PH0019</t>
        </is>
      </c>
      <c r="G393" t="inlineStr">
        <is>
          <t>Laxa Jeff</t>
        </is>
      </c>
      <c r="H393" t="inlineStr">
        <is>
          <t>TCNz001PH:Internal operations</t>
        </is>
      </c>
      <c r="I393" s="1" t="n">
        <v>45950</v>
      </c>
      <c r="J393" t="n">
        <v>0.75</v>
      </c>
      <c r="L393">
        <f>IFERROR(LEFT(K393,             FIND(",", K393) - 1), "-")</f>
        <v/>
      </c>
      <c r="M393">
        <f>IFERROR(MID(K393,             FIND(",", K393) + 1, LEN(K393) - FIND(",", K393)), K393)</f>
        <v/>
      </c>
      <c r="N393" t="n">
        <v>5</v>
      </c>
      <c r="P393" t="inlineStr">
        <is>
          <t>16:15</t>
        </is>
      </c>
      <c r="Q393" t="inlineStr">
        <is>
          <t>17:00</t>
        </is>
      </c>
    </row>
    <row r="394">
      <c r="A394" t="inlineStr">
        <is>
          <t>Laxa Jeff</t>
        </is>
      </c>
      <c r="B394" t="inlineStr">
        <is>
          <t>TCNz001PH:Internal operations</t>
        </is>
      </c>
      <c r="D394">
        <f>L394</f>
        <v/>
      </c>
      <c r="E394">
        <f>SUMIFS(J:J, G:G,             A394, H:H, B394, L:L, L394)</f>
        <v/>
      </c>
      <c r="F394" t="inlineStr">
        <is>
          <t>PH0019</t>
        </is>
      </c>
      <c r="G394" t="inlineStr">
        <is>
          <t>Laxa Jeff</t>
        </is>
      </c>
      <c r="H394" t="inlineStr">
        <is>
          <t>TCNz001PH:Internal operations</t>
        </is>
      </c>
      <c r="I394" s="1" t="n">
        <v>45951</v>
      </c>
      <c r="J394" t="n">
        <v>0.25</v>
      </c>
      <c r="L394">
        <f>IFERROR(LEFT(K394,             FIND(",", K394) - 1), "-")</f>
        <v/>
      </c>
      <c r="M394">
        <f>IFERROR(MID(K394,             FIND(",", K394) + 1, LEN(K394) - FIND(",", K394)), K394)</f>
        <v/>
      </c>
      <c r="N394" t="n">
        <v>5</v>
      </c>
      <c r="P394" t="inlineStr">
        <is>
          <t>09:15</t>
        </is>
      </c>
      <c r="Q394" t="inlineStr">
        <is>
          <t>09:30</t>
        </is>
      </c>
    </row>
    <row r="395">
      <c r="A395" t="inlineStr">
        <is>
          <t>Laxa Jeff</t>
        </is>
      </c>
      <c r="B395" t="inlineStr">
        <is>
          <t>TCNz001PH:Internal operations</t>
        </is>
      </c>
      <c r="D395">
        <f>L395</f>
        <v/>
      </c>
      <c r="E395">
        <f>SUMIFS(J:J, G:G,             A395, H:H, B395, L:L, L395)</f>
        <v/>
      </c>
      <c r="F395" t="inlineStr">
        <is>
          <t>PH0019</t>
        </is>
      </c>
      <c r="G395" t="inlineStr">
        <is>
          <t>Laxa Jeff</t>
        </is>
      </c>
      <c r="H395" t="inlineStr">
        <is>
          <t>TCNz001PH:Internal operations</t>
        </is>
      </c>
      <c r="I395" s="1" t="n">
        <v>45951</v>
      </c>
      <c r="J395" t="n">
        <v>0.5</v>
      </c>
      <c r="L395">
        <f>IFERROR(LEFT(K395,             FIND(",", K395) - 1), "-")</f>
        <v/>
      </c>
      <c r="M395">
        <f>IFERROR(MID(K395,             FIND(",", K395) + 1, LEN(K395) - FIND(",", K395)), K395)</f>
        <v/>
      </c>
      <c r="N395" t="n">
        <v>5</v>
      </c>
      <c r="P395" t="inlineStr">
        <is>
          <t>09:45</t>
        </is>
      </c>
      <c r="Q395" t="inlineStr">
        <is>
          <t>10:15</t>
        </is>
      </c>
    </row>
    <row r="396">
      <c r="A396" t="inlineStr">
        <is>
          <t>Laxa Jeff</t>
        </is>
      </c>
      <c r="B396" t="inlineStr">
        <is>
          <t>TCNz001PH:Internal operations</t>
        </is>
      </c>
      <c r="D396">
        <f>L396</f>
        <v/>
      </c>
      <c r="E396">
        <f>SUMIFS(J:J, G:G,             A396, H:H, B396, L:L, L396)</f>
        <v/>
      </c>
      <c r="F396" t="inlineStr">
        <is>
          <t>PH0019</t>
        </is>
      </c>
      <c r="G396" t="inlineStr">
        <is>
          <t>Laxa Jeff</t>
        </is>
      </c>
      <c r="H396" t="inlineStr">
        <is>
          <t>TCNz001PH:Internal operations</t>
        </is>
      </c>
      <c r="I396" s="1" t="n">
        <v>45951</v>
      </c>
      <c r="J396" t="n">
        <v>0.75</v>
      </c>
      <c r="L396">
        <f>IFERROR(LEFT(K396,             FIND(",", K396) - 1), "-")</f>
        <v/>
      </c>
      <c r="M396">
        <f>IFERROR(MID(K396,             FIND(",", K396) + 1, LEN(K396) - FIND(",", K396)), K396)</f>
        <v/>
      </c>
      <c r="N396" t="n">
        <v>5</v>
      </c>
      <c r="P396" t="inlineStr">
        <is>
          <t>12:00</t>
        </is>
      </c>
      <c r="Q396" t="inlineStr">
        <is>
          <t>12:45</t>
        </is>
      </c>
    </row>
    <row r="397">
      <c r="A397" t="inlineStr">
        <is>
          <t>Laxa Jeff</t>
        </is>
      </c>
      <c r="B397" t="inlineStr">
        <is>
          <t>TCNz001PH:Internal operations</t>
        </is>
      </c>
      <c r="D397">
        <f>L397</f>
        <v/>
      </c>
      <c r="E397">
        <f>SUMIFS(J:J, G:G,             A397, H:H, B397, L:L, L397)</f>
        <v/>
      </c>
      <c r="F397" t="inlineStr">
        <is>
          <t>PH0019</t>
        </is>
      </c>
      <c r="G397" t="inlineStr">
        <is>
          <t>Laxa Jeff</t>
        </is>
      </c>
      <c r="H397" t="inlineStr">
        <is>
          <t>TCNz001PH:Internal operations</t>
        </is>
      </c>
      <c r="I397" s="1" t="n">
        <v>45951</v>
      </c>
      <c r="J397" t="n">
        <v>0.25</v>
      </c>
      <c r="L397">
        <f>IFERROR(LEFT(K397,             FIND(",", K397) - 1), "-")</f>
        <v/>
      </c>
      <c r="M397">
        <f>IFERROR(MID(K397,             FIND(",", K397) + 1, LEN(K397) - FIND(",", K397)), K397)</f>
        <v/>
      </c>
      <c r="N397" t="n">
        <v>5</v>
      </c>
      <c r="P397" t="inlineStr">
        <is>
          <t>14:30</t>
        </is>
      </c>
      <c r="Q397" t="inlineStr">
        <is>
          <t>14:45</t>
        </is>
      </c>
    </row>
    <row r="398">
      <c r="A398" t="inlineStr">
        <is>
          <t>Laxa Jeff</t>
        </is>
      </c>
      <c r="B398" t="inlineStr">
        <is>
          <t>TCNz001PH:Internal operations</t>
        </is>
      </c>
      <c r="D398">
        <f>L398</f>
        <v/>
      </c>
      <c r="E398">
        <f>SUMIFS(J:J, G:G,             A398, H:H, B398, L:L, L398)</f>
        <v/>
      </c>
      <c r="F398" t="inlineStr">
        <is>
          <t>PH0019</t>
        </is>
      </c>
      <c r="G398" t="inlineStr">
        <is>
          <t>Laxa Jeff</t>
        </is>
      </c>
      <c r="H398" t="inlineStr">
        <is>
          <t>TCNz001PH:Internal operations</t>
        </is>
      </c>
      <c r="I398" s="1" t="n">
        <v>45951</v>
      </c>
      <c r="J398" t="n">
        <v>0.25</v>
      </c>
      <c r="L398">
        <f>IFERROR(LEFT(K398,             FIND(",", K398) - 1), "-")</f>
        <v/>
      </c>
      <c r="M398">
        <f>IFERROR(MID(K398,             FIND(",", K398) + 1, LEN(K398) - FIND(",", K398)), K398)</f>
        <v/>
      </c>
      <c r="N398" t="n">
        <v>5</v>
      </c>
      <c r="P398" t="inlineStr">
        <is>
          <t>16:00</t>
        </is>
      </c>
      <c r="Q398" t="inlineStr">
        <is>
          <t>16:15</t>
        </is>
      </c>
    </row>
    <row r="399">
      <c r="A399" t="inlineStr">
        <is>
          <t>Laxa Jeff</t>
        </is>
      </c>
      <c r="B399" t="inlineStr">
        <is>
          <t>TCNz001PH:Internal operations</t>
        </is>
      </c>
      <c r="D399">
        <f>L399</f>
        <v/>
      </c>
      <c r="E399">
        <f>SUMIFS(J:J, G:G,             A399, H:H, B399, L:L, L399)</f>
        <v/>
      </c>
      <c r="F399" t="inlineStr">
        <is>
          <t>PH0019</t>
        </is>
      </c>
      <c r="G399" t="inlineStr">
        <is>
          <t>Laxa Jeff</t>
        </is>
      </c>
      <c r="H399" t="inlineStr">
        <is>
          <t>TCNz001PH:Internal operations</t>
        </is>
      </c>
      <c r="I399" s="1" t="n">
        <v>45951</v>
      </c>
      <c r="J399" t="n">
        <v>0.25</v>
      </c>
      <c r="L399">
        <f>IFERROR(LEFT(K399,             FIND(",", K399) - 1), "-")</f>
        <v/>
      </c>
      <c r="M399">
        <f>IFERROR(MID(K399,             FIND(",", K399) + 1, LEN(K399) - FIND(",", K399)), K399)</f>
        <v/>
      </c>
      <c r="N399" t="n">
        <v>5</v>
      </c>
      <c r="P399" t="inlineStr">
        <is>
          <t>16:45</t>
        </is>
      </c>
      <c r="Q399" t="inlineStr">
        <is>
          <t>17:00</t>
        </is>
      </c>
    </row>
    <row r="400">
      <c r="A400" t="inlineStr">
        <is>
          <t>Laxa Jeff</t>
        </is>
      </c>
      <c r="B400" t="inlineStr">
        <is>
          <t>TCNz001PH:Internal operations</t>
        </is>
      </c>
      <c r="D400">
        <f>L400</f>
        <v/>
      </c>
      <c r="E400">
        <f>SUMIFS(J:J, G:G,             A400, H:H, B400, L:L, L400)</f>
        <v/>
      </c>
      <c r="F400" t="inlineStr">
        <is>
          <t>PH0019</t>
        </is>
      </c>
      <c r="G400" t="inlineStr">
        <is>
          <t>Laxa Jeff</t>
        </is>
      </c>
      <c r="H400" t="inlineStr">
        <is>
          <t>TCNz001PH:Internal operations</t>
        </is>
      </c>
      <c r="I400" s="1" t="n">
        <v>45952</v>
      </c>
      <c r="J400" t="n">
        <v>0.25</v>
      </c>
      <c r="L400">
        <f>IFERROR(LEFT(K400,             FIND(",", K400) - 1), "-")</f>
        <v/>
      </c>
      <c r="M400">
        <f>IFERROR(MID(K400,             FIND(",", K400) + 1, LEN(K400) - FIND(",", K400)), K400)</f>
        <v/>
      </c>
      <c r="N400" t="n">
        <v>5</v>
      </c>
      <c r="P400" t="inlineStr">
        <is>
          <t>09:00</t>
        </is>
      </c>
      <c r="Q400" t="inlineStr">
        <is>
          <t>09:15</t>
        </is>
      </c>
    </row>
    <row r="401">
      <c r="A401" t="inlineStr">
        <is>
          <t>Laxa Jeff</t>
        </is>
      </c>
      <c r="B401" t="inlineStr">
        <is>
          <t>TCNz001PH:Internal operations</t>
        </is>
      </c>
      <c r="D401">
        <f>L401</f>
        <v/>
      </c>
      <c r="E401">
        <f>SUMIFS(J:J, G:G,             A401, H:H, B401, L:L, L401)</f>
        <v/>
      </c>
      <c r="F401" t="inlineStr">
        <is>
          <t>PH0019</t>
        </is>
      </c>
      <c r="G401" t="inlineStr">
        <is>
          <t>Laxa Jeff</t>
        </is>
      </c>
      <c r="H401" t="inlineStr">
        <is>
          <t>TCNz001PH:Internal operations</t>
        </is>
      </c>
      <c r="I401" s="1" t="n">
        <v>45952</v>
      </c>
      <c r="J401" t="n">
        <v>0.5</v>
      </c>
      <c r="L401">
        <f>IFERROR(LEFT(K401,             FIND(",", K401) - 1), "-")</f>
        <v/>
      </c>
      <c r="M401">
        <f>IFERROR(MID(K401,             FIND(",", K401) + 1, LEN(K401) - FIND(",", K401)), K401)</f>
        <v/>
      </c>
      <c r="N401" t="n">
        <v>5</v>
      </c>
      <c r="P401" t="inlineStr">
        <is>
          <t>12:15</t>
        </is>
      </c>
      <c r="Q401" t="inlineStr">
        <is>
          <t>12:45</t>
        </is>
      </c>
    </row>
    <row r="402">
      <c r="A402" t="inlineStr">
        <is>
          <t>Laxa Jeff</t>
        </is>
      </c>
      <c r="B402" t="inlineStr">
        <is>
          <t>TCNz001PH:Internal operations</t>
        </is>
      </c>
      <c r="D402">
        <f>L402</f>
        <v/>
      </c>
      <c r="E402">
        <f>SUMIFS(J:J, G:G,             A402, H:H, B402, L:L, L402)</f>
        <v/>
      </c>
      <c r="F402" t="inlineStr">
        <is>
          <t>PH0019</t>
        </is>
      </c>
      <c r="G402" t="inlineStr">
        <is>
          <t>Laxa Jeff</t>
        </is>
      </c>
      <c r="H402" t="inlineStr">
        <is>
          <t>TCNz001PH:Internal operations</t>
        </is>
      </c>
      <c r="I402" s="1" t="n">
        <v>45952</v>
      </c>
      <c r="J402" t="n">
        <v>0.25</v>
      </c>
      <c r="L402">
        <f>IFERROR(LEFT(K402,             FIND(",", K402) - 1), "-")</f>
        <v/>
      </c>
      <c r="M402">
        <f>IFERROR(MID(K402,             FIND(",", K402) + 1, LEN(K402) - FIND(",", K402)), K402)</f>
        <v/>
      </c>
      <c r="N402" t="n">
        <v>5</v>
      </c>
      <c r="P402" t="inlineStr">
        <is>
          <t>16:45</t>
        </is>
      </c>
      <c r="Q402" t="inlineStr">
        <is>
          <t>17:00</t>
        </is>
      </c>
    </row>
    <row r="403">
      <c r="A403" t="inlineStr">
        <is>
          <t>Laxa Jeff</t>
        </is>
      </c>
      <c r="B403" t="inlineStr">
        <is>
          <t>TCNz001PH:Internal operations</t>
        </is>
      </c>
      <c r="D403">
        <f>L403</f>
        <v/>
      </c>
      <c r="E403">
        <f>SUMIFS(J:J, G:G,             A403, H:H, B403, L:L, L403)</f>
        <v/>
      </c>
      <c r="F403" t="inlineStr">
        <is>
          <t>PH0019</t>
        </is>
      </c>
      <c r="G403" t="inlineStr">
        <is>
          <t>Laxa Jeff</t>
        </is>
      </c>
      <c r="H403" t="inlineStr">
        <is>
          <t>TCNz001PH:Internal operations</t>
        </is>
      </c>
      <c r="I403" s="1" t="n">
        <v>45953</v>
      </c>
      <c r="J403" t="n">
        <v>0.75</v>
      </c>
      <c r="L403">
        <f>IFERROR(LEFT(K403,             FIND(",", K403) - 1), "-")</f>
        <v/>
      </c>
      <c r="M403">
        <f>IFERROR(MID(K403,             FIND(",", K403) + 1, LEN(K403) - FIND(",", K403)), K403)</f>
        <v/>
      </c>
      <c r="N403" t="n">
        <v>5</v>
      </c>
      <c r="P403" t="inlineStr">
        <is>
          <t>08:00</t>
        </is>
      </c>
      <c r="Q403" t="inlineStr">
        <is>
          <t>08:45</t>
        </is>
      </c>
    </row>
    <row r="404">
      <c r="A404" t="inlineStr">
        <is>
          <t>Laxa Jeff</t>
        </is>
      </c>
      <c r="B404" t="inlineStr">
        <is>
          <t>TCNz001PH:Internal operations</t>
        </is>
      </c>
      <c r="D404">
        <f>L404</f>
        <v/>
      </c>
      <c r="E404">
        <f>SUMIFS(J:J, G:G,             A404, H:H, B404, L:L, L404)</f>
        <v/>
      </c>
      <c r="F404" t="inlineStr">
        <is>
          <t>PH0019</t>
        </is>
      </c>
      <c r="G404" t="inlineStr">
        <is>
          <t>Laxa Jeff</t>
        </is>
      </c>
      <c r="H404" t="inlineStr">
        <is>
          <t>TCNz001PH:Internal operations</t>
        </is>
      </c>
      <c r="I404" s="1" t="n">
        <v>45953</v>
      </c>
      <c r="J404" t="n">
        <v>0.75</v>
      </c>
      <c r="L404">
        <f>IFERROR(LEFT(K404,             FIND(",", K404) - 1), "-")</f>
        <v/>
      </c>
      <c r="M404">
        <f>IFERROR(MID(K404,             FIND(",", K404) + 1, LEN(K404) - FIND(",", K404)), K404)</f>
        <v/>
      </c>
      <c r="N404" t="n">
        <v>5</v>
      </c>
      <c r="P404" t="inlineStr">
        <is>
          <t>09:45</t>
        </is>
      </c>
      <c r="Q404" t="inlineStr">
        <is>
          <t>10:30</t>
        </is>
      </c>
    </row>
    <row r="405">
      <c r="A405" t="inlineStr">
        <is>
          <t>Laxa Jeff</t>
        </is>
      </c>
      <c r="B405" t="inlineStr">
        <is>
          <t>TCNz001PH:Internal operations</t>
        </is>
      </c>
      <c r="D405">
        <f>L405</f>
        <v/>
      </c>
      <c r="E405">
        <f>SUMIFS(J:J, G:G,             A405, H:H, B405, L:L, L405)</f>
        <v/>
      </c>
      <c r="F405" t="inlineStr">
        <is>
          <t>PH0019</t>
        </is>
      </c>
      <c r="G405" t="inlineStr">
        <is>
          <t>Laxa Jeff</t>
        </is>
      </c>
      <c r="H405" t="inlineStr">
        <is>
          <t>TCNz001PH:Internal operations</t>
        </is>
      </c>
      <c r="I405" s="1" t="n">
        <v>45953</v>
      </c>
      <c r="J405" t="n">
        <v>0.75</v>
      </c>
      <c r="L405">
        <f>IFERROR(LEFT(K405,             FIND(",", K405) - 1), "-")</f>
        <v/>
      </c>
      <c r="M405">
        <f>IFERROR(MID(K405,             FIND(",", K405) + 1, LEN(K405) - FIND(",", K405)), K405)</f>
        <v/>
      </c>
      <c r="N405" t="n">
        <v>5</v>
      </c>
      <c r="P405" t="inlineStr">
        <is>
          <t>12:15</t>
        </is>
      </c>
      <c r="Q405" t="inlineStr">
        <is>
          <t>13:00</t>
        </is>
      </c>
    </row>
    <row r="406">
      <c r="A406" t="inlineStr">
        <is>
          <t>Laxa Jeff</t>
        </is>
      </c>
      <c r="B406" t="inlineStr">
        <is>
          <t>TCNz001PH:Internal operations</t>
        </is>
      </c>
      <c r="D406">
        <f>L406</f>
        <v/>
      </c>
      <c r="E406">
        <f>SUMIFS(J:J, G:G,             A406, H:H, B406, L:L, L406)</f>
        <v/>
      </c>
      <c r="F406" t="inlineStr">
        <is>
          <t>PH0019</t>
        </is>
      </c>
      <c r="G406" t="inlineStr">
        <is>
          <t>Laxa Jeff</t>
        </is>
      </c>
      <c r="H406" t="inlineStr">
        <is>
          <t>TCNz001PH:Internal operations</t>
        </is>
      </c>
      <c r="I406" s="1" t="n">
        <v>45953</v>
      </c>
      <c r="J406" t="n">
        <v>1.25</v>
      </c>
      <c r="L406">
        <f>IFERROR(LEFT(K406,             FIND(",", K406) - 1), "-")</f>
        <v/>
      </c>
      <c r="M406">
        <f>IFERROR(MID(K406,             FIND(",", K406) + 1, LEN(K406) - FIND(",", K406)), K406)</f>
        <v/>
      </c>
      <c r="N406" t="n">
        <v>5</v>
      </c>
      <c r="P406" t="inlineStr">
        <is>
          <t>14:00</t>
        </is>
      </c>
      <c r="Q406" t="inlineStr">
        <is>
          <t>15:15</t>
        </is>
      </c>
    </row>
    <row r="407">
      <c r="A407" t="inlineStr">
        <is>
          <t>Laxa Jeff</t>
        </is>
      </c>
      <c r="B407" t="inlineStr">
        <is>
          <t>TCNz001PH:Internal operations</t>
        </is>
      </c>
      <c r="D407">
        <f>L407</f>
        <v/>
      </c>
      <c r="E407">
        <f>SUMIFS(J:J, G:G,             A407, H:H, B407, L:L, L407)</f>
        <v/>
      </c>
      <c r="F407" t="inlineStr">
        <is>
          <t>PH0019</t>
        </is>
      </c>
      <c r="G407" t="inlineStr">
        <is>
          <t>Laxa Jeff</t>
        </is>
      </c>
      <c r="H407" t="inlineStr">
        <is>
          <t>TCNz001PH:Internal operations</t>
        </is>
      </c>
      <c r="I407" s="1" t="n">
        <v>45953</v>
      </c>
      <c r="J407" t="n">
        <v>0.75</v>
      </c>
      <c r="L407">
        <f>IFERROR(LEFT(K407,             FIND(",", K407) - 1), "-")</f>
        <v/>
      </c>
      <c r="M407">
        <f>IFERROR(MID(K407,             FIND(",", K407) + 1, LEN(K407) - FIND(",", K407)), K407)</f>
        <v/>
      </c>
      <c r="N407" t="n">
        <v>5</v>
      </c>
      <c r="P407" t="inlineStr">
        <is>
          <t>16:15</t>
        </is>
      </c>
      <c r="Q407" t="inlineStr">
        <is>
          <t>17:00</t>
        </is>
      </c>
    </row>
    <row r="408">
      <c r="A408" t="inlineStr">
        <is>
          <t>Laxa Jeff</t>
        </is>
      </c>
      <c r="B408" t="inlineStr">
        <is>
          <t>TCNz002PH:Waiting for requests</t>
        </is>
      </c>
      <c r="C408">
        <f>SUMIFS(J:J, G:G,             A408, H:H, B408)</f>
        <v/>
      </c>
      <c r="D408">
        <f>L408</f>
        <v/>
      </c>
      <c r="E408">
        <f>SUMIFS(J:J, G:G,             A408, H:H, B408, L:L, L408)</f>
        <v/>
      </c>
      <c r="F408" t="inlineStr">
        <is>
          <t>PH0019</t>
        </is>
      </c>
      <c r="G408" t="inlineStr">
        <is>
          <t>Laxa Jeff</t>
        </is>
      </c>
      <c r="H408" t="inlineStr">
        <is>
          <t>TCNz002PH:Waiting for requests</t>
        </is>
      </c>
      <c r="I408" s="1" t="n">
        <v>45931</v>
      </c>
      <c r="J408" t="n">
        <v>0.75</v>
      </c>
      <c r="K408" t="inlineStr">
        <is>
          <t>Reviewing spec</t>
        </is>
      </c>
      <c r="L408">
        <f>IFERROR(LEFT(K408,             FIND(",", K408) - 1), "-")</f>
        <v/>
      </c>
      <c r="M408">
        <f>IFERROR(MID(K408,             FIND(",", K408) + 1, LEN(K408) - FIND(",", K408)), K408)</f>
        <v/>
      </c>
      <c r="N408" t="n">
        <v>5</v>
      </c>
      <c r="P408" t="inlineStr">
        <is>
          <t>12:00</t>
        </is>
      </c>
      <c r="Q408" t="inlineStr">
        <is>
          <t>12:45</t>
        </is>
      </c>
    </row>
    <row r="409">
      <c r="A409" t="inlineStr">
        <is>
          <t>Laxa Jeff</t>
        </is>
      </c>
      <c r="B409" t="inlineStr">
        <is>
          <t>TCNz002PH:Waiting for requests</t>
        </is>
      </c>
      <c r="D409">
        <f>L409</f>
        <v/>
      </c>
      <c r="E409">
        <f>SUMIFS(J:J, G:G,             A409, H:H, B409, L:L, L409)</f>
        <v/>
      </c>
      <c r="F409" t="inlineStr">
        <is>
          <t>PH0019</t>
        </is>
      </c>
      <c r="G409" t="inlineStr">
        <is>
          <t>Laxa Jeff</t>
        </is>
      </c>
      <c r="H409" t="inlineStr">
        <is>
          <t>TCNz002PH:Waiting for requests</t>
        </is>
      </c>
      <c r="I409" s="1" t="n">
        <v>45931</v>
      </c>
      <c r="J409" t="n">
        <v>0.75</v>
      </c>
      <c r="K409" t="inlineStr">
        <is>
          <t>Reviewing spec</t>
        </is>
      </c>
      <c r="L409">
        <f>IFERROR(LEFT(K409,             FIND(",", K409) - 1), "-")</f>
        <v/>
      </c>
      <c r="M409">
        <f>IFERROR(MID(K409,             FIND(",", K409) + 1, LEN(K409) - FIND(",", K409)), K409)</f>
        <v/>
      </c>
      <c r="N409" t="n">
        <v>5</v>
      </c>
      <c r="P409" t="inlineStr">
        <is>
          <t>13:30</t>
        </is>
      </c>
      <c r="Q409" t="inlineStr">
        <is>
          <t>14:15</t>
        </is>
      </c>
    </row>
    <row r="410">
      <c r="A410" t="inlineStr">
        <is>
          <t>Laxa Jeff</t>
        </is>
      </c>
      <c r="B410" t="inlineStr">
        <is>
          <t>TCNz002PH:Waiting for requests</t>
        </is>
      </c>
      <c r="D410">
        <f>L410</f>
        <v/>
      </c>
      <c r="E410">
        <f>SUMIFS(J:J, G:G,             A410, H:H, B410, L:L, L410)</f>
        <v/>
      </c>
      <c r="F410" t="inlineStr">
        <is>
          <t>PH0019</t>
        </is>
      </c>
      <c r="G410" t="inlineStr">
        <is>
          <t>Laxa Jeff</t>
        </is>
      </c>
      <c r="H410" t="inlineStr">
        <is>
          <t>TCNz002PH:Waiting for requests</t>
        </is>
      </c>
      <c r="I410" s="1" t="n">
        <v>45931</v>
      </c>
      <c r="J410" t="n">
        <v>0.75</v>
      </c>
      <c r="K410" t="inlineStr">
        <is>
          <t>Reviewing spec</t>
        </is>
      </c>
      <c r="L410">
        <f>IFERROR(LEFT(K410,             FIND(",", K410) - 1), "-")</f>
        <v/>
      </c>
      <c r="M410">
        <f>IFERROR(MID(K410,             FIND(",", K410) + 1, LEN(K410) - FIND(",", K410)), K410)</f>
        <v/>
      </c>
      <c r="N410" t="n">
        <v>5</v>
      </c>
      <c r="P410" t="inlineStr">
        <is>
          <t>15:30</t>
        </is>
      </c>
      <c r="Q410" t="inlineStr">
        <is>
          <t>16:15</t>
        </is>
      </c>
    </row>
    <row r="411">
      <c r="A411" t="inlineStr">
        <is>
          <t>Laxa Jeff</t>
        </is>
      </c>
      <c r="B411" t="inlineStr">
        <is>
          <t>TCNz002PH:Waiting for requests</t>
        </is>
      </c>
      <c r="D411">
        <f>L411</f>
        <v/>
      </c>
      <c r="E411">
        <f>SUMIFS(J:J, G:G,             A411, H:H, B411, L:L, L411)</f>
        <v/>
      </c>
      <c r="F411" t="inlineStr">
        <is>
          <t>PH0019</t>
        </is>
      </c>
      <c r="G411" t="inlineStr">
        <is>
          <t>Laxa Jeff</t>
        </is>
      </c>
      <c r="H411" t="inlineStr">
        <is>
          <t>TCNz002PH:Waiting for requests</t>
        </is>
      </c>
      <c r="I411" s="1" t="n">
        <v>45933</v>
      </c>
      <c r="J411" t="n">
        <v>0.75</v>
      </c>
      <c r="K411" t="inlineStr">
        <is>
          <t>Reviewing spec</t>
        </is>
      </c>
      <c r="L411">
        <f>IFERROR(LEFT(K411,             FIND(",", K411) - 1), "-")</f>
        <v/>
      </c>
      <c r="M411">
        <f>IFERROR(MID(K411,             FIND(",", K411) + 1, LEN(K411) - FIND(",", K411)), K411)</f>
        <v/>
      </c>
      <c r="N411" t="n">
        <v>5</v>
      </c>
      <c r="P411" t="inlineStr">
        <is>
          <t>13:00</t>
        </is>
      </c>
      <c r="Q411" t="inlineStr">
        <is>
          <t>13:45</t>
        </is>
      </c>
    </row>
    <row r="412">
      <c r="A412" t="inlineStr">
        <is>
          <t>Laxa Jeff</t>
        </is>
      </c>
      <c r="B412" t="inlineStr">
        <is>
          <t>TCNz002PH:Waiting for requests</t>
        </is>
      </c>
      <c r="D412">
        <f>L412</f>
        <v/>
      </c>
      <c r="E412">
        <f>SUMIFS(J:J, G:G,             A412, H:H, B412, L:L, L412)</f>
        <v/>
      </c>
      <c r="F412" t="inlineStr">
        <is>
          <t>PH0019</t>
        </is>
      </c>
      <c r="G412" t="inlineStr">
        <is>
          <t>Laxa Jeff</t>
        </is>
      </c>
      <c r="H412" t="inlineStr">
        <is>
          <t>TCNz002PH:Waiting for requests</t>
        </is>
      </c>
      <c r="I412" s="1" t="n">
        <v>45933</v>
      </c>
      <c r="J412" t="n">
        <v>0.75</v>
      </c>
      <c r="K412" t="inlineStr">
        <is>
          <t>Reviewing spec</t>
        </is>
      </c>
      <c r="L412">
        <f>IFERROR(LEFT(K412,             FIND(",", K412) - 1), "-")</f>
        <v/>
      </c>
      <c r="M412">
        <f>IFERROR(MID(K412,             FIND(",", K412) + 1, LEN(K412) - FIND(",", K412)), K412)</f>
        <v/>
      </c>
      <c r="N412" t="n">
        <v>5</v>
      </c>
      <c r="P412" t="inlineStr">
        <is>
          <t>14:30</t>
        </is>
      </c>
      <c r="Q412" t="inlineStr">
        <is>
          <t>15:15</t>
        </is>
      </c>
    </row>
    <row r="413">
      <c r="A413" t="inlineStr">
        <is>
          <t>Laxa Jeff</t>
        </is>
      </c>
      <c r="B413" t="inlineStr">
        <is>
          <t>TCNz002PH:Waiting for requests</t>
        </is>
      </c>
      <c r="D413">
        <f>L413</f>
        <v/>
      </c>
      <c r="E413">
        <f>SUMIFS(J:J, G:G,             A413, H:H, B413, L:L, L413)</f>
        <v/>
      </c>
      <c r="F413" t="inlineStr">
        <is>
          <t>PH0019</t>
        </is>
      </c>
      <c r="G413" t="inlineStr">
        <is>
          <t>Laxa Jeff</t>
        </is>
      </c>
      <c r="H413" t="inlineStr">
        <is>
          <t>TCNz002PH:Waiting for requests</t>
        </is>
      </c>
      <c r="I413" s="1" t="n">
        <v>45933</v>
      </c>
      <c r="J413" t="n">
        <v>0.75</v>
      </c>
      <c r="K413" t="inlineStr">
        <is>
          <t>Reviewing spec</t>
        </is>
      </c>
      <c r="L413">
        <f>IFERROR(LEFT(K413,             FIND(",", K413) - 1), "-")</f>
        <v/>
      </c>
      <c r="M413">
        <f>IFERROR(MID(K413,             FIND(",", K413) + 1, LEN(K413) - FIND(",", K413)), K413)</f>
        <v/>
      </c>
      <c r="N413" t="n">
        <v>5</v>
      </c>
      <c r="P413" t="inlineStr">
        <is>
          <t>16:15</t>
        </is>
      </c>
      <c r="Q413" t="inlineStr">
        <is>
          <t>17:00</t>
        </is>
      </c>
    </row>
    <row r="414">
      <c r="A414" t="inlineStr">
        <is>
          <t>Laxa Jeff</t>
        </is>
      </c>
      <c r="B414" t="inlineStr">
        <is>
          <t>TCNz002PH:Waiting for requests</t>
        </is>
      </c>
      <c r="D414">
        <f>L414</f>
        <v/>
      </c>
      <c r="E414">
        <f>SUMIFS(J:J, G:G,             A414, H:H, B414, L:L, L414)</f>
        <v/>
      </c>
      <c r="F414" t="inlineStr">
        <is>
          <t>PH0019</t>
        </is>
      </c>
      <c r="G414" t="inlineStr">
        <is>
          <t>Laxa Jeff</t>
        </is>
      </c>
      <c r="H414" t="inlineStr">
        <is>
          <t>TCNz002PH:Waiting for requests</t>
        </is>
      </c>
      <c r="I414" s="1" t="n">
        <v>45936</v>
      </c>
      <c r="J414" t="n">
        <v>0.5</v>
      </c>
      <c r="K414" t="inlineStr">
        <is>
          <t>Reviewing spec</t>
        </is>
      </c>
      <c r="L414">
        <f>IFERROR(LEFT(K414,             FIND(",", K414) - 1), "-")</f>
        <v/>
      </c>
      <c r="M414">
        <f>IFERROR(MID(K414,             FIND(",", K414) + 1, LEN(K414) - FIND(",", K414)), K414)</f>
        <v/>
      </c>
      <c r="N414" t="n">
        <v>5</v>
      </c>
      <c r="P414" t="inlineStr">
        <is>
          <t>09:45</t>
        </is>
      </c>
      <c r="Q414" t="inlineStr">
        <is>
          <t>10:15</t>
        </is>
      </c>
    </row>
    <row r="415">
      <c r="A415" t="inlineStr">
        <is>
          <t>Laxa Jeff</t>
        </is>
      </c>
      <c r="B415" t="inlineStr">
        <is>
          <t>TCNz002PH:Waiting for requests</t>
        </is>
      </c>
      <c r="D415">
        <f>L415</f>
        <v/>
      </c>
      <c r="E415">
        <f>SUMIFS(J:J, G:G,             A415, H:H, B415, L:L, L415)</f>
        <v/>
      </c>
      <c r="F415" t="inlineStr">
        <is>
          <t>PH0019</t>
        </is>
      </c>
      <c r="G415" t="inlineStr">
        <is>
          <t>Laxa Jeff</t>
        </is>
      </c>
      <c r="H415" t="inlineStr">
        <is>
          <t>TCNz002PH:Waiting for requests</t>
        </is>
      </c>
      <c r="I415" s="1" t="n">
        <v>45936</v>
      </c>
      <c r="J415" t="n">
        <v>0.75</v>
      </c>
      <c r="K415" t="inlineStr">
        <is>
          <t>Reviewing spec</t>
        </is>
      </c>
      <c r="L415">
        <f>IFERROR(LEFT(K415,             FIND(",", K415) - 1), "-")</f>
        <v/>
      </c>
      <c r="M415">
        <f>IFERROR(MID(K415,             FIND(",", K415) + 1, LEN(K415) - FIND(",", K415)), K415)</f>
        <v/>
      </c>
      <c r="N415" t="n">
        <v>5</v>
      </c>
      <c r="P415" t="inlineStr">
        <is>
          <t>12:00</t>
        </is>
      </c>
      <c r="Q415" t="inlineStr">
        <is>
          <t>12:45</t>
        </is>
      </c>
    </row>
    <row r="416">
      <c r="A416" t="inlineStr">
        <is>
          <t>Laxa Jeff</t>
        </is>
      </c>
      <c r="B416" t="inlineStr">
        <is>
          <t>TCNz002PH:Waiting for requests</t>
        </is>
      </c>
      <c r="D416">
        <f>L416</f>
        <v/>
      </c>
      <c r="E416">
        <f>SUMIFS(J:J, G:G,             A416, H:H, B416, L:L, L416)</f>
        <v/>
      </c>
      <c r="F416" t="inlineStr">
        <is>
          <t>PH0019</t>
        </is>
      </c>
      <c r="G416" t="inlineStr">
        <is>
          <t>Laxa Jeff</t>
        </is>
      </c>
      <c r="H416" t="inlineStr">
        <is>
          <t>TCNz002PH:Waiting for requests</t>
        </is>
      </c>
      <c r="I416" s="1" t="n">
        <v>45936</v>
      </c>
      <c r="J416" t="n">
        <v>1</v>
      </c>
      <c r="K416" t="inlineStr">
        <is>
          <t>Reviewing spec</t>
        </is>
      </c>
      <c r="L416">
        <f>IFERROR(LEFT(K416,             FIND(",", K416) - 1), "-")</f>
        <v/>
      </c>
      <c r="M416">
        <f>IFERROR(MID(K416,             FIND(",", K416) + 1, LEN(K416) - FIND(",", K416)), K416)</f>
        <v/>
      </c>
      <c r="N416" t="n">
        <v>5</v>
      </c>
      <c r="P416" t="inlineStr">
        <is>
          <t>13:30</t>
        </is>
      </c>
      <c r="Q416" t="inlineStr">
        <is>
          <t>14:30</t>
        </is>
      </c>
    </row>
    <row r="417">
      <c r="A417" t="inlineStr">
        <is>
          <t>Laxa Jeff</t>
        </is>
      </c>
      <c r="B417" t="inlineStr">
        <is>
          <t>TCNz002PH:Waiting for requests</t>
        </is>
      </c>
      <c r="D417">
        <f>L417</f>
        <v/>
      </c>
      <c r="E417">
        <f>SUMIFS(J:J, G:G,             A417, H:H, B417, L:L, L417)</f>
        <v/>
      </c>
      <c r="F417" t="inlineStr">
        <is>
          <t>PH0019</t>
        </is>
      </c>
      <c r="G417" t="inlineStr">
        <is>
          <t>Laxa Jeff</t>
        </is>
      </c>
      <c r="H417" t="inlineStr">
        <is>
          <t>TCNz002PH:Waiting for requests</t>
        </is>
      </c>
      <c r="I417" s="1" t="n">
        <v>45936</v>
      </c>
      <c r="J417" t="n">
        <v>0.75</v>
      </c>
      <c r="K417" t="inlineStr">
        <is>
          <t>Reviewing spec</t>
        </is>
      </c>
      <c r="L417">
        <f>IFERROR(LEFT(K417,             FIND(",", K417) - 1), "-")</f>
        <v/>
      </c>
      <c r="M417">
        <f>IFERROR(MID(K417,             FIND(",", K417) + 1, LEN(K417) - FIND(",", K417)), K417)</f>
        <v/>
      </c>
      <c r="N417" t="n">
        <v>5</v>
      </c>
      <c r="P417" t="inlineStr">
        <is>
          <t>15:30</t>
        </is>
      </c>
      <c r="Q417" t="inlineStr">
        <is>
          <t>16:15</t>
        </is>
      </c>
    </row>
    <row r="418">
      <c r="A418" t="inlineStr">
        <is>
          <t>Laxa Jeff</t>
        </is>
      </c>
      <c r="B418" t="inlineStr">
        <is>
          <t>TCNz002PH:Waiting for requests</t>
        </is>
      </c>
      <c r="D418">
        <f>L418</f>
        <v/>
      </c>
      <c r="E418">
        <f>SUMIFS(J:J, G:G,             A418, H:H, B418, L:L, L418)</f>
        <v/>
      </c>
      <c r="F418" t="inlineStr">
        <is>
          <t>PH0019</t>
        </is>
      </c>
      <c r="G418" t="inlineStr">
        <is>
          <t>Laxa Jeff</t>
        </is>
      </c>
      <c r="H418" t="inlineStr">
        <is>
          <t>TCNz002PH:Waiting for requests</t>
        </is>
      </c>
      <c r="I418" s="1" t="n">
        <v>45937</v>
      </c>
      <c r="J418" t="n">
        <v>0.75</v>
      </c>
      <c r="K418" t="inlineStr">
        <is>
          <t>Reviewing spec</t>
        </is>
      </c>
      <c r="L418">
        <f>IFERROR(LEFT(K418,             FIND(",", K418) - 1), "-")</f>
        <v/>
      </c>
      <c r="M418">
        <f>IFERROR(MID(K418,             FIND(",", K418) + 1, LEN(K418) - FIND(",", K418)), K418)</f>
        <v/>
      </c>
      <c r="N418" t="n">
        <v>5</v>
      </c>
      <c r="P418" t="inlineStr">
        <is>
          <t>10:00</t>
        </is>
      </c>
      <c r="Q418" t="inlineStr">
        <is>
          <t>10:45</t>
        </is>
      </c>
    </row>
    <row r="419">
      <c r="A419" t="inlineStr">
        <is>
          <t>Laxa Jeff</t>
        </is>
      </c>
      <c r="B419" t="inlineStr">
        <is>
          <t>TCNz002PH:Waiting for requests</t>
        </is>
      </c>
      <c r="D419">
        <f>L419</f>
        <v/>
      </c>
      <c r="E419">
        <f>SUMIFS(J:J, G:G,             A419, H:H, B419, L:L, L419)</f>
        <v/>
      </c>
      <c r="F419" t="inlineStr">
        <is>
          <t>PH0019</t>
        </is>
      </c>
      <c r="G419" t="inlineStr">
        <is>
          <t>Laxa Jeff</t>
        </is>
      </c>
      <c r="H419" t="inlineStr">
        <is>
          <t>TCNz002PH:Waiting for requests</t>
        </is>
      </c>
      <c r="I419" s="1" t="n">
        <v>45937</v>
      </c>
      <c r="J419" t="n">
        <v>1</v>
      </c>
      <c r="K419" t="inlineStr">
        <is>
          <t>Reviewing spec</t>
        </is>
      </c>
      <c r="L419">
        <f>IFERROR(LEFT(K419,             FIND(",", K419) - 1), "-")</f>
        <v/>
      </c>
      <c r="M419">
        <f>IFERROR(MID(K419,             FIND(",", K419) + 1, LEN(K419) - FIND(",", K419)), K419)</f>
        <v/>
      </c>
      <c r="N419" t="n">
        <v>5</v>
      </c>
      <c r="P419" t="inlineStr">
        <is>
          <t>12:45</t>
        </is>
      </c>
      <c r="Q419" t="inlineStr">
        <is>
          <t>13:45</t>
        </is>
      </c>
    </row>
    <row r="420">
      <c r="A420" t="inlineStr">
        <is>
          <t>Laxa Jeff</t>
        </is>
      </c>
      <c r="B420" t="inlineStr">
        <is>
          <t>TCNz002PH:Waiting for requests</t>
        </is>
      </c>
      <c r="D420">
        <f>L420</f>
        <v/>
      </c>
      <c r="E420">
        <f>SUMIFS(J:J, G:G,             A420, H:H, B420, L:L, L420)</f>
        <v/>
      </c>
      <c r="F420" t="inlineStr">
        <is>
          <t>PH0019</t>
        </is>
      </c>
      <c r="G420" t="inlineStr">
        <is>
          <t>Laxa Jeff</t>
        </is>
      </c>
      <c r="H420" t="inlineStr">
        <is>
          <t>TCNz002PH:Waiting for requests</t>
        </is>
      </c>
      <c r="I420" s="1" t="n">
        <v>45937</v>
      </c>
      <c r="J420" t="n">
        <v>0.75</v>
      </c>
      <c r="K420" t="inlineStr">
        <is>
          <t>Reviewing spec</t>
        </is>
      </c>
      <c r="L420">
        <f>IFERROR(LEFT(K420,             FIND(",", K420) - 1), "-")</f>
        <v/>
      </c>
      <c r="M420">
        <f>IFERROR(MID(K420,             FIND(",", K420) + 1, LEN(K420) - FIND(",", K420)), K420)</f>
        <v/>
      </c>
      <c r="N420" t="n">
        <v>5</v>
      </c>
      <c r="P420" t="inlineStr">
        <is>
          <t>14:30</t>
        </is>
      </c>
      <c r="Q420" t="inlineStr">
        <is>
          <t>15:15</t>
        </is>
      </c>
    </row>
    <row r="421">
      <c r="A421" t="inlineStr">
        <is>
          <t>Laxa Jeff</t>
        </is>
      </c>
      <c r="B421" t="inlineStr">
        <is>
          <t>TCNz002PH:Waiting for requests</t>
        </is>
      </c>
      <c r="D421">
        <f>L421</f>
        <v/>
      </c>
      <c r="E421">
        <f>SUMIFS(J:J, G:G,             A421, H:H, B421, L:L, L421)</f>
        <v/>
      </c>
      <c r="F421" t="inlineStr">
        <is>
          <t>PH0019</t>
        </is>
      </c>
      <c r="G421" t="inlineStr">
        <is>
          <t>Laxa Jeff</t>
        </is>
      </c>
      <c r="H421" t="inlineStr">
        <is>
          <t>TCNz002PH:Waiting for requests</t>
        </is>
      </c>
      <c r="I421" s="1" t="n">
        <v>45938</v>
      </c>
      <c r="J421" t="n">
        <v>0.75</v>
      </c>
      <c r="K421" t="inlineStr">
        <is>
          <t>Reviewing spec</t>
        </is>
      </c>
      <c r="L421">
        <f>IFERROR(LEFT(K421,             FIND(",", K421) - 1), "-")</f>
        <v/>
      </c>
      <c r="M421">
        <f>IFERROR(MID(K421,             FIND(",", K421) + 1, LEN(K421) - FIND(",", K421)), K421)</f>
        <v/>
      </c>
      <c r="N421" t="n">
        <v>5</v>
      </c>
      <c r="P421" t="inlineStr">
        <is>
          <t>08:00</t>
        </is>
      </c>
      <c r="Q421" t="inlineStr">
        <is>
          <t>08:45</t>
        </is>
      </c>
    </row>
    <row r="422">
      <c r="A422" t="inlineStr">
        <is>
          <t>Laxa Jeff</t>
        </is>
      </c>
      <c r="B422" t="inlineStr">
        <is>
          <t>TCNz002PH:Waiting for requests</t>
        </is>
      </c>
      <c r="D422">
        <f>L422</f>
        <v/>
      </c>
      <c r="E422">
        <f>SUMIFS(J:J, G:G,             A422, H:H, B422, L:L, L422)</f>
        <v/>
      </c>
      <c r="F422" t="inlineStr">
        <is>
          <t>PH0019</t>
        </is>
      </c>
      <c r="G422" t="inlineStr">
        <is>
          <t>Laxa Jeff</t>
        </is>
      </c>
      <c r="H422" t="inlineStr">
        <is>
          <t>TCNz002PH:Waiting for requests</t>
        </is>
      </c>
      <c r="I422" s="1" t="n">
        <v>45938</v>
      </c>
      <c r="J422" t="n">
        <v>1</v>
      </c>
      <c r="K422" t="inlineStr">
        <is>
          <t>Reviewing spec</t>
        </is>
      </c>
      <c r="L422">
        <f>IFERROR(LEFT(K422,             FIND(",", K422) - 1), "-")</f>
        <v/>
      </c>
      <c r="M422">
        <f>IFERROR(MID(K422,             FIND(",", K422) + 1, LEN(K422) - FIND(",", K422)), K422)</f>
        <v/>
      </c>
      <c r="N422" t="n">
        <v>5</v>
      </c>
      <c r="P422" t="inlineStr">
        <is>
          <t>10:00</t>
        </is>
      </c>
      <c r="Q422" t="inlineStr">
        <is>
          <t>11:00</t>
        </is>
      </c>
    </row>
    <row r="423">
      <c r="A423" t="inlineStr">
        <is>
          <t>Laxa Jeff</t>
        </is>
      </c>
      <c r="B423" t="inlineStr">
        <is>
          <t>TCNz002PH:Waiting for requests</t>
        </is>
      </c>
      <c r="D423">
        <f>L423</f>
        <v/>
      </c>
      <c r="E423">
        <f>SUMIFS(J:J, G:G,             A423, H:H, B423, L:L, L423)</f>
        <v/>
      </c>
      <c r="F423" t="inlineStr">
        <is>
          <t>PH0019</t>
        </is>
      </c>
      <c r="G423" t="inlineStr">
        <is>
          <t>Laxa Jeff</t>
        </is>
      </c>
      <c r="H423" t="inlineStr">
        <is>
          <t>TCNz002PH:Waiting for requests</t>
        </is>
      </c>
      <c r="I423" s="1" t="n">
        <v>45938</v>
      </c>
      <c r="J423" t="n">
        <v>1</v>
      </c>
      <c r="K423" t="inlineStr">
        <is>
          <t>Reviewing spec</t>
        </is>
      </c>
      <c r="L423">
        <f>IFERROR(LEFT(K423,             FIND(",", K423) - 1), "-")</f>
        <v/>
      </c>
      <c r="M423">
        <f>IFERROR(MID(K423,             FIND(",", K423) + 1, LEN(K423) - FIND(",", K423)), K423)</f>
        <v/>
      </c>
      <c r="N423" t="n">
        <v>5</v>
      </c>
      <c r="P423" t="inlineStr">
        <is>
          <t>12:00</t>
        </is>
      </c>
      <c r="Q423" t="inlineStr">
        <is>
          <t>13:00</t>
        </is>
      </c>
    </row>
    <row r="424">
      <c r="A424" t="inlineStr">
        <is>
          <t>Laxa Jeff</t>
        </is>
      </c>
      <c r="B424" t="inlineStr">
        <is>
          <t>TCNz002PH:Waiting for requests</t>
        </is>
      </c>
      <c r="D424">
        <f>L424</f>
        <v/>
      </c>
      <c r="E424">
        <f>SUMIFS(J:J, G:G,             A424, H:H, B424, L:L, L424)</f>
        <v/>
      </c>
      <c r="F424" t="inlineStr">
        <is>
          <t>PH0019</t>
        </is>
      </c>
      <c r="G424" t="inlineStr">
        <is>
          <t>Laxa Jeff</t>
        </is>
      </c>
      <c r="H424" t="inlineStr">
        <is>
          <t>TCNz002PH:Waiting for requests</t>
        </is>
      </c>
      <c r="I424" s="1" t="n">
        <v>45938</v>
      </c>
      <c r="J424" t="n">
        <v>1.25</v>
      </c>
      <c r="K424" t="inlineStr">
        <is>
          <t>Reviewing spec</t>
        </is>
      </c>
      <c r="L424">
        <f>IFERROR(LEFT(K424,             FIND(",", K424) - 1), "-")</f>
        <v/>
      </c>
      <c r="M424">
        <f>IFERROR(MID(K424,             FIND(",", K424) + 1, LEN(K424) - FIND(",", K424)), K424)</f>
        <v/>
      </c>
      <c r="N424" t="n">
        <v>5</v>
      </c>
      <c r="P424" t="inlineStr">
        <is>
          <t>14:00</t>
        </is>
      </c>
      <c r="Q424" t="inlineStr">
        <is>
          <t>15:15</t>
        </is>
      </c>
    </row>
    <row r="425">
      <c r="A425" t="inlineStr">
        <is>
          <t>Laxa Jeff</t>
        </is>
      </c>
      <c r="B425" t="inlineStr">
        <is>
          <t>TCNz002PH:Waiting for requests</t>
        </is>
      </c>
      <c r="D425">
        <f>L425</f>
        <v/>
      </c>
      <c r="E425">
        <f>SUMIFS(J:J, G:G,             A425, H:H, B425, L:L, L425)</f>
        <v/>
      </c>
      <c r="F425" t="inlineStr">
        <is>
          <t>PH0019</t>
        </is>
      </c>
      <c r="G425" t="inlineStr">
        <is>
          <t>Laxa Jeff</t>
        </is>
      </c>
      <c r="H425" t="inlineStr">
        <is>
          <t>TCNz002PH:Waiting for requests</t>
        </is>
      </c>
      <c r="I425" s="1" t="n">
        <v>45939</v>
      </c>
      <c r="J425" t="n">
        <v>0.5</v>
      </c>
      <c r="K425" t="inlineStr">
        <is>
          <t>Reviewing spec</t>
        </is>
      </c>
      <c r="L425">
        <f>IFERROR(LEFT(K425,             FIND(",", K425) - 1), "-")</f>
        <v/>
      </c>
      <c r="M425">
        <f>IFERROR(MID(K425,             FIND(",", K425) + 1, LEN(K425) - FIND(",", K425)), K425)</f>
        <v/>
      </c>
      <c r="N425" t="n">
        <v>5</v>
      </c>
      <c r="P425" t="inlineStr">
        <is>
          <t>09:45</t>
        </is>
      </c>
      <c r="Q425" t="inlineStr">
        <is>
          <t>10:15</t>
        </is>
      </c>
    </row>
    <row r="426">
      <c r="A426" t="inlineStr">
        <is>
          <t>Laxa Jeff</t>
        </is>
      </c>
      <c r="B426" t="inlineStr">
        <is>
          <t>TCNz002PH:Waiting for requests</t>
        </is>
      </c>
      <c r="D426">
        <f>L426</f>
        <v/>
      </c>
      <c r="E426">
        <f>SUMIFS(J:J, G:G,             A426, H:H, B426, L:L, L426)</f>
        <v/>
      </c>
      <c r="F426" t="inlineStr">
        <is>
          <t>PH0019</t>
        </is>
      </c>
      <c r="G426" t="inlineStr">
        <is>
          <t>Laxa Jeff</t>
        </is>
      </c>
      <c r="H426" t="inlineStr">
        <is>
          <t>TCNz002PH:Waiting for requests</t>
        </is>
      </c>
      <c r="I426" s="1" t="n">
        <v>45939</v>
      </c>
      <c r="J426" t="n">
        <v>0.75</v>
      </c>
      <c r="K426" t="inlineStr">
        <is>
          <t>Reviewing spec</t>
        </is>
      </c>
      <c r="L426">
        <f>IFERROR(LEFT(K426,             FIND(",", K426) - 1), "-")</f>
        <v/>
      </c>
      <c r="M426">
        <f>IFERROR(MID(K426,             FIND(",", K426) + 1, LEN(K426) - FIND(",", K426)), K426)</f>
        <v/>
      </c>
      <c r="N426" t="n">
        <v>5</v>
      </c>
      <c r="P426" t="inlineStr">
        <is>
          <t>12:00</t>
        </is>
      </c>
      <c r="Q426" t="inlineStr">
        <is>
          <t>12:45</t>
        </is>
      </c>
    </row>
    <row r="427">
      <c r="A427" t="inlineStr">
        <is>
          <t>Laxa Jeff</t>
        </is>
      </c>
      <c r="B427" t="inlineStr">
        <is>
          <t>TCNz002PH:Waiting for requests</t>
        </is>
      </c>
      <c r="D427">
        <f>L427</f>
        <v/>
      </c>
      <c r="E427">
        <f>SUMIFS(J:J, G:G,             A427, H:H, B427, L:L, L427)</f>
        <v/>
      </c>
      <c r="F427" t="inlineStr">
        <is>
          <t>PH0019</t>
        </is>
      </c>
      <c r="G427" t="inlineStr">
        <is>
          <t>Laxa Jeff</t>
        </is>
      </c>
      <c r="H427" t="inlineStr">
        <is>
          <t>TCNz002PH:Waiting for requests</t>
        </is>
      </c>
      <c r="I427" s="1" t="n">
        <v>45939</v>
      </c>
      <c r="J427" t="n">
        <v>0.75</v>
      </c>
      <c r="K427" t="inlineStr">
        <is>
          <t>Reviewing spec</t>
        </is>
      </c>
      <c r="L427">
        <f>IFERROR(LEFT(K427,             FIND(",", K427) - 1), "-")</f>
        <v/>
      </c>
      <c r="M427">
        <f>IFERROR(MID(K427,             FIND(",", K427) + 1, LEN(K427) - FIND(",", K427)), K427)</f>
        <v/>
      </c>
      <c r="N427" t="n">
        <v>5</v>
      </c>
      <c r="P427" t="inlineStr">
        <is>
          <t>13:45</t>
        </is>
      </c>
      <c r="Q427" t="inlineStr">
        <is>
          <t>14:30</t>
        </is>
      </c>
    </row>
    <row r="428">
      <c r="A428" t="inlineStr">
        <is>
          <t>Laxa Jeff</t>
        </is>
      </c>
      <c r="B428" t="inlineStr">
        <is>
          <t>TCNz002PH:Waiting for requests</t>
        </is>
      </c>
      <c r="D428">
        <f>L428</f>
        <v/>
      </c>
      <c r="E428">
        <f>SUMIFS(J:J, G:G,             A428, H:H, B428, L:L, L428)</f>
        <v/>
      </c>
      <c r="F428" t="inlineStr">
        <is>
          <t>PH0019</t>
        </is>
      </c>
      <c r="G428" t="inlineStr">
        <is>
          <t>Laxa Jeff</t>
        </is>
      </c>
      <c r="H428" t="inlineStr">
        <is>
          <t>TCNz002PH:Waiting for requests</t>
        </is>
      </c>
      <c r="I428" s="1" t="n">
        <v>45939</v>
      </c>
      <c r="J428" t="n">
        <v>0.75</v>
      </c>
      <c r="K428" t="inlineStr">
        <is>
          <t>Reviewing spec</t>
        </is>
      </c>
      <c r="L428">
        <f>IFERROR(LEFT(K428,             FIND(",", K428) - 1), "-")</f>
        <v/>
      </c>
      <c r="M428">
        <f>IFERROR(MID(K428,             FIND(",", K428) + 1, LEN(K428) - FIND(",", K428)), K428)</f>
        <v/>
      </c>
      <c r="N428" t="n">
        <v>5</v>
      </c>
      <c r="P428" t="inlineStr">
        <is>
          <t>15:30</t>
        </is>
      </c>
      <c r="Q428" t="inlineStr">
        <is>
          <t>16:15</t>
        </is>
      </c>
    </row>
    <row r="429">
      <c r="A429" t="inlineStr">
        <is>
          <t>Laxa Jeff</t>
        </is>
      </c>
      <c r="B429" t="inlineStr">
        <is>
          <t>TCNz002PH:Waiting for requests</t>
        </is>
      </c>
      <c r="D429">
        <f>L429</f>
        <v/>
      </c>
      <c r="E429">
        <f>SUMIFS(J:J, G:G,             A429, H:H, B429, L:L, L429)</f>
        <v/>
      </c>
      <c r="F429" t="inlineStr">
        <is>
          <t>PH0019</t>
        </is>
      </c>
      <c r="G429" t="inlineStr">
        <is>
          <t>Laxa Jeff</t>
        </is>
      </c>
      <c r="H429" t="inlineStr">
        <is>
          <t>TCNz002PH:Waiting for requests</t>
        </is>
      </c>
      <c r="I429" s="1" t="n">
        <v>45940</v>
      </c>
      <c r="J429" t="n">
        <v>0.5</v>
      </c>
      <c r="K429" t="inlineStr">
        <is>
          <t>Reviewing spec</t>
        </is>
      </c>
      <c r="L429">
        <f>IFERROR(LEFT(K429,             FIND(",", K429) - 1), "-")</f>
        <v/>
      </c>
      <c r="M429">
        <f>IFERROR(MID(K429,             FIND(",", K429) + 1, LEN(K429) - FIND(",", K429)), K429)</f>
        <v/>
      </c>
      <c r="N429" t="n">
        <v>5</v>
      </c>
      <c r="P429" t="inlineStr">
        <is>
          <t>09:00</t>
        </is>
      </c>
      <c r="Q429" t="inlineStr">
        <is>
          <t>09:30</t>
        </is>
      </c>
    </row>
    <row r="430">
      <c r="A430" t="inlineStr">
        <is>
          <t>Laxa Jeff</t>
        </is>
      </c>
      <c r="B430" t="inlineStr">
        <is>
          <t>TCNz002PH:Waiting for requests</t>
        </is>
      </c>
      <c r="D430">
        <f>L430</f>
        <v/>
      </c>
      <c r="E430">
        <f>SUMIFS(J:J, G:G,             A430, H:H, B430, L:L, L430)</f>
        <v/>
      </c>
      <c r="F430" t="inlineStr">
        <is>
          <t>PH0019</t>
        </is>
      </c>
      <c r="G430" t="inlineStr">
        <is>
          <t>Laxa Jeff</t>
        </is>
      </c>
      <c r="H430" t="inlineStr">
        <is>
          <t>TCNz002PH:Waiting for requests</t>
        </is>
      </c>
      <c r="I430" s="1" t="n">
        <v>45940</v>
      </c>
      <c r="J430" t="n">
        <v>1.25</v>
      </c>
      <c r="K430" t="inlineStr">
        <is>
          <t>Reviewing spec</t>
        </is>
      </c>
      <c r="L430">
        <f>IFERROR(LEFT(K430,             FIND(",", K430) - 1), "-")</f>
        <v/>
      </c>
      <c r="M430">
        <f>IFERROR(MID(K430,             FIND(",", K430) + 1, LEN(K430) - FIND(",", K430)), K430)</f>
        <v/>
      </c>
      <c r="N430" t="n">
        <v>5</v>
      </c>
      <c r="P430" t="inlineStr">
        <is>
          <t>12:30</t>
        </is>
      </c>
      <c r="Q430" t="inlineStr">
        <is>
          <t>13:45</t>
        </is>
      </c>
    </row>
    <row r="431">
      <c r="A431" t="inlineStr">
        <is>
          <t>Laxa Jeff</t>
        </is>
      </c>
      <c r="B431" t="inlineStr">
        <is>
          <t>TCNz002PH:Waiting for requests</t>
        </is>
      </c>
      <c r="D431">
        <f>L431</f>
        <v/>
      </c>
      <c r="E431">
        <f>SUMIFS(J:J, G:G,             A431, H:H, B431, L:L, L431)</f>
        <v/>
      </c>
      <c r="F431" t="inlineStr">
        <is>
          <t>PH0019</t>
        </is>
      </c>
      <c r="G431" t="inlineStr">
        <is>
          <t>Laxa Jeff</t>
        </is>
      </c>
      <c r="H431" t="inlineStr">
        <is>
          <t>TCNz002PH:Waiting for requests</t>
        </is>
      </c>
      <c r="I431" s="1" t="n">
        <v>45940</v>
      </c>
      <c r="J431" t="n">
        <v>0.75</v>
      </c>
      <c r="K431" t="inlineStr">
        <is>
          <t>Reviewing spec</t>
        </is>
      </c>
      <c r="L431">
        <f>IFERROR(LEFT(K431,             FIND(",", K431) - 1), "-")</f>
        <v/>
      </c>
      <c r="M431">
        <f>IFERROR(MID(K431,             FIND(",", K431) + 1, LEN(K431) - FIND(",", K431)), K431)</f>
        <v/>
      </c>
      <c r="N431" t="n">
        <v>5</v>
      </c>
      <c r="P431" t="inlineStr">
        <is>
          <t>15:45</t>
        </is>
      </c>
      <c r="Q431" t="inlineStr">
        <is>
          <t>16:30</t>
        </is>
      </c>
    </row>
    <row r="432">
      <c r="A432" t="inlineStr">
        <is>
          <t>Laxa Jeff</t>
        </is>
      </c>
      <c r="B432" t="inlineStr">
        <is>
          <t>TCNz002PH:Waiting for requests</t>
        </is>
      </c>
      <c r="D432">
        <f>L432</f>
        <v/>
      </c>
      <c r="E432">
        <f>SUMIFS(J:J, G:G,             A432, H:H, B432, L:L, L432)</f>
        <v/>
      </c>
      <c r="F432" t="inlineStr">
        <is>
          <t>PH0019</t>
        </is>
      </c>
      <c r="G432" t="inlineStr">
        <is>
          <t>Laxa Jeff</t>
        </is>
      </c>
      <c r="H432" t="inlineStr">
        <is>
          <t>TCNz002PH:Waiting for requests</t>
        </is>
      </c>
      <c r="I432" s="1" t="n">
        <v>45943</v>
      </c>
      <c r="J432" t="n">
        <v>0.5</v>
      </c>
      <c r="K432" t="inlineStr">
        <is>
          <t>Reviewing spec</t>
        </is>
      </c>
      <c r="L432">
        <f>IFERROR(LEFT(K432,             FIND(",", K432) - 1), "-")</f>
        <v/>
      </c>
      <c r="M432">
        <f>IFERROR(MID(K432,             FIND(",", K432) + 1, LEN(K432) - FIND(",", K432)), K432)</f>
        <v/>
      </c>
      <c r="N432" t="n">
        <v>5</v>
      </c>
      <c r="P432" t="inlineStr">
        <is>
          <t>09:00</t>
        </is>
      </c>
      <c r="Q432" t="inlineStr">
        <is>
          <t>09:30</t>
        </is>
      </c>
    </row>
    <row r="433">
      <c r="A433" t="inlineStr">
        <is>
          <t>Laxa Jeff</t>
        </is>
      </c>
      <c r="B433" t="inlineStr">
        <is>
          <t>TCNz002PH:Waiting for requests</t>
        </is>
      </c>
      <c r="D433">
        <f>L433</f>
        <v/>
      </c>
      <c r="E433">
        <f>SUMIFS(J:J, G:G,             A433, H:H, B433, L:L, L433)</f>
        <v/>
      </c>
      <c r="F433" t="inlineStr">
        <is>
          <t>PH0019</t>
        </is>
      </c>
      <c r="G433" t="inlineStr">
        <is>
          <t>Laxa Jeff</t>
        </is>
      </c>
      <c r="H433" t="inlineStr">
        <is>
          <t>TCNz002PH:Waiting for requests</t>
        </is>
      </c>
      <c r="I433" s="1" t="n">
        <v>45943</v>
      </c>
      <c r="J433" t="n">
        <v>1</v>
      </c>
      <c r="K433" t="inlineStr">
        <is>
          <t>Reviewing spec</t>
        </is>
      </c>
      <c r="L433">
        <f>IFERROR(LEFT(K433,             FIND(",", K433) - 1), "-")</f>
        <v/>
      </c>
      <c r="M433">
        <f>IFERROR(MID(K433,             FIND(",", K433) + 1, LEN(K433) - FIND(",", K433)), K433)</f>
        <v/>
      </c>
      <c r="N433" t="n">
        <v>5</v>
      </c>
      <c r="P433" t="inlineStr">
        <is>
          <t>12:00</t>
        </is>
      </c>
      <c r="Q433" t="inlineStr">
        <is>
          <t>13:00</t>
        </is>
      </c>
    </row>
    <row r="434">
      <c r="A434" t="inlineStr">
        <is>
          <t>Laxa Jeff</t>
        </is>
      </c>
      <c r="B434" t="inlineStr">
        <is>
          <t>TCNz002PH:Waiting for requests</t>
        </is>
      </c>
      <c r="D434">
        <f>L434</f>
        <v/>
      </c>
      <c r="E434">
        <f>SUMIFS(J:J, G:G,             A434, H:H, B434, L:L, L434)</f>
        <v/>
      </c>
      <c r="F434" t="inlineStr">
        <is>
          <t>PH0019</t>
        </is>
      </c>
      <c r="G434" t="inlineStr">
        <is>
          <t>Laxa Jeff</t>
        </is>
      </c>
      <c r="H434" t="inlineStr">
        <is>
          <t>TCNz002PH:Waiting for requests</t>
        </is>
      </c>
      <c r="I434" s="1" t="n">
        <v>45943</v>
      </c>
      <c r="J434" t="n">
        <v>1</v>
      </c>
      <c r="K434" t="inlineStr">
        <is>
          <t>Reviewing spec</t>
        </is>
      </c>
      <c r="L434">
        <f>IFERROR(LEFT(K434,             FIND(",", K434) - 1), "-")</f>
        <v/>
      </c>
      <c r="M434">
        <f>IFERROR(MID(K434,             FIND(",", K434) + 1, LEN(K434) - FIND(",", K434)), K434)</f>
        <v/>
      </c>
      <c r="N434" t="n">
        <v>5</v>
      </c>
      <c r="P434" t="inlineStr">
        <is>
          <t>14:00</t>
        </is>
      </c>
      <c r="Q434" t="inlineStr">
        <is>
          <t>15:00</t>
        </is>
      </c>
    </row>
    <row r="435">
      <c r="A435" t="inlineStr">
        <is>
          <t>Laxa Jeff</t>
        </is>
      </c>
      <c r="B435" t="inlineStr">
        <is>
          <t>TCNz002PH:Waiting for requests</t>
        </is>
      </c>
      <c r="D435">
        <f>L435</f>
        <v/>
      </c>
      <c r="E435">
        <f>SUMIFS(J:J, G:G,             A435, H:H, B435, L:L, L435)</f>
        <v/>
      </c>
      <c r="F435" t="inlineStr">
        <is>
          <t>PH0019</t>
        </is>
      </c>
      <c r="G435" t="inlineStr">
        <is>
          <t>Laxa Jeff</t>
        </is>
      </c>
      <c r="H435" t="inlineStr">
        <is>
          <t>TCNz002PH:Waiting for requests</t>
        </is>
      </c>
      <c r="I435" s="1" t="n">
        <v>45943</v>
      </c>
      <c r="J435" t="n">
        <v>1</v>
      </c>
      <c r="K435" t="inlineStr">
        <is>
          <t>Reviewing spec</t>
        </is>
      </c>
      <c r="L435">
        <f>IFERROR(LEFT(K435,             FIND(",", K435) - 1), "-")</f>
        <v/>
      </c>
      <c r="M435">
        <f>IFERROR(MID(K435,             FIND(",", K435) + 1, LEN(K435) - FIND(",", K435)), K435)</f>
        <v/>
      </c>
      <c r="N435" t="n">
        <v>5</v>
      </c>
      <c r="P435" t="inlineStr">
        <is>
          <t>15:30</t>
        </is>
      </c>
      <c r="Q435" t="inlineStr">
        <is>
          <t>16:30</t>
        </is>
      </c>
    </row>
    <row r="436">
      <c r="A436" t="inlineStr">
        <is>
          <t>Laxa Jeff</t>
        </is>
      </c>
      <c r="B436" t="inlineStr">
        <is>
          <t>TCNz002PH:Waiting for requests</t>
        </is>
      </c>
      <c r="D436">
        <f>L436</f>
        <v/>
      </c>
      <c r="E436">
        <f>SUMIFS(J:J, G:G,             A436, H:H, B436, L:L, L436)</f>
        <v/>
      </c>
      <c r="F436" t="inlineStr">
        <is>
          <t>PH0019</t>
        </is>
      </c>
      <c r="G436" t="inlineStr">
        <is>
          <t>Laxa Jeff</t>
        </is>
      </c>
      <c r="H436" t="inlineStr">
        <is>
          <t>TCNz002PH:Waiting for requests</t>
        </is>
      </c>
      <c r="I436" s="1" t="n">
        <v>45944</v>
      </c>
      <c r="J436" t="n">
        <v>0.5</v>
      </c>
      <c r="K436" t="inlineStr">
        <is>
          <t>Reviewing spec</t>
        </is>
      </c>
      <c r="L436">
        <f>IFERROR(LEFT(K436,             FIND(",", K436) - 1), "-")</f>
        <v/>
      </c>
      <c r="M436">
        <f>IFERROR(MID(K436,             FIND(",", K436) + 1, LEN(K436) - FIND(",", K436)), K436)</f>
        <v/>
      </c>
      <c r="N436" t="n">
        <v>5</v>
      </c>
      <c r="P436" t="inlineStr">
        <is>
          <t>09:00</t>
        </is>
      </c>
      <c r="Q436" t="inlineStr">
        <is>
          <t>09:30</t>
        </is>
      </c>
    </row>
    <row r="437">
      <c r="A437" t="inlineStr">
        <is>
          <t>Laxa Jeff</t>
        </is>
      </c>
      <c r="B437" t="inlineStr">
        <is>
          <t>TCNz002PH:Waiting for requests</t>
        </is>
      </c>
      <c r="D437">
        <f>L437</f>
        <v/>
      </c>
      <c r="E437">
        <f>SUMIFS(J:J, G:G,             A437, H:H, B437, L:L, L437)</f>
        <v/>
      </c>
      <c r="F437" t="inlineStr">
        <is>
          <t>PH0019</t>
        </is>
      </c>
      <c r="G437" t="inlineStr">
        <is>
          <t>Laxa Jeff</t>
        </is>
      </c>
      <c r="H437" t="inlineStr">
        <is>
          <t>TCNz002PH:Waiting for requests</t>
        </is>
      </c>
      <c r="I437" s="1" t="n">
        <v>45944</v>
      </c>
      <c r="J437" t="n">
        <v>0.75</v>
      </c>
      <c r="K437" t="inlineStr">
        <is>
          <t>Reviewing spec</t>
        </is>
      </c>
      <c r="L437">
        <f>IFERROR(LEFT(K437,             FIND(",", K437) - 1), "-")</f>
        <v/>
      </c>
      <c r="M437">
        <f>IFERROR(MID(K437,             FIND(",", K437) + 1, LEN(K437) - FIND(",", K437)), K437)</f>
        <v/>
      </c>
      <c r="N437" t="n">
        <v>5</v>
      </c>
      <c r="P437" t="inlineStr">
        <is>
          <t>12:00</t>
        </is>
      </c>
      <c r="Q437" t="inlineStr">
        <is>
          <t>12:45</t>
        </is>
      </c>
    </row>
    <row r="438">
      <c r="A438" t="inlineStr">
        <is>
          <t>Laxa Jeff</t>
        </is>
      </c>
      <c r="B438" t="inlineStr">
        <is>
          <t>TCNz002PH:Waiting for requests</t>
        </is>
      </c>
      <c r="D438">
        <f>L438</f>
        <v/>
      </c>
      <c r="E438">
        <f>SUMIFS(J:J, G:G,             A438, H:H, B438, L:L, L438)</f>
        <v/>
      </c>
      <c r="F438" t="inlineStr">
        <is>
          <t>PH0019</t>
        </is>
      </c>
      <c r="G438" t="inlineStr">
        <is>
          <t>Laxa Jeff</t>
        </is>
      </c>
      <c r="H438" t="inlineStr">
        <is>
          <t>TCNz002PH:Waiting for requests</t>
        </is>
      </c>
      <c r="I438" s="1" t="n">
        <v>45944</v>
      </c>
      <c r="J438" t="n">
        <v>1</v>
      </c>
      <c r="K438" t="inlineStr">
        <is>
          <t>Reviewing spec</t>
        </is>
      </c>
      <c r="L438">
        <f>IFERROR(LEFT(K438,             FIND(",", K438) - 1), "-")</f>
        <v/>
      </c>
      <c r="M438">
        <f>IFERROR(MID(K438,             FIND(",", K438) + 1, LEN(K438) - FIND(",", K438)), K438)</f>
        <v/>
      </c>
      <c r="N438" t="n">
        <v>5</v>
      </c>
      <c r="P438" t="inlineStr">
        <is>
          <t>13:30</t>
        </is>
      </c>
      <c r="Q438" t="inlineStr">
        <is>
          <t>14:30</t>
        </is>
      </c>
    </row>
    <row r="439">
      <c r="A439" t="inlineStr">
        <is>
          <t>Laxa Jeff</t>
        </is>
      </c>
      <c r="B439" t="inlineStr">
        <is>
          <t>TCNz002PH:Waiting for requests</t>
        </is>
      </c>
      <c r="D439">
        <f>L439</f>
        <v/>
      </c>
      <c r="E439">
        <f>SUMIFS(J:J, G:G,             A439, H:H, B439, L:L, L439)</f>
        <v/>
      </c>
      <c r="F439" t="inlineStr">
        <is>
          <t>PH0019</t>
        </is>
      </c>
      <c r="G439" t="inlineStr">
        <is>
          <t>Laxa Jeff</t>
        </is>
      </c>
      <c r="H439" t="inlineStr">
        <is>
          <t>TCNz002PH:Waiting for requests</t>
        </is>
      </c>
      <c r="I439" s="1" t="n">
        <v>45944</v>
      </c>
      <c r="J439" t="n">
        <v>0.75</v>
      </c>
      <c r="K439" t="inlineStr">
        <is>
          <t>Reviewing spec</t>
        </is>
      </c>
      <c r="L439">
        <f>IFERROR(LEFT(K439,             FIND(",", K439) - 1), "-")</f>
        <v/>
      </c>
      <c r="M439">
        <f>IFERROR(MID(K439,             FIND(",", K439) + 1, LEN(K439) - FIND(",", K439)), K439)</f>
        <v/>
      </c>
      <c r="N439" t="n">
        <v>5</v>
      </c>
      <c r="P439" t="inlineStr">
        <is>
          <t>15:30</t>
        </is>
      </c>
      <c r="Q439" t="inlineStr">
        <is>
          <t>16:15</t>
        </is>
      </c>
    </row>
    <row r="440">
      <c r="A440" t="inlineStr">
        <is>
          <t>Laxa Jeff</t>
        </is>
      </c>
      <c r="B440" t="inlineStr">
        <is>
          <t>TCNz002PH:Waiting for requests</t>
        </is>
      </c>
      <c r="D440">
        <f>L440</f>
        <v/>
      </c>
      <c r="E440">
        <f>SUMIFS(J:J, G:G,             A440, H:H, B440, L:L, L440)</f>
        <v/>
      </c>
      <c r="F440" t="inlineStr">
        <is>
          <t>PH0019</t>
        </is>
      </c>
      <c r="G440" t="inlineStr">
        <is>
          <t>Laxa Jeff</t>
        </is>
      </c>
      <c r="H440" t="inlineStr">
        <is>
          <t>TCNz002PH:Waiting for requests</t>
        </is>
      </c>
      <c r="I440" s="1" t="n">
        <v>45945</v>
      </c>
      <c r="J440" t="n">
        <v>1</v>
      </c>
      <c r="K440" t="inlineStr">
        <is>
          <t>Reviewing spec</t>
        </is>
      </c>
      <c r="L440">
        <f>IFERROR(LEFT(K440,             FIND(",", K440) - 1), "-")</f>
        <v/>
      </c>
      <c r="M440">
        <f>IFERROR(MID(K440,             FIND(",", K440) + 1, LEN(K440) - FIND(",", K440)), K440)</f>
        <v/>
      </c>
      <c r="N440" t="n">
        <v>5</v>
      </c>
      <c r="P440" t="inlineStr">
        <is>
          <t>08:30</t>
        </is>
      </c>
      <c r="Q440" t="inlineStr">
        <is>
          <t>09:30</t>
        </is>
      </c>
    </row>
    <row r="441">
      <c r="A441" t="inlineStr">
        <is>
          <t>Laxa Jeff</t>
        </is>
      </c>
      <c r="B441" t="inlineStr">
        <is>
          <t>TCNz002PH:Waiting for requests</t>
        </is>
      </c>
      <c r="D441">
        <f>L441</f>
        <v/>
      </c>
      <c r="E441">
        <f>SUMIFS(J:J, G:G,             A441, H:H, B441, L:L, L441)</f>
        <v/>
      </c>
      <c r="F441" t="inlineStr">
        <is>
          <t>PH0019</t>
        </is>
      </c>
      <c r="G441" t="inlineStr">
        <is>
          <t>Laxa Jeff</t>
        </is>
      </c>
      <c r="H441" t="inlineStr">
        <is>
          <t>TCNz002PH:Waiting for requests</t>
        </is>
      </c>
      <c r="I441" s="1" t="n">
        <v>45945</v>
      </c>
      <c r="J441" t="n">
        <v>1</v>
      </c>
      <c r="K441" t="inlineStr">
        <is>
          <t>Reviewing spec</t>
        </is>
      </c>
      <c r="L441">
        <f>IFERROR(LEFT(K441,             FIND(",", K441) - 1), "-")</f>
        <v/>
      </c>
      <c r="M441">
        <f>IFERROR(MID(K441,             FIND(",", K441) + 1, LEN(K441) - FIND(",", K441)), K441)</f>
        <v/>
      </c>
      <c r="N441" t="n">
        <v>5</v>
      </c>
      <c r="P441" t="inlineStr">
        <is>
          <t>13:00</t>
        </is>
      </c>
      <c r="Q441" t="inlineStr">
        <is>
          <t>14:00</t>
        </is>
      </c>
    </row>
    <row r="442">
      <c r="A442" t="inlineStr">
        <is>
          <t>Laxa Jeff</t>
        </is>
      </c>
      <c r="B442" t="inlineStr">
        <is>
          <t>TCNz002PH:Waiting for requests</t>
        </is>
      </c>
      <c r="D442">
        <f>L442</f>
        <v/>
      </c>
      <c r="E442">
        <f>SUMIFS(J:J, G:G,             A442, H:H, B442, L:L, L442)</f>
        <v/>
      </c>
      <c r="F442" t="inlineStr">
        <is>
          <t>PH0019</t>
        </is>
      </c>
      <c r="G442" t="inlineStr">
        <is>
          <t>Laxa Jeff</t>
        </is>
      </c>
      <c r="H442" t="inlineStr">
        <is>
          <t>TCNz002PH:Waiting for requests</t>
        </is>
      </c>
      <c r="I442" s="1" t="n">
        <v>45947</v>
      </c>
      <c r="J442" t="n">
        <v>1</v>
      </c>
      <c r="K442" t="inlineStr">
        <is>
          <t>Reviewing spec</t>
        </is>
      </c>
      <c r="L442">
        <f>IFERROR(LEFT(K442,             FIND(",", K442) - 1), "-")</f>
        <v/>
      </c>
      <c r="M442">
        <f>IFERROR(MID(K442,             FIND(",", K442) + 1, LEN(K442) - FIND(",", K442)), K442)</f>
        <v/>
      </c>
      <c r="N442" t="n">
        <v>5</v>
      </c>
      <c r="P442" t="inlineStr">
        <is>
          <t>12:30</t>
        </is>
      </c>
      <c r="Q442" t="inlineStr">
        <is>
          <t>13:30</t>
        </is>
      </c>
    </row>
    <row r="443">
      <c r="A443" t="inlineStr">
        <is>
          <t>Laxa Jeff</t>
        </is>
      </c>
      <c r="B443" t="inlineStr">
        <is>
          <t>TCNz002PH:Waiting for requests</t>
        </is>
      </c>
      <c r="D443">
        <f>L443</f>
        <v/>
      </c>
      <c r="E443">
        <f>SUMIFS(J:J, G:G,             A443, H:H, B443, L:L, L443)</f>
        <v/>
      </c>
      <c r="F443" t="inlineStr">
        <is>
          <t>PH0019</t>
        </is>
      </c>
      <c r="G443" t="inlineStr">
        <is>
          <t>Laxa Jeff</t>
        </is>
      </c>
      <c r="H443" t="inlineStr">
        <is>
          <t>TCNz002PH:Waiting for requests</t>
        </is>
      </c>
      <c r="I443" s="1" t="n">
        <v>45950</v>
      </c>
      <c r="J443" t="n">
        <v>1</v>
      </c>
      <c r="K443" t="inlineStr">
        <is>
          <t>Reviewing spec</t>
        </is>
      </c>
      <c r="L443">
        <f>IFERROR(LEFT(K443,             FIND(",", K443) - 1), "-")</f>
        <v/>
      </c>
      <c r="M443">
        <f>IFERROR(MID(K443,             FIND(",", K443) + 1, LEN(K443) - FIND(",", K443)), K443)</f>
        <v/>
      </c>
      <c r="N443" t="n">
        <v>5</v>
      </c>
      <c r="P443" t="inlineStr">
        <is>
          <t>10:00</t>
        </is>
      </c>
      <c r="Q443" t="inlineStr">
        <is>
          <t>11:00</t>
        </is>
      </c>
    </row>
    <row r="444">
      <c r="A444" t="inlineStr">
        <is>
          <t>Laxa Jeff</t>
        </is>
      </c>
      <c r="B444" t="inlineStr">
        <is>
          <t>TCNz002PH:Waiting for requests</t>
        </is>
      </c>
      <c r="D444">
        <f>L444</f>
        <v/>
      </c>
      <c r="E444">
        <f>SUMIFS(J:J, G:G,             A444, H:H, B444, L:L, L444)</f>
        <v/>
      </c>
      <c r="F444" t="inlineStr">
        <is>
          <t>PH0019</t>
        </is>
      </c>
      <c r="G444" t="inlineStr">
        <is>
          <t>Laxa Jeff</t>
        </is>
      </c>
      <c r="H444" t="inlineStr">
        <is>
          <t>TCNz002PH:Waiting for requests</t>
        </is>
      </c>
      <c r="I444" s="1" t="n">
        <v>45950</v>
      </c>
      <c r="J444" t="n">
        <v>1</v>
      </c>
      <c r="K444" t="inlineStr">
        <is>
          <t>Reviewing spec</t>
        </is>
      </c>
      <c r="L444">
        <f>IFERROR(LEFT(K444,             FIND(",", K444) - 1), "-")</f>
        <v/>
      </c>
      <c r="M444">
        <f>IFERROR(MID(K444,             FIND(",", K444) + 1, LEN(K444) - FIND(",", K444)), K444)</f>
        <v/>
      </c>
      <c r="N444" t="n">
        <v>5</v>
      </c>
      <c r="P444" t="inlineStr">
        <is>
          <t>13:15</t>
        </is>
      </c>
      <c r="Q444" t="inlineStr">
        <is>
          <t>14:15</t>
        </is>
      </c>
    </row>
    <row r="445">
      <c r="A445" t="inlineStr">
        <is>
          <t>Laxa Jeff</t>
        </is>
      </c>
      <c r="B445" t="inlineStr">
        <is>
          <t>TCNz002PH:Waiting for requests</t>
        </is>
      </c>
      <c r="D445">
        <f>L445</f>
        <v/>
      </c>
      <c r="E445">
        <f>SUMIFS(J:J, G:G,             A445, H:H, B445, L:L, L445)</f>
        <v/>
      </c>
      <c r="F445" t="inlineStr">
        <is>
          <t>PH0019</t>
        </is>
      </c>
      <c r="G445" t="inlineStr">
        <is>
          <t>Laxa Jeff</t>
        </is>
      </c>
      <c r="H445" t="inlineStr">
        <is>
          <t>TCNz002PH:Waiting for requests</t>
        </is>
      </c>
      <c r="I445" s="1" t="n">
        <v>45950</v>
      </c>
      <c r="J445" t="n">
        <v>0.75</v>
      </c>
      <c r="K445" t="inlineStr">
        <is>
          <t>Reviewing spec</t>
        </is>
      </c>
      <c r="L445">
        <f>IFERROR(LEFT(K445,             FIND(",", K445) - 1), "-")</f>
        <v/>
      </c>
      <c r="M445">
        <f>IFERROR(MID(K445,             FIND(",", K445) + 1, LEN(K445) - FIND(",", K445)), K445)</f>
        <v/>
      </c>
      <c r="N445" t="n">
        <v>5</v>
      </c>
      <c r="P445" t="inlineStr">
        <is>
          <t>15:30</t>
        </is>
      </c>
      <c r="Q445" t="inlineStr">
        <is>
          <t>16:15</t>
        </is>
      </c>
    </row>
    <row r="446">
      <c r="A446" t="inlineStr">
        <is>
          <t>Laxa Jeff</t>
        </is>
      </c>
      <c r="B446" t="inlineStr">
        <is>
          <t>TCNz002PH:Waiting for requests</t>
        </is>
      </c>
      <c r="D446">
        <f>L446</f>
        <v/>
      </c>
      <c r="E446">
        <f>SUMIFS(J:J, G:G,             A446, H:H, B446, L:L, L446)</f>
        <v/>
      </c>
      <c r="F446" t="inlineStr">
        <is>
          <t>PH0019</t>
        </is>
      </c>
      <c r="G446" t="inlineStr">
        <is>
          <t>Laxa Jeff</t>
        </is>
      </c>
      <c r="H446" t="inlineStr">
        <is>
          <t>TCNz002PH:Waiting for requests</t>
        </is>
      </c>
      <c r="I446" s="1" t="n">
        <v>45951</v>
      </c>
      <c r="J446" t="n">
        <v>0.75</v>
      </c>
      <c r="K446" t="inlineStr">
        <is>
          <t>Reviewing spec</t>
        </is>
      </c>
      <c r="L446">
        <f>IFERROR(LEFT(K446,             FIND(",", K446) - 1), "-")</f>
        <v/>
      </c>
      <c r="M446">
        <f>IFERROR(MID(K446,             FIND(",", K446) + 1, LEN(K446) - FIND(",", K446)), K446)</f>
        <v/>
      </c>
      <c r="N446" t="n">
        <v>5</v>
      </c>
      <c r="P446" t="inlineStr">
        <is>
          <t>08:30</t>
        </is>
      </c>
      <c r="Q446" t="inlineStr">
        <is>
          <t>09:15</t>
        </is>
      </c>
    </row>
    <row r="447">
      <c r="A447" t="inlineStr">
        <is>
          <t>Laxa Jeff</t>
        </is>
      </c>
      <c r="B447" t="inlineStr">
        <is>
          <t>TCNz002PH:Waiting for requests</t>
        </is>
      </c>
      <c r="D447">
        <f>L447</f>
        <v/>
      </c>
      <c r="E447">
        <f>SUMIFS(J:J, G:G,             A447, H:H, B447, L:L, L447)</f>
        <v/>
      </c>
      <c r="F447" t="inlineStr">
        <is>
          <t>PH0019</t>
        </is>
      </c>
      <c r="G447" t="inlineStr">
        <is>
          <t>Laxa Jeff</t>
        </is>
      </c>
      <c r="H447" t="inlineStr">
        <is>
          <t>TCNz002PH:Waiting for requests</t>
        </is>
      </c>
      <c r="I447" s="1" t="n">
        <v>45951</v>
      </c>
      <c r="J447" t="n">
        <v>0.75</v>
      </c>
      <c r="K447" t="inlineStr">
        <is>
          <t>Reviewing spec</t>
        </is>
      </c>
      <c r="L447">
        <f>IFERROR(LEFT(K447,             FIND(",", K447) - 1), "-")</f>
        <v/>
      </c>
      <c r="M447">
        <f>IFERROR(MID(K447,             FIND(",", K447) + 1, LEN(K447) - FIND(",", K447)), K447)</f>
        <v/>
      </c>
      <c r="N447" t="n">
        <v>5</v>
      </c>
      <c r="P447" t="inlineStr">
        <is>
          <t>10:15</t>
        </is>
      </c>
      <c r="Q447" t="inlineStr">
        <is>
          <t>11:00</t>
        </is>
      </c>
    </row>
    <row r="448">
      <c r="A448" t="inlineStr">
        <is>
          <t>Laxa Jeff</t>
        </is>
      </c>
      <c r="B448" t="inlineStr">
        <is>
          <t>TCNz002PH:Waiting for requests</t>
        </is>
      </c>
      <c r="D448">
        <f>L448</f>
        <v/>
      </c>
      <c r="E448">
        <f>SUMIFS(J:J, G:G,             A448, H:H, B448, L:L, L448)</f>
        <v/>
      </c>
      <c r="F448" t="inlineStr">
        <is>
          <t>PH0019</t>
        </is>
      </c>
      <c r="G448" t="inlineStr">
        <is>
          <t>Laxa Jeff</t>
        </is>
      </c>
      <c r="H448" t="inlineStr">
        <is>
          <t>TCNz002PH:Waiting for requests</t>
        </is>
      </c>
      <c r="I448" s="1" t="n">
        <v>45951</v>
      </c>
      <c r="J448" t="n">
        <v>0.5</v>
      </c>
      <c r="K448" t="inlineStr">
        <is>
          <t>Reviewing spec</t>
        </is>
      </c>
      <c r="L448">
        <f>IFERROR(LEFT(K448,             FIND(",", K448) - 1), "-")</f>
        <v/>
      </c>
      <c r="M448">
        <f>IFERROR(MID(K448,             FIND(",", K448) + 1, LEN(K448) - FIND(",", K448)), K448)</f>
        <v/>
      </c>
      <c r="N448" t="n">
        <v>5</v>
      </c>
      <c r="P448" t="inlineStr">
        <is>
          <t>13:30</t>
        </is>
      </c>
      <c r="Q448" t="inlineStr">
        <is>
          <t>14:00</t>
        </is>
      </c>
    </row>
    <row r="449">
      <c r="A449" t="inlineStr">
        <is>
          <t>Laxa Jeff</t>
        </is>
      </c>
      <c r="B449" t="inlineStr">
        <is>
          <t>TCNz002PH:Waiting for requests</t>
        </is>
      </c>
      <c r="D449">
        <f>L449</f>
        <v/>
      </c>
      <c r="E449">
        <f>SUMIFS(J:J, G:G,             A449, H:H, B449, L:L, L449)</f>
        <v/>
      </c>
      <c r="F449" t="inlineStr">
        <is>
          <t>PH0019</t>
        </is>
      </c>
      <c r="G449" t="inlineStr">
        <is>
          <t>Laxa Jeff</t>
        </is>
      </c>
      <c r="H449" t="inlineStr">
        <is>
          <t>TCNz002PH:Waiting for requests</t>
        </is>
      </c>
      <c r="I449" s="1" t="n">
        <v>45952</v>
      </c>
      <c r="J449" t="n">
        <v>0.25</v>
      </c>
      <c r="K449" t="inlineStr">
        <is>
          <t>Reviewing spec</t>
        </is>
      </c>
      <c r="L449">
        <f>IFERROR(LEFT(K449,             FIND(",", K449) - 1), "-")</f>
        <v/>
      </c>
      <c r="M449">
        <f>IFERROR(MID(K449,             FIND(",", K449) + 1, LEN(K449) - FIND(",", K449)), K449)</f>
        <v/>
      </c>
      <c r="N449" t="n">
        <v>5</v>
      </c>
      <c r="P449" t="inlineStr">
        <is>
          <t>09:15</t>
        </is>
      </c>
      <c r="Q449" t="inlineStr">
        <is>
          <t>09:30</t>
        </is>
      </c>
    </row>
    <row r="450">
      <c r="A450" t="inlineStr">
        <is>
          <t>Laxa Jeff</t>
        </is>
      </c>
      <c r="B450" t="inlineStr">
        <is>
          <t>TCNz002PH:Waiting for requests</t>
        </is>
      </c>
      <c r="D450">
        <f>L450</f>
        <v/>
      </c>
      <c r="E450">
        <f>SUMIFS(J:J, G:G,             A450, H:H, B450, L:L, L450)</f>
        <v/>
      </c>
      <c r="F450" t="inlineStr">
        <is>
          <t>PH0019</t>
        </is>
      </c>
      <c r="G450" t="inlineStr">
        <is>
          <t>Laxa Jeff</t>
        </is>
      </c>
      <c r="H450" t="inlineStr">
        <is>
          <t>TCNz002PH:Waiting for requests</t>
        </is>
      </c>
      <c r="I450" s="1" t="n">
        <v>45952</v>
      </c>
      <c r="J450" t="n">
        <v>0.25</v>
      </c>
      <c r="K450" t="inlineStr">
        <is>
          <t>Reviewing spec</t>
        </is>
      </c>
      <c r="L450">
        <f>IFERROR(LEFT(K450,             FIND(",", K450) - 1), "-")</f>
        <v/>
      </c>
      <c r="M450">
        <f>IFERROR(MID(K450,             FIND(",", K450) + 1, LEN(K450) - FIND(",", K450)), K450)</f>
        <v/>
      </c>
      <c r="N450" t="n">
        <v>5</v>
      </c>
      <c r="P450" t="inlineStr">
        <is>
          <t>09:45</t>
        </is>
      </c>
      <c r="Q450" t="inlineStr">
        <is>
          <t>10:00</t>
        </is>
      </c>
    </row>
    <row r="451">
      <c r="A451" t="inlineStr">
        <is>
          <t>Laxa Jeff</t>
        </is>
      </c>
      <c r="B451" t="inlineStr">
        <is>
          <t>TCNz002PH:Waiting for requests</t>
        </is>
      </c>
      <c r="D451">
        <f>L451</f>
        <v/>
      </c>
      <c r="E451">
        <f>SUMIFS(J:J, G:G,             A451, H:H, B451, L:L, L451)</f>
        <v/>
      </c>
      <c r="F451" t="inlineStr">
        <is>
          <t>PH0019</t>
        </is>
      </c>
      <c r="G451" t="inlineStr">
        <is>
          <t>Laxa Jeff</t>
        </is>
      </c>
      <c r="H451" t="inlineStr">
        <is>
          <t>TCNz002PH:Waiting for requests</t>
        </is>
      </c>
      <c r="I451" s="1" t="n">
        <v>45952</v>
      </c>
      <c r="J451" t="n">
        <v>0.5</v>
      </c>
      <c r="K451" t="inlineStr">
        <is>
          <t>Reviewing spec</t>
        </is>
      </c>
      <c r="L451">
        <f>IFERROR(LEFT(K451,             FIND(",", K451) - 1), "-")</f>
        <v/>
      </c>
      <c r="M451">
        <f>IFERROR(MID(K451,             FIND(",", K451) + 1, LEN(K451) - FIND(",", K451)), K451)</f>
        <v/>
      </c>
      <c r="N451" t="n">
        <v>5</v>
      </c>
      <c r="P451" t="inlineStr">
        <is>
          <t>15:45</t>
        </is>
      </c>
      <c r="Q451" t="inlineStr">
        <is>
          <t>16:15</t>
        </is>
      </c>
    </row>
    <row r="452">
      <c r="A452" t="inlineStr">
        <is>
          <t>Laxa Jeff</t>
        </is>
      </c>
      <c r="B452" t="inlineStr">
        <is>
          <t>TCNz002PH:Waiting for requests</t>
        </is>
      </c>
      <c r="D452">
        <f>L452</f>
        <v/>
      </c>
      <c r="E452">
        <f>SUMIFS(J:J, G:G,             A452, H:H, B452, L:L, L452)</f>
        <v/>
      </c>
      <c r="F452" t="inlineStr">
        <is>
          <t>PH0019</t>
        </is>
      </c>
      <c r="G452" t="inlineStr">
        <is>
          <t>Laxa Jeff</t>
        </is>
      </c>
      <c r="H452" t="inlineStr">
        <is>
          <t>TCNz002PH:Waiting for requests</t>
        </is>
      </c>
      <c r="I452" s="1" t="n">
        <v>45953</v>
      </c>
      <c r="J452" t="n">
        <v>0.5</v>
      </c>
      <c r="K452" t="inlineStr">
        <is>
          <t>Reviewing spec</t>
        </is>
      </c>
      <c r="L452">
        <f>IFERROR(LEFT(K452,             FIND(",", K452) - 1), "-")</f>
        <v/>
      </c>
      <c r="M452">
        <f>IFERROR(MID(K452,             FIND(",", K452) + 1, LEN(K452) - FIND(",", K452)), K452)</f>
        <v/>
      </c>
      <c r="N452" t="n">
        <v>5</v>
      </c>
      <c r="P452" t="inlineStr">
        <is>
          <t>08:45</t>
        </is>
      </c>
      <c r="Q452" t="inlineStr">
        <is>
          <t>09:15</t>
        </is>
      </c>
    </row>
    <row r="453">
      <c r="A453" t="inlineStr">
        <is>
          <t>Laxa Jeff</t>
        </is>
      </c>
      <c r="B453" t="inlineStr">
        <is>
          <t>TCNz002PH:Waiting for requests</t>
        </is>
      </c>
      <c r="D453">
        <f>L453</f>
        <v/>
      </c>
      <c r="E453">
        <f>SUMIFS(J:J, G:G,             A453, H:H, B453, L:L, L453)</f>
        <v/>
      </c>
      <c r="F453" t="inlineStr">
        <is>
          <t>PH0019</t>
        </is>
      </c>
      <c r="G453" t="inlineStr">
        <is>
          <t>Laxa Jeff</t>
        </is>
      </c>
      <c r="H453" t="inlineStr">
        <is>
          <t>TCNz002PH:Waiting for requests</t>
        </is>
      </c>
      <c r="I453" s="1" t="n">
        <v>45953</v>
      </c>
      <c r="J453" t="n">
        <v>0.25</v>
      </c>
      <c r="K453" t="inlineStr">
        <is>
          <t>Reviewing spec</t>
        </is>
      </c>
      <c r="L453">
        <f>IFERROR(LEFT(K453,             FIND(",", K453) - 1), "-")</f>
        <v/>
      </c>
      <c r="M453">
        <f>IFERROR(MID(K453,             FIND(",", K453) + 1, LEN(K453) - FIND(",", K453)), K453)</f>
        <v/>
      </c>
      <c r="N453" t="n">
        <v>5</v>
      </c>
      <c r="P453" t="inlineStr">
        <is>
          <t>09:15</t>
        </is>
      </c>
      <c r="Q453" t="inlineStr">
        <is>
          <t>09:30</t>
        </is>
      </c>
    </row>
    <row r="454">
      <c r="A454" t="inlineStr">
        <is>
          <t>Laxa Jeff</t>
        </is>
      </c>
      <c r="B454" t="inlineStr">
        <is>
          <t>TCNz002PH:Waiting for requests</t>
        </is>
      </c>
      <c r="D454">
        <f>L454</f>
        <v/>
      </c>
      <c r="E454">
        <f>SUMIFS(J:J, G:G,             A454, H:H, B454, L:L, L454)</f>
        <v/>
      </c>
      <c r="F454" t="inlineStr">
        <is>
          <t>PH0019</t>
        </is>
      </c>
      <c r="G454" t="inlineStr">
        <is>
          <t>Laxa Jeff</t>
        </is>
      </c>
      <c r="H454" t="inlineStr">
        <is>
          <t>TCNz002PH:Waiting for requests</t>
        </is>
      </c>
      <c r="I454" s="1" t="n">
        <v>45953</v>
      </c>
      <c r="J454" t="n">
        <v>0.5</v>
      </c>
      <c r="K454" t="inlineStr">
        <is>
          <t>Reviewing spec</t>
        </is>
      </c>
      <c r="L454">
        <f>IFERROR(LEFT(K454,             FIND(",", K454) - 1), "-")</f>
        <v/>
      </c>
      <c r="M454">
        <f>IFERROR(MID(K454,             FIND(",", K454) + 1, LEN(K454) - FIND(",", K454)), K454)</f>
        <v/>
      </c>
      <c r="N454" t="n">
        <v>5</v>
      </c>
      <c r="P454" t="inlineStr">
        <is>
          <t>10:30</t>
        </is>
      </c>
      <c r="Q454" t="inlineStr">
        <is>
          <t>11:00</t>
        </is>
      </c>
    </row>
    <row r="455">
      <c r="A455" t="inlineStr">
        <is>
          <t>Laxa Jeff</t>
        </is>
      </c>
      <c r="B455" t="inlineStr">
        <is>
          <t>TCNz002PH:Waiting for requests</t>
        </is>
      </c>
      <c r="D455">
        <f>L455</f>
        <v/>
      </c>
      <c r="E455">
        <f>SUMIFS(J:J, G:G,             A455, H:H, B455, L:L, L455)</f>
        <v/>
      </c>
      <c r="F455" t="inlineStr">
        <is>
          <t>PH0019</t>
        </is>
      </c>
      <c r="G455" t="inlineStr">
        <is>
          <t>Laxa Jeff</t>
        </is>
      </c>
      <c r="H455" t="inlineStr">
        <is>
          <t>TCNz002PH:Waiting for requests</t>
        </is>
      </c>
      <c r="I455" s="1" t="n">
        <v>45953</v>
      </c>
      <c r="J455" t="n">
        <v>0.25</v>
      </c>
      <c r="K455" t="inlineStr">
        <is>
          <t>Reviewing spec</t>
        </is>
      </c>
      <c r="L455">
        <f>IFERROR(LEFT(K455,             FIND(",", K455) - 1), "-")</f>
        <v/>
      </c>
      <c r="M455">
        <f>IFERROR(MID(K455,             FIND(",", K455) + 1, LEN(K455) - FIND(",", K455)), K455)</f>
        <v/>
      </c>
      <c r="N455" t="n">
        <v>5</v>
      </c>
      <c r="P455" t="inlineStr">
        <is>
          <t>12:00</t>
        </is>
      </c>
      <c r="Q455" t="inlineStr">
        <is>
          <t>12:15</t>
        </is>
      </c>
    </row>
    <row r="456">
      <c r="A456" t="inlineStr">
        <is>
          <t>Laxa Jeff</t>
        </is>
      </c>
      <c r="B456" t="inlineStr">
        <is>
          <t>TCNz002PH:Waiting for requests</t>
        </is>
      </c>
      <c r="D456">
        <f>L456</f>
        <v/>
      </c>
      <c r="E456">
        <f>SUMIFS(J:J, G:G,             A456, H:H, B456, L:L, L456)</f>
        <v/>
      </c>
      <c r="F456" t="inlineStr">
        <is>
          <t>PH0019</t>
        </is>
      </c>
      <c r="G456" t="inlineStr">
        <is>
          <t>Laxa Jeff</t>
        </is>
      </c>
      <c r="H456" t="inlineStr">
        <is>
          <t>TCNz002PH:Waiting for requests</t>
        </is>
      </c>
      <c r="I456" s="1" t="n">
        <v>45953</v>
      </c>
      <c r="J456" t="n">
        <v>1</v>
      </c>
      <c r="K456" t="inlineStr">
        <is>
          <t>Reviewing spec</t>
        </is>
      </c>
      <c r="L456">
        <f>IFERROR(LEFT(K456,             FIND(",", K456) - 1), "-")</f>
        <v/>
      </c>
      <c r="M456">
        <f>IFERROR(MID(K456,             FIND(",", K456) + 1, LEN(K456) - FIND(",", K456)), K456)</f>
        <v/>
      </c>
      <c r="N456" t="n">
        <v>5</v>
      </c>
      <c r="P456" t="inlineStr">
        <is>
          <t>13:00</t>
        </is>
      </c>
      <c r="Q456" t="inlineStr">
        <is>
          <t>14:00</t>
        </is>
      </c>
    </row>
    <row r="457">
      <c r="A457" t="inlineStr">
        <is>
          <t>Laxa Jeff</t>
        </is>
      </c>
      <c r="B457" t="inlineStr">
        <is>
          <t>TCNz002PH:Waiting for requests</t>
        </is>
      </c>
      <c r="D457">
        <f>L457</f>
        <v/>
      </c>
      <c r="E457">
        <f>SUMIFS(J:J, G:G,             A457, H:H, B457, L:L, L457)</f>
        <v/>
      </c>
      <c r="F457" t="inlineStr">
        <is>
          <t>PH0019</t>
        </is>
      </c>
      <c r="G457" t="inlineStr">
        <is>
          <t>Laxa Jeff</t>
        </is>
      </c>
      <c r="H457" t="inlineStr">
        <is>
          <t>TCNz002PH:Waiting for requests</t>
        </is>
      </c>
      <c r="I457" s="1" t="n">
        <v>45953</v>
      </c>
      <c r="J457" t="n">
        <v>0.75</v>
      </c>
      <c r="K457" t="inlineStr">
        <is>
          <t>Reviewing spec</t>
        </is>
      </c>
      <c r="L457">
        <f>IFERROR(LEFT(K457,             FIND(",", K457) - 1), "-")</f>
        <v/>
      </c>
      <c r="M457">
        <f>IFERROR(MID(K457,             FIND(",", K457) + 1, LEN(K457) - FIND(",", K457)), K457)</f>
        <v/>
      </c>
      <c r="N457" t="n">
        <v>5</v>
      </c>
      <c r="P457" t="inlineStr">
        <is>
          <t>15:30</t>
        </is>
      </c>
      <c r="Q457" t="inlineStr">
        <is>
          <t>16:15</t>
        </is>
      </c>
    </row>
    <row r="458">
      <c r="A458" t="inlineStr">
        <is>
          <t>Laxa Jeff</t>
        </is>
      </c>
      <c r="B458" t="inlineStr">
        <is>
          <t>TCNz004PH:SMS NewDev</t>
        </is>
      </c>
      <c r="C458">
        <f>SUMIFS(J:J, G:G,             A458, H:H, B458)</f>
        <v/>
      </c>
      <c r="D458">
        <f>L458</f>
        <v/>
      </c>
      <c r="E458">
        <f>SUMIFS(J:J, G:G,             A458, H:H, B458, L:L, L458)</f>
        <v/>
      </c>
      <c r="F458" t="inlineStr">
        <is>
          <t>PH0019</t>
        </is>
      </c>
      <c r="G458" t="inlineStr">
        <is>
          <t>Laxa Jeff</t>
        </is>
      </c>
      <c r="H458" t="inlineStr">
        <is>
          <t>TCNz004PH:SMS NewDev</t>
        </is>
      </c>
      <c r="I458" s="1" t="n">
        <v>45940</v>
      </c>
      <c r="J458" t="n">
        <v>0.75</v>
      </c>
      <c r="L458">
        <f>IFERROR(LEFT(K458,             FIND(",", K458) - 1), "-")</f>
        <v/>
      </c>
      <c r="M458">
        <f>IFERROR(MID(K458,             FIND(",", K458) + 1, LEN(K458) - FIND(",", K458)), K458)</f>
        <v/>
      </c>
      <c r="P458" t="inlineStr">
        <is>
          <t>13:45</t>
        </is>
      </c>
      <c r="Q458" t="inlineStr">
        <is>
          <t>14:30</t>
        </is>
      </c>
    </row>
    <row r="459">
      <c r="A459" t="inlineStr">
        <is>
          <t>Laxa Jeff</t>
        </is>
      </c>
      <c r="B459" t="inlineStr">
        <is>
          <t>TCNz004PH:SMS NewDev</t>
        </is>
      </c>
      <c r="D459">
        <f>L459</f>
        <v/>
      </c>
      <c r="E459">
        <f>SUMIFS(J:J, G:G,             A459, H:H, B459, L:L, L459)</f>
        <v/>
      </c>
      <c r="F459" t="inlineStr">
        <is>
          <t>PH0019</t>
        </is>
      </c>
      <c r="G459" t="inlineStr">
        <is>
          <t>Laxa Jeff</t>
        </is>
      </c>
      <c r="H459" t="inlineStr">
        <is>
          <t>TCNz004PH:SMS NewDev</t>
        </is>
      </c>
      <c r="I459" s="1" t="n">
        <v>45943</v>
      </c>
      <c r="J459" t="n">
        <v>0.5</v>
      </c>
      <c r="L459">
        <f>IFERROR(LEFT(K459,             FIND(",", K459) - 1), "-")</f>
        <v/>
      </c>
      <c r="M459">
        <f>IFERROR(MID(K459,             FIND(",", K459) + 1, LEN(K459) - FIND(",", K459)), K459)</f>
        <v/>
      </c>
      <c r="P459" t="inlineStr">
        <is>
          <t>08:00</t>
        </is>
      </c>
      <c r="Q459" t="inlineStr">
        <is>
          <t>08:30</t>
        </is>
      </c>
    </row>
    <row r="460">
      <c r="A460" t="inlineStr">
        <is>
          <t>Laxa Jeff</t>
        </is>
      </c>
      <c r="B460" t="inlineStr">
        <is>
          <t>TCNz004PH:SMS NewDev</t>
        </is>
      </c>
      <c r="D460">
        <f>L460</f>
        <v/>
      </c>
      <c r="E460">
        <f>SUMIFS(J:J, G:G,             A460, H:H, B460, L:L, L460)</f>
        <v/>
      </c>
      <c r="F460" t="inlineStr">
        <is>
          <t>PH0019</t>
        </is>
      </c>
      <c r="G460" t="inlineStr">
        <is>
          <t>Laxa Jeff</t>
        </is>
      </c>
      <c r="H460" t="inlineStr">
        <is>
          <t>TCNz004PH:SMS NewDev</t>
        </is>
      </c>
      <c r="I460" s="1" t="n">
        <v>45947</v>
      </c>
      <c r="J460" t="n">
        <v>0.25</v>
      </c>
      <c r="L460">
        <f>IFERROR(LEFT(K460,             FIND(",", K460) - 1), "-")</f>
        <v/>
      </c>
      <c r="M460">
        <f>IFERROR(MID(K460,             FIND(",", K460) + 1, LEN(K460) - FIND(",", K460)), K460)</f>
        <v/>
      </c>
      <c r="P460" t="inlineStr">
        <is>
          <t>10:15</t>
        </is>
      </c>
      <c r="Q460" t="inlineStr">
        <is>
          <t>10:30</t>
        </is>
      </c>
    </row>
    <row r="461">
      <c r="A461" t="inlineStr">
        <is>
          <t>Laxa Jeff</t>
        </is>
      </c>
      <c r="B461" t="inlineStr">
        <is>
          <t>WAKS001PH:Wakeup support</t>
        </is>
      </c>
      <c r="C461">
        <f>SUMIFS(J:J, G:G,             A461, H:H, B461)</f>
        <v/>
      </c>
      <c r="D461">
        <f>L461</f>
        <v/>
      </c>
      <c r="E461">
        <f>SUMIFS(J:J, G:G,             A461, H:H, B461, L:L, L461)</f>
        <v/>
      </c>
      <c r="F461" t="inlineStr">
        <is>
          <t>PH0019</t>
        </is>
      </c>
      <c r="G461" t="inlineStr">
        <is>
          <t>Laxa Jeff</t>
        </is>
      </c>
      <c r="H461" t="inlineStr">
        <is>
          <t>WAKS001PH:Wakeup support</t>
        </is>
      </c>
      <c r="I461" s="1" t="n">
        <v>45932</v>
      </c>
      <c r="J461" t="n">
        <v>0.25</v>
      </c>
      <c r="L461">
        <f>IFERROR(LEFT(K461,             FIND(",", K461) - 1), "-")</f>
        <v/>
      </c>
      <c r="M461">
        <f>IFERROR(MID(K461,             FIND(",", K461) + 1, LEN(K461) - FIND(",", K461)), K461)</f>
        <v/>
      </c>
      <c r="N461" t="n">
        <v>1</v>
      </c>
      <c r="P461" t="inlineStr">
        <is>
          <t>16:30</t>
        </is>
      </c>
      <c r="Q461" t="inlineStr">
        <is>
          <t>16:45</t>
        </is>
      </c>
    </row>
    <row r="462">
      <c r="A462" t="inlineStr">
        <is>
          <t>Laxa Jeff</t>
        </is>
      </c>
      <c r="B462" t="inlineStr">
        <is>
          <t>WAKS001PH:Wakeup support</t>
        </is>
      </c>
      <c r="D462">
        <f>L462</f>
        <v/>
      </c>
      <c r="E462">
        <f>SUMIFS(J:J, G:G,             A462, H:H, B462, L:L, L462)</f>
        <v/>
      </c>
      <c r="F462" t="inlineStr">
        <is>
          <t>PH0019</t>
        </is>
      </c>
      <c r="G462" t="inlineStr">
        <is>
          <t>Laxa Jeff</t>
        </is>
      </c>
      <c r="H462" t="inlineStr">
        <is>
          <t>WAKS001PH:Wakeup support</t>
        </is>
      </c>
      <c r="I462" s="1" t="n">
        <v>45938</v>
      </c>
      <c r="J462" t="n">
        <v>1.25</v>
      </c>
      <c r="L462">
        <f>IFERROR(LEFT(K462,             FIND(",", K462) - 1), "-")</f>
        <v/>
      </c>
      <c r="M462">
        <f>IFERROR(MID(K462,             FIND(",", K462) + 1, LEN(K462) - FIND(",", K462)), K462)</f>
        <v/>
      </c>
      <c r="N462" t="n">
        <v>1</v>
      </c>
      <c r="P462" t="inlineStr">
        <is>
          <t>15:30</t>
        </is>
      </c>
      <c r="Q462" t="inlineStr">
        <is>
          <t>16:45</t>
        </is>
      </c>
    </row>
    <row r="463">
      <c r="A463" t="inlineStr">
        <is>
          <t>Laxa Jeff</t>
        </is>
      </c>
      <c r="B463" t="inlineStr">
        <is>
          <t>ZZZs001PH:Support in general</t>
        </is>
      </c>
      <c r="C463">
        <f>SUMIFS(J:J, G:G,             A463, H:H, B463)</f>
        <v/>
      </c>
      <c r="D463">
        <f>L463</f>
        <v/>
      </c>
      <c r="E463">
        <f>SUMIFS(J:J, G:G,             A463, H:H, B463, L:L, L463)</f>
        <v/>
      </c>
      <c r="F463" t="inlineStr">
        <is>
          <t>PH0019</t>
        </is>
      </c>
      <c r="G463" t="inlineStr">
        <is>
          <t>Laxa Jeff</t>
        </is>
      </c>
      <c r="H463" t="inlineStr">
        <is>
          <t>ZZZs001PH:Support in general</t>
        </is>
      </c>
      <c r="I463" s="1" t="n">
        <v>45931</v>
      </c>
      <c r="J463" t="n">
        <v>1.5</v>
      </c>
      <c r="L463">
        <f>IFERROR(LEFT(K463,             FIND(",", K463) - 1), "-")</f>
        <v/>
      </c>
      <c r="M463">
        <f>IFERROR(MID(K463,             FIND(",", K463) + 1, LEN(K463) - FIND(",", K463)), K463)</f>
        <v/>
      </c>
      <c r="N463" t="n">
        <v>3</v>
      </c>
      <c r="P463" t="inlineStr">
        <is>
          <t>08:00</t>
        </is>
      </c>
      <c r="Q463" t="inlineStr">
        <is>
          <t>09:30</t>
        </is>
      </c>
    </row>
    <row r="464">
      <c r="A464" t="inlineStr">
        <is>
          <t>Laxa Jeff</t>
        </is>
      </c>
      <c r="B464" t="inlineStr">
        <is>
          <t>ZZZs001PH:Support in general</t>
        </is>
      </c>
      <c r="D464">
        <f>L464</f>
        <v/>
      </c>
      <c r="E464">
        <f>SUMIFS(J:J, G:G,             A464, H:H, B464, L:L, L464)</f>
        <v/>
      </c>
      <c r="F464" t="inlineStr">
        <is>
          <t>PH0019</t>
        </is>
      </c>
      <c r="G464" t="inlineStr">
        <is>
          <t>Laxa Jeff</t>
        </is>
      </c>
      <c r="H464" t="inlineStr">
        <is>
          <t>ZZZs001PH:Support in general</t>
        </is>
      </c>
      <c r="I464" s="1" t="n">
        <v>45931</v>
      </c>
      <c r="J464" t="n">
        <v>0.25</v>
      </c>
      <c r="L464">
        <f>IFERROR(LEFT(K464,             FIND(",", K464) - 1), "-")</f>
        <v/>
      </c>
      <c r="M464">
        <f>IFERROR(MID(K464,             FIND(",", K464) + 1, LEN(K464) - FIND(",", K464)), K464)</f>
        <v/>
      </c>
      <c r="N464" t="n">
        <v>3</v>
      </c>
      <c r="P464" t="inlineStr">
        <is>
          <t>15:00</t>
        </is>
      </c>
      <c r="Q464" t="inlineStr">
        <is>
          <t>15:15</t>
        </is>
      </c>
    </row>
    <row r="465">
      <c r="A465" t="inlineStr">
        <is>
          <t>Laxa Jeff</t>
        </is>
      </c>
      <c r="B465" t="inlineStr">
        <is>
          <t>ZZZs001PH:Support in general</t>
        </is>
      </c>
      <c r="D465">
        <f>L465</f>
        <v/>
      </c>
      <c r="E465">
        <f>SUMIFS(J:J, G:G,             A465, H:H, B465, L:L, L465)</f>
        <v/>
      </c>
      <c r="F465" t="inlineStr">
        <is>
          <t>PH0019</t>
        </is>
      </c>
      <c r="G465" t="inlineStr">
        <is>
          <t>Laxa Jeff</t>
        </is>
      </c>
      <c r="H465" t="inlineStr">
        <is>
          <t>ZZZs001PH:Support in general</t>
        </is>
      </c>
      <c r="I465" s="1" t="n">
        <v>45932</v>
      </c>
      <c r="J465" t="n">
        <v>0.5</v>
      </c>
      <c r="L465">
        <f>IFERROR(LEFT(K465,             FIND(",", K465) - 1), "-")</f>
        <v/>
      </c>
      <c r="M465">
        <f>IFERROR(MID(K465,             FIND(",", K465) + 1, LEN(K465) - FIND(",", K465)), K465)</f>
        <v/>
      </c>
      <c r="N465" t="n">
        <v>1</v>
      </c>
      <c r="P465" t="inlineStr">
        <is>
          <t>09:00</t>
        </is>
      </c>
      <c r="Q465" t="inlineStr">
        <is>
          <t>09:30</t>
        </is>
      </c>
    </row>
    <row r="466">
      <c r="A466" t="inlineStr">
        <is>
          <t>Laxa Jeff</t>
        </is>
      </c>
      <c r="B466" t="inlineStr">
        <is>
          <t>ZZZs001PH:Support in general</t>
        </is>
      </c>
      <c r="D466">
        <f>L466</f>
        <v/>
      </c>
      <c r="E466">
        <f>SUMIFS(J:J, G:G,             A466, H:H, B466, L:L, L466)</f>
        <v/>
      </c>
      <c r="F466" t="inlineStr">
        <is>
          <t>PH0019</t>
        </is>
      </c>
      <c r="G466" t="inlineStr">
        <is>
          <t>Laxa Jeff</t>
        </is>
      </c>
      <c r="H466" t="inlineStr">
        <is>
          <t>ZZZs001PH:Support in general</t>
        </is>
      </c>
      <c r="I466" s="1" t="n">
        <v>45932</v>
      </c>
      <c r="J466" t="n">
        <v>1</v>
      </c>
      <c r="L466">
        <f>IFERROR(LEFT(K466,             FIND(",", K466) - 1), "-")</f>
        <v/>
      </c>
      <c r="M466">
        <f>IFERROR(MID(K466,             FIND(",", K466) + 1, LEN(K466) - FIND(",", K466)), K466)</f>
        <v/>
      </c>
      <c r="N466" t="n">
        <v>3</v>
      </c>
      <c r="P466" t="inlineStr">
        <is>
          <t>09:30</t>
        </is>
      </c>
      <c r="Q466" t="inlineStr">
        <is>
          <t>10:30</t>
        </is>
      </c>
    </row>
    <row r="467">
      <c r="A467" t="inlineStr">
        <is>
          <t>Laxa Jeff</t>
        </is>
      </c>
      <c r="B467" t="inlineStr">
        <is>
          <t>ZZZs001PH:Support in general</t>
        </is>
      </c>
      <c r="D467">
        <f>L467</f>
        <v/>
      </c>
      <c r="E467">
        <f>SUMIFS(J:J, G:G,             A467, H:H, B467, L:L, L467)</f>
        <v/>
      </c>
      <c r="F467" t="inlineStr">
        <is>
          <t>PH0019</t>
        </is>
      </c>
      <c r="G467" t="inlineStr">
        <is>
          <t>Laxa Jeff</t>
        </is>
      </c>
      <c r="H467" t="inlineStr">
        <is>
          <t>ZZZs001PH:Support in general</t>
        </is>
      </c>
      <c r="I467" s="1" t="n">
        <v>45932</v>
      </c>
      <c r="J467" t="n">
        <v>0.5</v>
      </c>
      <c r="L467">
        <f>IFERROR(LEFT(K467,             FIND(",", K467) - 1), "-")</f>
        <v/>
      </c>
      <c r="M467">
        <f>IFERROR(MID(K467,             FIND(",", K467) + 1, LEN(K467) - FIND(",", K467)), K467)</f>
        <v/>
      </c>
      <c r="N467" t="n">
        <v>1</v>
      </c>
      <c r="P467" t="inlineStr">
        <is>
          <t>10:30</t>
        </is>
      </c>
      <c r="Q467" t="inlineStr">
        <is>
          <t>11:00</t>
        </is>
      </c>
    </row>
    <row r="468">
      <c r="A468" t="inlineStr">
        <is>
          <t>Laxa Jeff</t>
        </is>
      </c>
      <c r="B468" t="inlineStr">
        <is>
          <t>ZZZs001PH:Support in general</t>
        </is>
      </c>
      <c r="D468">
        <f>L468</f>
        <v/>
      </c>
      <c r="E468">
        <f>SUMIFS(J:J, G:G,             A468, H:H, B468, L:L, L468)</f>
        <v/>
      </c>
      <c r="F468" t="inlineStr">
        <is>
          <t>PH0019</t>
        </is>
      </c>
      <c r="G468" t="inlineStr">
        <is>
          <t>Laxa Jeff</t>
        </is>
      </c>
      <c r="H468" t="inlineStr">
        <is>
          <t>ZZZs001PH:Support in general</t>
        </is>
      </c>
      <c r="I468" s="1" t="n">
        <v>45932</v>
      </c>
      <c r="J468" t="n">
        <v>4.5</v>
      </c>
      <c r="L468">
        <f>IFERROR(LEFT(K468,             FIND(",", K468) - 1), "-")</f>
        <v/>
      </c>
      <c r="M468">
        <f>IFERROR(MID(K468,             FIND(",", K468) + 1, LEN(K468) - FIND(",", K468)), K468)</f>
        <v/>
      </c>
      <c r="N468" t="n">
        <v>3</v>
      </c>
      <c r="P468" t="inlineStr">
        <is>
          <t>12:00</t>
        </is>
      </c>
      <c r="Q468" t="inlineStr">
        <is>
          <t>16:30</t>
        </is>
      </c>
    </row>
    <row r="469">
      <c r="A469" t="inlineStr">
        <is>
          <t>Laxa Jeff</t>
        </is>
      </c>
      <c r="B469" t="inlineStr">
        <is>
          <t>ZZZs001PH:Support in general</t>
        </is>
      </c>
      <c r="D469">
        <f>L469</f>
        <v/>
      </c>
      <c r="E469">
        <f>SUMIFS(J:J, G:G,             A469, H:H, B469, L:L, L469)</f>
        <v/>
      </c>
      <c r="F469" t="inlineStr">
        <is>
          <t>PH0019</t>
        </is>
      </c>
      <c r="G469" t="inlineStr">
        <is>
          <t>Laxa Jeff</t>
        </is>
      </c>
      <c r="H469" t="inlineStr">
        <is>
          <t>ZZZs001PH:Support in general</t>
        </is>
      </c>
      <c r="I469" s="1" t="n">
        <v>45932</v>
      </c>
      <c r="J469" t="n">
        <v>0.25</v>
      </c>
      <c r="L469">
        <f>IFERROR(LEFT(K469,             FIND(",", K469) - 1), "-")</f>
        <v/>
      </c>
      <c r="M469">
        <f>IFERROR(MID(K469,             FIND(",", K469) + 1, LEN(K469) - FIND(",", K469)), K469)</f>
        <v/>
      </c>
      <c r="N469" t="n">
        <v>1</v>
      </c>
      <c r="P469" t="inlineStr">
        <is>
          <t>16:45</t>
        </is>
      </c>
      <c r="Q469" t="inlineStr">
        <is>
          <t>17:00</t>
        </is>
      </c>
    </row>
    <row r="470">
      <c r="A470" t="inlineStr">
        <is>
          <t>Laxa Jeff</t>
        </is>
      </c>
      <c r="B470" t="inlineStr">
        <is>
          <t>ZZZs001PH:Support in general</t>
        </is>
      </c>
      <c r="D470">
        <f>L470</f>
        <v/>
      </c>
      <c r="E470">
        <f>SUMIFS(J:J, G:G,             A470, H:H, B470, L:L, L470)</f>
        <v/>
      </c>
      <c r="F470" t="inlineStr">
        <is>
          <t>PH0019</t>
        </is>
      </c>
      <c r="G470" t="inlineStr">
        <is>
          <t>Laxa Jeff</t>
        </is>
      </c>
      <c r="H470" t="inlineStr">
        <is>
          <t>ZZZs001PH:Support in general</t>
        </is>
      </c>
      <c r="I470" s="1" t="n">
        <v>45933</v>
      </c>
      <c r="J470" t="n">
        <v>0.25</v>
      </c>
      <c r="L470">
        <f>IFERROR(LEFT(K470,             FIND(",", K470) - 1), "-")</f>
        <v/>
      </c>
      <c r="M470">
        <f>IFERROR(MID(K470,             FIND(",", K470) + 1, LEN(K470) - FIND(",", K470)), K470)</f>
        <v/>
      </c>
      <c r="N470" t="n">
        <v>1</v>
      </c>
      <c r="P470" t="inlineStr">
        <is>
          <t>08:00</t>
        </is>
      </c>
      <c r="Q470" t="inlineStr">
        <is>
          <t>08:15</t>
        </is>
      </c>
    </row>
    <row r="471">
      <c r="A471" t="inlineStr">
        <is>
          <t>Laxa Jeff</t>
        </is>
      </c>
      <c r="B471" t="inlineStr">
        <is>
          <t>ZZZs001PH:Support in general</t>
        </is>
      </c>
      <c r="D471">
        <f>L471</f>
        <v/>
      </c>
      <c r="E471">
        <f>SUMIFS(J:J, G:G,             A471, H:H, B471, L:L, L471)</f>
        <v/>
      </c>
      <c r="F471" t="inlineStr">
        <is>
          <t>PH0019</t>
        </is>
      </c>
      <c r="G471" t="inlineStr">
        <is>
          <t>Laxa Jeff</t>
        </is>
      </c>
      <c r="H471" t="inlineStr">
        <is>
          <t>ZZZs001PH:Support in general</t>
        </is>
      </c>
      <c r="I471" s="1" t="n">
        <v>45940</v>
      </c>
      <c r="J471" t="n">
        <v>0.25</v>
      </c>
      <c r="L471">
        <f>IFERROR(LEFT(K471,             FIND(",", K471) - 1), "-")</f>
        <v/>
      </c>
      <c r="M471">
        <f>IFERROR(MID(K471,             FIND(",", K471) + 1, LEN(K471) - FIND(",", K471)), K471)</f>
        <v/>
      </c>
      <c r="N471" t="n">
        <v>1</v>
      </c>
      <c r="P471" t="inlineStr">
        <is>
          <t>08:45</t>
        </is>
      </c>
      <c r="Q471" t="inlineStr">
        <is>
          <t>09:00</t>
        </is>
      </c>
    </row>
    <row r="472">
      <c r="A472" t="inlineStr">
        <is>
          <t>Laxa Jeff</t>
        </is>
      </c>
      <c r="B472" t="inlineStr">
        <is>
          <t>ZZZs001PH:Support in general</t>
        </is>
      </c>
      <c r="D472">
        <f>L472</f>
        <v/>
      </c>
      <c r="E472">
        <f>SUMIFS(J:J, G:G,             A472, H:H, B472, L:L, L472)</f>
        <v/>
      </c>
      <c r="F472" t="inlineStr">
        <is>
          <t>PH0019</t>
        </is>
      </c>
      <c r="G472" t="inlineStr">
        <is>
          <t>Laxa Jeff</t>
        </is>
      </c>
      <c r="H472" t="inlineStr">
        <is>
          <t>ZZZs001PH:Support in general</t>
        </is>
      </c>
      <c r="I472" s="1" t="n">
        <v>45940</v>
      </c>
      <c r="J472" t="n">
        <v>0.25</v>
      </c>
      <c r="L472">
        <f>IFERROR(LEFT(K472,             FIND(",", K472) - 1), "-")</f>
        <v/>
      </c>
      <c r="M472">
        <f>IFERROR(MID(K472,             FIND(",", K472) + 1, LEN(K472) - FIND(",", K472)), K472)</f>
        <v/>
      </c>
      <c r="N472" t="n">
        <v>1</v>
      </c>
      <c r="P472" t="inlineStr">
        <is>
          <t>09:45</t>
        </is>
      </c>
      <c r="Q472" t="inlineStr">
        <is>
          <t>10:00</t>
        </is>
      </c>
    </row>
    <row r="473">
      <c r="A473" t="inlineStr">
        <is>
          <t>Laxa Jeff</t>
        </is>
      </c>
      <c r="B473" t="inlineStr">
        <is>
          <t>ZZZs001PH:Support in general</t>
        </is>
      </c>
      <c r="D473">
        <f>L473</f>
        <v/>
      </c>
      <c r="E473">
        <f>SUMIFS(J:J, G:G,             A473, H:H, B473, L:L, L473)</f>
        <v/>
      </c>
      <c r="F473" t="inlineStr">
        <is>
          <t>PH0019</t>
        </is>
      </c>
      <c r="G473" t="inlineStr">
        <is>
          <t>Laxa Jeff</t>
        </is>
      </c>
      <c r="H473" t="inlineStr">
        <is>
          <t>ZZZs001PH:Support in general</t>
        </is>
      </c>
      <c r="I473" s="1" t="n">
        <v>45940</v>
      </c>
      <c r="J473" t="n">
        <v>0.5</v>
      </c>
      <c r="L473">
        <f>IFERROR(LEFT(K473,             FIND(",", K473) - 1), "-")</f>
        <v/>
      </c>
      <c r="M473">
        <f>IFERROR(MID(K473,             FIND(",", K473) + 1, LEN(K473) - FIND(",", K473)), K473)</f>
        <v/>
      </c>
      <c r="N473" t="n">
        <v>1</v>
      </c>
      <c r="P473" t="inlineStr">
        <is>
          <t>10:30</t>
        </is>
      </c>
      <c r="Q473" t="inlineStr">
        <is>
          <t>11:00</t>
        </is>
      </c>
    </row>
    <row r="474">
      <c r="A474" t="inlineStr">
        <is>
          <t>Laxa Jeff</t>
        </is>
      </c>
      <c r="B474" t="inlineStr">
        <is>
          <t>ZZZs001PH:Support in general</t>
        </is>
      </c>
      <c r="D474">
        <f>L474</f>
        <v/>
      </c>
      <c r="E474">
        <f>SUMIFS(J:J, G:G,             A474, H:H, B474, L:L, L474)</f>
        <v/>
      </c>
      <c r="F474" t="inlineStr">
        <is>
          <t>PH0019</t>
        </is>
      </c>
      <c r="G474" t="inlineStr">
        <is>
          <t>Laxa Jeff</t>
        </is>
      </c>
      <c r="H474" t="inlineStr">
        <is>
          <t>ZZZs001PH:Support in general</t>
        </is>
      </c>
      <c r="I474" s="1" t="n">
        <v>45940</v>
      </c>
      <c r="J474" t="n">
        <v>0.5</v>
      </c>
      <c r="L474">
        <f>IFERROR(LEFT(K474,             FIND(",", K474) - 1), "-")</f>
        <v/>
      </c>
      <c r="M474">
        <f>IFERROR(MID(K474,             FIND(",", K474) + 1, LEN(K474) - FIND(",", K474)), K474)</f>
        <v/>
      </c>
      <c r="N474" t="n">
        <v>1</v>
      </c>
      <c r="P474" t="inlineStr">
        <is>
          <t>12:00</t>
        </is>
      </c>
      <c r="Q474" t="inlineStr">
        <is>
          <t>12:30</t>
        </is>
      </c>
    </row>
    <row r="475">
      <c r="A475" t="inlineStr">
        <is>
          <t>Laxa Jeff</t>
        </is>
      </c>
      <c r="B475" t="inlineStr">
        <is>
          <t>ZZZs001PH:Support in general</t>
        </is>
      </c>
      <c r="D475">
        <f>L475</f>
        <v/>
      </c>
      <c r="E475">
        <f>SUMIFS(J:J, G:G,             A475, H:H, B475, L:L, L475)</f>
        <v/>
      </c>
      <c r="F475" t="inlineStr">
        <is>
          <t>PH0019</t>
        </is>
      </c>
      <c r="G475" t="inlineStr">
        <is>
          <t>Laxa Jeff</t>
        </is>
      </c>
      <c r="H475" t="inlineStr">
        <is>
          <t>ZZZs001PH:Support in general</t>
        </is>
      </c>
      <c r="I475" s="1" t="n">
        <v>45944</v>
      </c>
      <c r="J475" t="n">
        <v>0.5</v>
      </c>
      <c r="L475">
        <f>IFERROR(LEFT(K475,             FIND(",", K475) - 1), "-")</f>
        <v/>
      </c>
      <c r="M475">
        <f>IFERROR(MID(K475,             FIND(",", K475) + 1, LEN(K475) - FIND(",", K475)), K475)</f>
        <v/>
      </c>
      <c r="N475" t="n">
        <v>1</v>
      </c>
      <c r="P475" t="inlineStr">
        <is>
          <t>09:45</t>
        </is>
      </c>
      <c r="Q475" t="inlineStr">
        <is>
          <t>10:15</t>
        </is>
      </c>
    </row>
    <row r="476">
      <c r="A476" t="inlineStr">
        <is>
          <t>Laxa Jeff</t>
        </is>
      </c>
      <c r="B476" t="inlineStr">
        <is>
          <t>ZZZs001PH:Support in general</t>
        </is>
      </c>
      <c r="D476">
        <f>L476</f>
        <v/>
      </c>
      <c r="E476">
        <f>SUMIFS(J:J, G:G,             A476, H:H, B476, L:L, L476)</f>
        <v/>
      </c>
      <c r="F476" t="inlineStr">
        <is>
          <t>PH0019</t>
        </is>
      </c>
      <c r="G476" t="inlineStr">
        <is>
          <t>Laxa Jeff</t>
        </is>
      </c>
      <c r="H476" t="inlineStr">
        <is>
          <t>ZZZs001PH:Support in general</t>
        </is>
      </c>
      <c r="I476" s="1" t="n">
        <v>45945</v>
      </c>
      <c r="J476" t="n">
        <v>1.25</v>
      </c>
      <c r="L476">
        <f>IFERROR(LEFT(K476,             FIND(",", K476) - 1), "-")</f>
        <v/>
      </c>
      <c r="M476">
        <f>IFERROR(MID(K476,             FIND(",", K476) + 1, LEN(K476) - FIND(",", K476)), K476)</f>
        <v/>
      </c>
      <c r="N476" t="n">
        <v>1</v>
      </c>
      <c r="P476" t="inlineStr">
        <is>
          <t>09:45</t>
        </is>
      </c>
      <c r="Q476" t="inlineStr">
        <is>
          <t>11:00</t>
        </is>
      </c>
    </row>
    <row r="477">
      <c r="A477" t="inlineStr">
        <is>
          <t>Laxa Jeff</t>
        </is>
      </c>
      <c r="B477" t="inlineStr">
        <is>
          <t>ZZZs001PH:Support in general</t>
        </is>
      </c>
      <c r="D477">
        <f>L477</f>
        <v/>
      </c>
      <c r="E477">
        <f>SUMIFS(J:J, G:G,             A477, H:H, B477, L:L, L477)</f>
        <v/>
      </c>
      <c r="F477" t="inlineStr">
        <is>
          <t>PH0019</t>
        </is>
      </c>
      <c r="G477" t="inlineStr">
        <is>
          <t>Laxa Jeff</t>
        </is>
      </c>
      <c r="H477" t="inlineStr">
        <is>
          <t>ZZZs001PH:Support in general</t>
        </is>
      </c>
      <c r="I477" s="1" t="n">
        <v>45945</v>
      </c>
      <c r="J477" t="n">
        <v>1</v>
      </c>
      <c r="L477">
        <f>IFERROR(LEFT(K477,             FIND(",", K477) - 1), "-")</f>
        <v/>
      </c>
      <c r="M477">
        <f>IFERROR(MID(K477,             FIND(",", K477) + 1, LEN(K477) - FIND(",", K477)), K477)</f>
        <v/>
      </c>
      <c r="N477" t="n">
        <v>1</v>
      </c>
      <c r="P477" t="inlineStr">
        <is>
          <t>15:30</t>
        </is>
      </c>
      <c r="Q477" t="inlineStr">
        <is>
          <t>16:30</t>
        </is>
      </c>
    </row>
    <row r="478">
      <c r="A478" t="inlineStr">
        <is>
          <t>Manansala Janine</t>
        </is>
      </c>
      <c r="B478" t="inlineStr">
        <is>
          <t xml:space="preserve">ANAs001PH:ANASupport　　　</t>
        </is>
      </c>
      <c r="C478">
        <f>SUMIFS(J:J, G:G,             A478, H:H, B478)</f>
        <v/>
      </c>
      <c r="D478">
        <f>L478</f>
        <v/>
      </c>
      <c r="E478">
        <f>SUMIFS(J:J, G:G,             A478, H:H, B478, L:L, L478)</f>
        <v/>
      </c>
      <c r="F478" t="inlineStr">
        <is>
          <t>PH0028</t>
        </is>
      </c>
      <c r="G478" t="inlineStr">
        <is>
          <t>Manansala Janine</t>
        </is>
      </c>
      <c r="H478" t="inlineStr">
        <is>
          <t xml:space="preserve">ANAs001PH:ANASupport　　　</t>
        </is>
      </c>
      <c r="I478" s="1" t="n">
        <v>45931</v>
      </c>
      <c r="J478" t="n">
        <v>0.25</v>
      </c>
      <c r="K478" t="inlineStr">
        <is>
          <t>95782</t>
        </is>
      </c>
      <c r="L478">
        <f>IFERROR(LEFT(K478,             FIND(",", K478) - 1), "-")</f>
        <v/>
      </c>
      <c r="M478">
        <f>IFERROR(MID(K478,             FIND(",", K478) + 1, LEN(K478) - FIND(",", K478)), K478)</f>
        <v/>
      </c>
      <c r="N478" t="n">
        <v>1</v>
      </c>
      <c r="P478" t="inlineStr">
        <is>
          <t>08:00</t>
        </is>
      </c>
      <c r="Q478" t="inlineStr">
        <is>
          <t>08:15</t>
        </is>
      </c>
    </row>
    <row r="479">
      <c r="A479" t="inlineStr">
        <is>
          <t>Manansala Janine</t>
        </is>
      </c>
      <c r="B479" t="inlineStr">
        <is>
          <t xml:space="preserve">ANAs001PH:ANASupport　　　</t>
        </is>
      </c>
      <c r="D479">
        <f>L479</f>
        <v/>
      </c>
      <c r="E479">
        <f>SUMIFS(J:J, G:G,             A479, H:H, B479, L:L, L479)</f>
        <v/>
      </c>
      <c r="F479" t="inlineStr">
        <is>
          <t>PH0028</t>
        </is>
      </c>
      <c r="G479" t="inlineStr">
        <is>
          <t>Manansala Janine</t>
        </is>
      </c>
      <c r="H479" t="inlineStr">
        <is>
          <t xml:space="preserve">ANAs001PH:ANASupport　　　</t>
        </is>
      </c>
      <c r="I479" s="1" t="n">
        <v>45932</v>
      </c>
      <c r="J479" t="n">
        <v>0.5</v>
      </c>
      <c r="K479" t="inlineStr">
        <is>
          <t>95782</t>
        </is>
      </c>
      <c r="L479">
        <f>IFERROR(LEFT(K479,             FIND(",", K479) - 1), "-")</f>
        <v/>
      </c>
      <c r="M479">
        <f>IFERROR(MID(K479,             FIND(",", K479) + 1, LEN(K479) - FIND(",", K479)), K479)</f>
        <v/>
      </c>
      <c r="N479" t="n">
        <v>1</v>
      </c>
      <c r="P479" t="inlineStr">
        <is>
          <t>09:45</t>
        </is>
      </c>
      <c r="Q479" t="inlineStr">
        <is>
          <t>10:15</t>
        </is>
      </c>
    </row>
    <row r="480">
      <c r="A480" t="inlineStr">
        <is>
          <t>Manansala Janine</t>
        </is>
      </c>
      <c r="B480" t="inlineStr">
        <is>
          <t xml:space="preserve">ANAs001PH:ANASupport　　　</t>
        </is>
      </c>
      <c r="D480">
        <f>L480</f>
        <v/>
      </c>
      <c r="E480">
        <f>SUMIFS(J:J, G:G,             A480, H:H, B480, L:L, L480)</f>
        <v/>
      </c>
      <c r="F480" t="inlineStr">
        <is>
          <t>PH0028</t>
        </is>
      </c>
      <c r="G480" t="inlineStr">
        <is>
          <t>Manansala Janine</t>
        </is>
      </c>
      <c r="H480" t="inlineStr">
        <is>
          <t xml:space="preserve">ANAs001PH:ANASupport　　　</t>
        </is>
      </c>
      <c r="I480" s="1" t="n">
        <v>45932</v>
      </c>
      <c r="J480" t="n">
        <v>0.5</v>
      </c>
      <c r="K480" t="inlineStr">
        <is>
          <t>95782</t>
        </is>
      </c>
      <c r="L480">
        <f>IFERROR(LEFT(K480,             FIND(",", K480) - 1), "-")</f>
        <v/>
      </c>
      <c r="M480">
        <f>IFERROR(MID(K480,             FIND(",", K480) + 1, LEN(K480) - FIND(",", K480)), K480)</f>
        <v/>
      </c>
      <c r="N480" t="n">
        <v>1</v>
      </c>
      <c r="P480" t="inlineStr">
        <is>
          <t>13:15</t>
        </is>
      </c>
      <c r="Q480" t="inlineStr">
        <is>
          <t>13:45</t>
        </is>
      </c>
    </row>
    <row r="481">
      <c r="A481" t="inlineStr">
        <is>
          <t>Manansala Janine</t>
        </is>
      </c>
      <c r="B481" t="inlineStr">
        <is>
          <t xml:space="preserve">ANAs001PH:ANASupport　　　</t>
        </is>
      </c>
      <c r="D481">
        <f>L481</f>
        <v/>
      </c>
      <c r="E481">
        <f>SUMIFS(J:J, G:G,             A481, H:H, B481, L:L, L481)</f>
        <v/>
      </c>
      <c r="F481" t="inlineStr">
        <is>
          <t>PH0028</t>
        </is>
      </c>
      <c r="G481" t="inlineStr">
        <is>
          <t>Manansala Janine</t>
        </is>
      </c>
      <c r="H481" t="inlineStr">
        <is>
          <t xml:space="preserve">ANAs001PH:ANASupport　　　</t>
        </is>
      </c>
      <c r="I481" s="1" t="n">
        <v>45936</v>
      </c>
      <c r="J481" t="n">
        <v>0.25</v>
      </c>
      <c r="K481" t="inlineStr">
        <is>
          <t>95782</t>
        </is>
      </c>
      <c r="L481">
        <f>IFERROR(LEFT(K481,             FIND(",", K481) - 1), "-")</f>
        <v/>
      </c>
      <c r="M481">
        <f>IFERROR(MID(K481,             FIND(",", K481) + 1, LEN(K481) - FIND(",", K481)), K481)</f>
        <v/>
      </c>
      <c r="N481" t="n">
        <v>1</v>
      </c>
      <c r="P481" t="inlineStr">
        <is>
          <t>08:00</t>
        </is>
      </c>
      <c r="Q481" t="inlineStr">
        <is>
          <t>08:15</t>
        </is>
      </c>
    </row>
    <row r="482">
      <c r="A482" t="inlineStr">
        <is>
          <t>Manansala Janine</t>
        </is>
      </c>
      <c r="B482" t="inlineStr">
        <is>
          <t xml:space="preserve">ANAs001PH:ANASupport　　　</t>
        </is>
      </c>
      <c r="D482">
        <f>L482</f>
        <v/>
      </c>
      <c r="E482">
        <f>SUMIFS(J:J, G:G,             A482, H:H, B482, L:L, L482)</f>
        <v/>
      </c>
      <c r="F482" t="inlineStr">
        <is>
          <t>PH0028</t>
        </is>
      </c>
      <c r="G482" t="inlineStr">
        <is>
          <t>Manansala Janine</t>
        </is>
      </c>
      <c r="H482" t="inlineStr">
        <is>
          <t xml:space="preserve">ANAs001PH:ANASupport　　　</t>
        </is>
      </c>
      <c r="I482" s="1" t="n">
        <v>45936</v>
      </c>
      <c r="J482" t="n">
        <v>0.25</v>
      </c>
      <c r="K482" t="inlineStr">
        <is>
          <t>95782</t>
        </is>
      </c>
      <c r="L482">
        <f>IFERROR(LEFT(K482,             FIND(",", K482) - 1), "-")</f>
        <v/>
      </c>
      <c r="M482">
        <f>IFERROR(MID(K482,             FIND(",", K482) + 1, LEN(K482) - FIND(",", K482)), K482)</f>
        <v/>
      </c>
      <c r="N482" t="n">
        <v>1</v>
      </c>
      <c r="P482" t="inlineStr">
        <is>
          <t>10:15</t>
        </is>
      </c>
      <c r="Q482" t="inlineStr">
        <is>
          <t>10:30</t>
        </is>
      </c>
    </row>
    <row r="483">
      <c r="A483" t="inlineStr">
        <is>
          <t>Manansala Janine</t>
        </is>
      </c>
      <c r="B483" t="inlineStr">
        <is>
          <t xml:space="preserve">ANAs001PH:ANASupport　　　</t>
        </is>
      </c>
      <c r="D483">
        <f>L483</f>
        <v/>
      </c>
      <c r="E483">
        <f>SUMIFS(J:J, G:G,             A483, H:H, B483, L:L, L483)</f>
        <v/>
      </c>
      <c r="F483" t="inlineStr">
        <is>
          <t>PH0028</t>
        </is>
      </c>
      <c r="G483" t="inlineStr">
        <is>
          <t>Manansala Janine</t>
        </is>
      </c>
      <c r="H483" t="inlineStr">
        <is>
          <t xml:space="preserve">ANAs001PH:ANASupport　　　</t>
        </is>
      </c>
      <c r="I483" s="1" t="n">
        <v>45936</v>
      </c>
      <c r="J483" t="n">
        <v>0.25</v>
      </c>
      <c r="K483" t="inlineStr">
        <is>
          <t>95782</t>
        </is>
      </c>
      <c r="L483">
        <f>IFERROR(LEFT(K483,             FIND(",", K483) - 1), "-")</f>
        <v/>
      </c>
      <c r="M483">
        <f>IFERROR(MID(K483,             FIND(",", K483) + 1, LEN(K483) - FIND(",", K483)), K483)</f>
        <v/>
      </c>
      <c r="N483" t="n">
        <v>1</v>
      </c>
      <c r="P483" t="inlineStr">
        <is>
          <t>12:15</t>
        </is>
      </c>
      <c r="Q483" t="inlineStr">
        <is>
          <t>12:30</t>
        </is>
      </c>
    </row>
    <row r="484">
      <c r="A484" t="inlineStr">
        <is>
          <t>Manansala Janine</t>
        </is>
      </c>
      <c r="B484" t="inlineStr">
        <is>
          <t xml:space="preserve">ANAs001PH:ANASupport　　　</t>
        </is>
      </c>
      <c r="D484">
        <f>L484</f>
        <v/>
      </c>
      <c r="E484">
        <f>SUMIFS(J:J, G:G,             A484, H:H, B484, L:L, L484)</f>
        <v/>
      </c>
      <c r="F484" t="inlineStr">
        <is>
          <t>PH0028</t>
        </is>
      </c>
      <c r="G484" t="inlineStr">
        <is>
          <t>Manansala Janine</t>
        </is>
      </c>
      <c r="H484" t="inlineStr">
        <is>
          <t xml:space="preserve">ANAs001PH:ANASupport　　　</t>
        </is>
      </c>
      <c r="I484" s="1" t="n">
        <v>45937</v>
      </c>
      <c r="J484" t="n">
        <v>0.5</v>
      </c>
      <c r="K484" t="inlineStr">
        <is>
          <t>95782</t>
        </is>
      </c>
      <c r="L484">
        <f>IFERROR(LEFT(K484,             FIND(",", K484) - 1), "-")</f>
        <v/>
      </c>
      <c r="M484">
        <f>IFERROR(MID(K484,             FIND(",", K484) + 1, LEN(K484) - FIND(",", K484)), K484)</f>
        <v/>
      </c>
      <c r="N484" t="n">
        <v>1</v>
      </c>
      <c r="P484" t="inlineStr">
        <is>
          <t>08:00</t>
        </is>
      </c>
      <c r="Q484" t="inlineStr">
        <is>
          <t>08:30</t>
        </is>
      </c>
    </row>
    <row r="485">
      <c r="A485" t="inlineStr">
        <is>
          <t>Manansala Janine</t>
        </is>
      </c>
      <c r="B485" t="inlineStr">
        <is>
          <t xml:space="preserve">ANAs001PH:ANASupport　　　</t>
        </is>
      </c>
      <c r="D485">
        <f>L485</f>
        <v/>
      </c>
      <c r="E485">
        <f>SUMIFS(J:J, G:G,             A485, H:H, B485, L:L, L485)</f>
        <v/>
      </c>
      <c r="F485" t="inlineStr">
        <is>
          <t>PH0028</t>
        </is>
      </c>
      <c r="G485" t="inlineStr">
        <is>
          <t>Manansala Janine</t>
        </is>
      </c>
      <c r="H485" t="inlineStr">
        <is>
          <t xml:space="preserve">ANAs001PH:ANASupport　　　</t>
        </is>
      </c>
      <c r="I485" s="1" t="n">
        <v>45938</v>
      </c>
      <c r="J485" t="n">
        <v>0.25</v>
      </c>
      <c r="K485" t="inlineStr">
        <is>
          <t>95782</t>
        </is>
      </c>
      <c r="L485">
        <f>IFERROR(LEFT(K485,             FIND(",", K485) - 1), "-")</f>
        <v/>
      </c>
      <c r="M485">
        <f>IFERROR(MID(K485,             FIND(",", K485) + 1, LEN(K485) - FIND(",", K485)), K485)</f>
        <v/>
      </c>
      <c r="N485" t="n">
        <v>1</v>
      </c>
      <c r="P485" t="inlineStr">
        <is>
          <t>16:15</t>
        </is>
      </c>
      <c r="Q485" t="inlineStr">
        <is>
          <t>16:30</t>
        </is>
      </c>
    </row>
    <row r="486">
      <c r="A486" t="inlineStr">
        <is>
          <t>Manansala Janine</t>
        </is>
      </c>
      <c r="B486" t="inlineStr">
        <is>
          <t xml:space="preserve">ANAs001PH:ANASupport　　　</t>
        </is>
      </c>
      <c r="D486">
        <f>L486</f>
        <v/>
      </c>
      <c r="E486">
        <f>SUMIFS(J:J, G:G,             A486, H:H, B486, L:L, L486)</f>
        <v/>
      </c>
      <c r="F486" t="inlineStr">
        <is>
          <t>PH0028</t>
        </is>
      </c>
      <c r="G486" t="inlineStr">
        <is>
          <t>Manansala Janine</t>
        </is>
      </c>
      <c r="H486" t="inlineStr">
        <is>
          <t xml:space="preserve">ANAs001PH:ANASupport　　　</t>
        </is>
      </c>
      <c r="I486" s="1" t="n">
        <v>45937</v>
      </c>
      <c r="J486" t="n">
        <v>0.25</v>
      </c>
      <c r="K486" t="inlineStr">
        <is>
          <t>95802</t>
        </is>
      </c>
      <c r="L486">
        <f>IFERROR(LEFT(K486,             FIND(",", K486) - 1), "-")</f>
        <v/>
      </c>
      <c r="M486">
        <f>IFERROR(MID(K486,             FIND(",", K486) + 1, LEN(K486) - FIND(",", K486)), K486)</f>
        <v/>
      </c>
      <c r="N486" t="n">
        <v>1</v>
      </c>
      <c r="P486" t="inlineStr">
        <is>
          <t>13:30</t>
        </is>
      </c>
      <c r="Q486" t="inlineStr">
        <is>
          <t>13:45</t>
        </is>
      </c>
    </row>
    <row r="487">
      <c r="A487" t="inlineStr">
        <is>
          <t>Manansala Janine</t>
        </is>
      </c>
      <c r="B487" t="inlineStr">
        <is>
          <t xml:space="preserve">ANAs001PH:ANASupport　　　</t>
        </is>
      </c>
      <c r="D487">
        <f>L487</f>
        <v/>
      </c>
      <c r="E487">
        <f>SUMIFS(J:J, G:G,             A487, H:H, B487, L:L, L487)</f>
        <v/>
      </c>
      <c r="F487" t="inlineStr">
        <is>
          <t>PH0028</t>
        </is>
      </c>
      <c r="G487" t="inlineStr">
        <is>
          <t>Manansala Janine</t>
        </is>
      </c>
      <c r="H487" t="inlineStr">
        <is>
          <t xml:space="preserve">ANAs001PH:ANASupport　　　</t>
        </is>
      </c>
      <c r="I487" s="1" t="n">
        <v>45938</v>
      </c>
      <c r="J487" t="n">
        <v>0.25</v>
      </c>
      <c r="K487" t="inlineStr">
        <is>
          <t>95802</t>
        </is>
      </c>
      <c r="L487">
        <f>IFERROR(LEFT(K487,             FIND(",", K487) - 1), "-")</f>
        <v/>
      </c>
      <c r="M487">
        <f>IFERROR(MID(K487,             FIND(",", K487) + 1, LEN(K487) - FIND(",", K487)), K487)</f>
        <v/>
      </c>
      <c r="N487" t="n">
        <v>1</v>
      </c>
      <c r="P487" t="inlineStr">
        <is>
          <t>14:00</t>
        </is>
      </c>
      <c r="Q487" t="inlineStr">
        <is>
          <t>14:15</t>
        </is>
      </c>
    </row>
    <row r="488">
      <c r="A488" t="inlineStr">
        <is>
          <t>Manansala Janine</t>
        </is>
      </c>
      <c r="B488" t="inlineStr">
        <is>
          <t xml:space="preserve">ANAs001PH:ANASupport　　　</t>
        </is>
      </c>
      <c r="D488">
        <f>L488</f>
        <v/>
      </c>
      <c r="E488">
        <f>SUMIFS(J:J, G:G,             A488, H:H, B488, L:L, L488)</f>
        <v/>
      </c>
      <c r="F488" t="inlineStr">
        <is>
          <t>PH0028</t>
        </is>
      </c>
      <c r="G488" t="inlineStr">
        <is>
          <t>Manansala Janine</t>
        </is>
      </c>
      <c r="H488" t="inlineStr">
        <is>
          <t xml:space="preserve">ANAs001PH:ANASupport　　　</t>
        </is>
      </c>
      <c r="I488" s="1" t="n">
        <v>45938</v>
      </c>
      <c r="J488" t="n">
        <v>0.25</v>
      </c>
      <c r="K488" t="inlineStr">
        <is>
          <t>95802</t>
        </is>
      </c>
      <c r="L488">
        <f>IFERROR(LEFT(K488,             FIND(",", K488) - 1), "-")</f>
        <v/>
      </c>
      <c r="M488">
        <f>IFERROR(MID(K488,             FIND(",", K488) + 1, LEN(K488) - FIND(",", K488)), K488)</f>
        <v/>
      </c>
      <c r="N488" t="n">
        <v>1</v>
      </c>
      <c r="P488" t="inlineStr">
        <is>
          <t>15:00</t>
        </is>
      </c>
      <c r="Q488" t="inlineStr">
        <is>
          <t>15:15</t>
        </is>
      </c>
    </row>
    <row r="489">
      <c r="A489" t="inlineStr">
        <is>
          <t>Manansala Janine</t>
        </is>
      </c>
      <c r="B489" t="inlineStr">
        <is>
          <t xml:space="preserve">ANAs001PH:ANASupport　　　</t>
        </is>
      </c>
      <c r="D489">
        <f>L489</f>
        <v/>
      </c>
      <c r="E489">
        <f>SUMIFS(J:J, G:G,             A489, H:H, B489, L:L, L489)</f>
        <v/>
      </c>
      <c r="F489" t="inlineStr">
        <is>
          <t>PH0028</t>
        </is>
      </c>
      <c r="G489" t="inlineStr">
        <is>
          <t>Manansala Janine</t>
        </is>
      </c>
      <c r="H489" t="inlineStr">
        <is>
          <t xml:space="preserve">ANAs001PH:ANASupport　　　</t>
        </is>
      </c>
      <c r="I489" s="1" t="n">
        <v>45939</v>
      </c>
      <c r="J489" t="n">
        <v>0.25</v>
      </c>
      <c r="K489" t="inlineStr">
        <is>
          <t>95802</t>
        </is>
      </c>
      <c r="L489">
        <f>IFERROR(LEFT(K489,             FIND(",", K489) - 1), "-")</f>
        <v/>
      </c>
      <c r="M489">
        <f>IFERROR(MID(K489,             FIND(",", K489) + 1, LEN(K489) - FIND(",", K489)), K489)</f>
        <v/>
      </c>
      <c r="N489" t="n">
        <v>1</v>
      </c>
      <c r="P489" t="inlineStr">
        <is>
          <t>14:00</t>
        </is>
      </c>
      <c r="Q489" t="inlineStr">
        <is>
          <t>14:15</t>
        </is>
      </c>
    </row>
    <row r="490">
      <c r="A490" t="inlineStr">
        <is>
          <t>Manansala Janine</t>
        </is>
      </c>
      <c r="B490" t="inlineStr">
        <is>
          <t xml:space="preserve">ANAs001PH:ANASupport　　　</t>
        </is>
      </c>
      <c r="D490">
        <f>L490</f>
        <v/>
      </c>
      <c r="E490">
        <f>SUMIFS(J:J, G:G,             A490, H:H, B490, L:L, L490)</f>
        <v/>
      </c>
      <c r="F490" t="inlineStr">
        <is>
          <t>PH0028</t>
        </is>
      </c>
      <c r="G490" t="inlineStr">
        <is>
          <t>Manansala Janine</t>
        </is>
      </c>
      <c r="H490" t="inlineStr">
        <is>
          <t xml:space="preserve">ANAs001PH:ANASupport　　　</t>
        </is>
      </c>
      <c r="I490" s="1" t="n">
        <v>45944</v>
      </c>
      <c r="J490" t="n">
        <v>0.5</v>
      </c>
      <c r="K490" t="inlineStr">
        <is>
          <t>95802</t>
        </is>
      </c>
      <c r="L490">
        <f>IFERROR(LEFT(K490,             FIND(",", K490) - 1), "-")</f>
        <v/>
      </c>
      <c r="M490">
        <f>IFERROR(MID(K490,             FIND(",", K490) + 1, LEN(K490) - FIND(",", K490)), K490)</f>
        <v/>
      </c>
      <c r="N490" t="n">
        <v>1</v>
      </c>
      <c r="P490" t="inlineStr">
        <is>
          <t>10:30</t>
        </is>
      </c>
      <c r="Q490" t="inlineStr">
        <is>
          <t>11:00</t>
        </is>
      </c>
    </row>
    <row r="491">
      <c r="A491" t="inlineStr">
        <is>
          <t>Manansala Janine</t>
        </is>
      </c>
      <c r="B491" t="inlineStr">
        <is>
          <t xml:space="preserve">ANAs001PH:ANASupport　　　</t>
        </is>
      </c>
      <c r="D491">
        <f>L491</f>
        <v/>
      </c>
      <c r="E491">
        <f>SUMIFS(J:J, G:G,             A491, H:H, B491, L:L, L491)</f>
        <v/>
      </c>
      <c r="F491" t="inlineStr">
        <is>
          <t>PH0028</t>
        </is>
      </c>
      <c r="G491" t="inlineStr">
        <is>
          <t>Manansala Janine</t>
        </is>
      </c>
      <c r="H491" t="inlineStr">
        <is>
          <t xml:space="preserve">ANAs001PH:ANASupport　　　</t>
        </is>
      </c>
      <c r="I491" s="1" t="n">
        <v>45945</v>
      </c>
      <c r="J491" t="n">
        <v>0.25</v>
      </c>
      <c r="K491" t="inlineStr">
        <is>
          <t>95802</t>
        </is>
      </c>
      <c r="L491">
        <f>IFERROR(LEFT(K491,             FIND(",", K491) - 1), "-")</f>
        <v/>
      </c>
      <c r="M491">
        <f>IFERROR(MID(K491,             FIND(",", K491) + 1, LEN(K491) - FIND(",", K491)), K491)</f>
        <v/>
      </c>
      <c r="N491" t="n">
        <v>1</v>
      </c>
      <c r="P491" t="inlineStr">
        <is>
          <t>09:45</t>
        </is>
      </c>
      <c r="Q491" t="inlineStr">
        <is>
          <t>10:00</t>
        </is>
      </c>
    </row>
    <row r="492">
      <c r="A492" t="inlineStr">
        <is>
          <t>Manansala Janine</t>
        </is>
      </c>
      <c r="B492" t="inlineStr">
        <is>
          <t xml:space="preserve">ANAs001PH:ANASupport　　　</t>
        </is>
      </c>
      <c r="D492">
        <f>L492</f>
        <v/>
      </c>
      <c r="E492">
        <f>SUMIFS(J:J, G:G,             A492, H:H, B492, L:L, L492)</f>
        <v/>
      </c>
      <c r="F492" t="inlineStr">
        <is>
          <t>PH0028</t>
        </is>
      </c>
      <c r="G492" t="inlineStr">
        <is>
          <t>Manansala Janine</t>
        </is>
      </c>
      <c r="H492" t="inlineStr">
        <is>
          <t xml:space="preserve">ANAs001PH:ANASupport　　　</t>
        </is>
      </c>
      <c r="I492" s="1" t="n">
        <v>45946</v>
      </c>
      <c r="J492" t="n">
        <v>1</v>
      </c>
      <c r="K492" t="inlineStr">
        <is>
          <t>95802</t>
        </is>
      </c>
      <c r="L492">
        <f>IFERROR(LEFT(K492,             FIND(",", K492) - 1), "-")</f>
        <v/>
      </c>
      <c r="M492">
        <f>IFERROR(MID(K492,             FIND(",", K492) + 1, LEN(K492) - FIND(",", K492)), K492)</f>
        <v/>
      </c>
      <c r="N492" t="n">
        <v>1</v>
      </c>
      <c r="P492" t="inlineStr">
        <is>
          <t>08:00</t>
        </is>
      </c>
      <c r="Q492" t="inlineStr">
        <is>
          <t>09:00</t>
        </is>
      </c>
    </row>
    <row r="493">
      <c r="A493" t="inlineStr">
        <is>
          <t>Manansala Janine</t>
        </is>
      </c>
      <c r="B493" t="inlineStr">
        <is>
          <t>CIAs001PH:CHEERY Support</t>
        </is>
      </c>
      <c r="C493">
        <f>SUMIFS(J:J, G:G,             A493, H:H, B493)</f>
        <v/>
      </c>
      <c r="D493">
        <f>L493</f>
        <v/>
      </c>
      <c r="E493">
        <f>SUMIFS(J:J, G:G,             A493, H:H, B493, L:L, L493)</f>
        <v/>
      </c>
      <c r="F493" t="inlineStr">
        <is>
          <t>PH0028</t>
        </is>
      </c>
      <c r="G493" t="inlineStr">
        <is>
          <t>Manansala Janine</t>
        </is>
      </c>
      <c r="H493" t="inlineStr">
        <is>
          <t>CIAs001PH:CHEERY Support</t>
        </is>
      </c>
      <c r="I493" s="1" t="n">
        <v>45938</v>
      </c>
      <c r="J493" t="n">
        <v>0.25</v>
      </c>
      <c r="K493" t="inlineStr">
        <is>
          <t>95806</t>
        </is>
      </c>
      <c r="L493">
        <f>IFERROR(LEFT(K493,             FIND(",", K493) - 1), "-")</f>
        <v/>
      </c>
      <c r="M493">
        <f>IFERROR(MID(K493,             FIND(",", K493) + 1, LEN(K493) - FIND(",", K493)), K493)</f>
        <v/>
      </c>
      <c r="N493" t="n">
        <v>1</v>
      </c>
      <c r="P493" t="inlineStr">
        <is>
          <t>16:30</t>
        </is>
      </c>
      <c r="Q493" t="inlineStr">
        <is>
          <t>16:45</t>
        </is>
      </c>
    </row>
    <row r="494">
      <c r="A494" t="inlineStr">
        <is>
          <t>Manansala Janine</t>
        </is>
      </c>
      <c r="B494" t="inlineStr">
        <is>
          <t>CIAs001PH:CHEERY Support</t>
        </is>
      </c>
      <c r="D494">
        <f>L494</f>
        <v/>
      </c>
      <c r="E494">
        <f>SUMIFS(J:J, G:G,             A494, H:H, B494, L:L, L494)</f>
        <v/>
      </c>
      <c r="F494" t="inlineStr">
        <is>
          <t>PH0028</t>
        </is>
      </c>
      <c r="G494" t="inlineStr">
        <is>
          <t>Manansala Janine</t>
        </is>
      </c>
      <c r="H494" t="inlineStr">
        <is>
          <t>CIAs001PH:CHEERY Support</t>
        </is>
      </c>
      <c r="I494" s="1" t="n">
        <v>45938</v>
      </c>
      <c r="J494" t="n">
        <v>0.25</v>
      </c>
      <c r="K494" t="inlineStr">
        <is>
          <t>95806</t>
        </is>
      </c>
      <c r="L494">
        <f>IFERROR(LEFT(K494,             FIND(",", K494) - 1), "-")</f>
        <v/>
      </c>
      <c r="M494">
        <f>IFERROR(MID(K494,             FIND(",", K494) + 1, LEN(K494) - FIND(",", K494)), K494)</f>
        <v/>
      </c>
      <c r="N494" t="n">
        <v>3</v>
      </c>
      <c r="P494" t="inlineStr">
        <is>
          <t>16:45</t>
        </is>
      </c>
      <c r="Q494" t="inlineStr">
        <is>
          <t>17:00</t>
        </is>
      </c>
    </row>
    <row r="495">
      <c r="A495" t="inlineStr">
        <is>
          <t>Manansala Janine</t>
        </is>
      </c>
      <c r="B495" t="inlineStr">
        <is>
          <t>CIAs001PH:CHEERY Support</t>
        </is>
      </c>
      <c r="D495">
        <f>L495</f>
        <v/>
      </c>
      <c r="E495">
        <f>SUMIFS(J:J, G:G,             A495, H:H, B495, L:L, L495)</f>
        <v/>
      </c>
      <c r="F495" t="inlineStr">
        <is>
          <t>PH0028</t>
        </is>
      </c>
      <c r="G495" t="inlineStr">
        <is>
          <t>Manansala Janine</t>
        </is>
      </c>
      <c r="H495" t="inlineStr">
        <is>
          <t>CIAs001PH:CHEERY Support</t>
        </is>
      </c>
      <c r="I495" s="1" t="n">
        <v>45940</v>
      </c>
      <c r="J495" t="n">
        <v>0.25</v>
      </c>
      <c r="K495" t="inlineStr">
        <is>
          <t>95813</t>
        </is>
      </c>
      <c r="L495">
        <f>IFERROR(LEFT(K495,             FIND(",", K495) - 1), "-")</f>
        <v/>
      </c>
      <c r="M495">
        <f>IFERROR(MID(K495,             FIND(",", K495) + 1, LEN(K495) - FIND(",", K495)), K495)</f>
        <v/>
      </c>
      <c r="N495" t="n">
        <v>1</v>
      </c>
      <c r="P495" t="inlineStr">
        <is>
          <t>08:00</t>
        </is>
      </c>
      <c r="Q495" t="inlineStr">
        <is>
          <t>08:15</t>
        </is>
      </c>
    </row>
    <row r="496">
      <c r="A496" t="inlineStr">
        <is>
          <t>Manansala Janine</t>
        </is>
      </c>
      <c r="B496" t="inlineStr">
        <is>
          <t>CIAs001PH:CHEERY Support</t>
        </is>
      </c>
      <c r="D496">
        <f>L496</f>
        <v/>
      </c>
      <c r="E496">
        <f>SUMIFS(J:J, G:G,             A496, H:H, B496, L:L, L496)</f>
        <v/>
      </c>
      <c r="F496" t="inlineStr">
        <is>
          <t>PH0028</t>
        </is>
      </c>
      <c r="G496" t="inlineStr">
        <is>
          <t>Manansala Janine</t>
        </is>
      </c>
      <c r="H496" t="inlineStr">
        <is>
          <t>CIAs001PH:CHEERY Support</t>
        </is>
      </c>
      <c r="I496" s="1" t="n">
        <v>45940</v>
      </c>
      <c r="J496" t="n">
        <v>0.25</v>
      </c>
      <c r="K496" t="inlineStr">
        <is>
          <t>95813</t>
        </is>
      </c>
      <c r="L496">
        <f>IFERROR(LEFT(K496,             FIND(",", K496) - 1), "-")</f>
        <v/>
      </c>
      <c r="M496">
        <f>IFERROR(MID(K496,             FIND(",", K496) + 1, LEN(K496) - FIND(",", K496)), K496)</f>
        <v/>
      </c>
      <c r="N496" t="n">
        <v>3</v>
      </c>
      <c r="P496" t="inlineStr">
        <is>
          <t>13:00</t>
        </is>
      </c>
      <c r="Q496" t="inlineStr">
        <is>
          <t>13:15</t>
        </is>
      </c>
    </row>
    <row r="497">
      <c r="A497" t="inlineStr">
        <is>
          <t>Manansala Janine</t>
        </is>
      </c>
      <c r="B497" t="inlineStr">
        <is>
          <t>JECS001PH:Kyoikuc support</t>
        </is>
      </c>
      <c r="C497">
        <f>SUMIFS(J:J, G:G,             A497, H:H, B497)</f>
        <v/>
      </c>
      <c r="D497">
        <f>L497</f>
        <v/>
      </c>
      <c r="E497">
        <f>SUMIFS(J:J, G:G,             A497, H:H, B497, L:L, L497)</f>
        <v/>
      </c>
      <c r="F497" t="inlineStr">
        <is>
          <t>PH0028</t>
        </is>
      </c>
      <c r="G497" t="inlineStr">
        <is>
          <t>Manansala Janine</t>
        </is>
      </c>
      <c r="H497" t="inlineStr">
        <is>
          <t>JECS001PH:Kyoikuc support</t>
        </is>
      </c>
      <c r="I497" s="1" t="n">
        <v>45933</v>
      </c>
      <c r="J497" t="n">
        <v>0.5</v>
      </c>
      <c r="K497" t="inlineStr">
        <is>
          <t>95742</t>
        </is>
      </c>
      <c r="L497">
        <f>IFERROR(LEFT(K497,             FIND(",", K497) - 1), "-")</f>
        <v/>
      </c>
      <c r="M497">
        <f>IFERROR(MID(K497,             FIND(",", K497) + 1, LEN(K497) - FIND(",", K497)), K497)</f>
        <v/>
      </c>
      <c r="N497" t="n">
        <v>1</v>
      </c>
      <c r="P497" t="inlineStr">
        <is>
          <t>08:30</t>
        </is>
      </c>
      <c r="Q497" t="inlineStr">
        <is>
          <t>09:00</t>
        </is>
      </c>
    </row>
    <row r="498">
      <c r="A498" t="inlineStr">
        <is>
          <t>Manansala Janine</t>
        </is>
      </c>
      <c r="B498" t="inlineStr">
        <is>
          <t>JECS001PH:Kyoikuc support</t>
        </is>
      </c>
      <c r="D498">
        <f>L498</f>
        <v/>
      </c>
      <c r="E498">
        <f>SUMIFS(J:J, G:G,             A498, H:H, B498, L:L, L498)</f>
        <v/>
      </c>
      <c r="F498" t="inlineStr">
        <is>
          <t>PH0028</t>
        </is>
      </c>
      <c r="G498" t="inlineStr">
        <is>
          <t>Manansala Janine</t>
        </is>
      </c>
      <c r="H498" t="inlineStr">
        <is>
          <t>JECS001PH:Kyoikuc support</t>
        </is>
      </c>
      <c r="I498" s="1" t="n">
        <v>45943</v>
      </c>
      <c r="J498" t="n">
        <v>0.5</v>
      </c>
      <c r="K498" t="inlineStr">
        <is>
          <t>95742</t>
        </is>
      </c>
      <c r="L498">
        <f>IFERROR(LEFT(K498,             FIND(",", K498) - 1), "-")</f>
        <v/>
      </c>
      <c r="M498">
        <f>IFERROR(MID(K498,             FIND(",", K498) + 1, LEN(K498) - FIND(",", K498)), K498)</f>
        <v/>
      </c>
      <c r="N498" t="n">
        <v>1</v>
      </c>
      <c r="P498" t="inlineStr">
        <is>
          <t>09:30</t>
        </is>
      </c>
      <c r="Q498" t="inlineStr">
        <is>
          <t>10:00</t>
        </is>
      </c>
    </row>
    <row r="499">
      <c r="A499" t="inlineStr">
        <is>
          <t>Manansala Janine</t>
        </is>
      </c>
      <c r="B499" t="inlineStr">
        <is>
          <t>JECS001PH:Kyoikuc support</t>
        </is>
      </c>
      <c r="D499">
        <f>L499</f>
        <v/>
      </c>
      <c r="E499">
        <f>SUMIFS(J:J, G:G,             A499, H:H, B499, L:L, L499)</f>
        <v/>
      </c>
      <c r="F499" t="inlineStr">
        <is>
          <t>PH0028</t>
        </is>
      </c>
      <c r="G499" t="inlineStr">
        <is>
          <t>Manansala Janine</t>
        </is>
      </c>
      <c r="H499" t="inlineStr">
        <is>
          <t>JECS001PH:Kyoikuc support</t>
        </is>
      </c>
      <c r="I499" s="1" t="n">
        <v>45944</v>
      </c>
      <c r="J499" t="n">
        <v>1.25</v>
      </c>
      <c r="K499" t="inlineStr">
        <is>
          <t>95742</t>
        </is>
      </c>
      <c r="L499">
        <f>IFERROR(LEFT(K499,             FIND(",", K499) - 1), "-")</f>
        <v/>
      </c>
      <c r="M499">
        <f>IFERROR(MID(K499,             FIND(",", K499) + 1, LEN(K499) - FIND(",", K499)), K499)</f>
        <v/>
      </c>
      <c r="N499" t="n">
        <v>1</v>
      </c>
      <c r="P499" t="inlineStr">
        <is>
          <t>15:15</t>
        </is>
      </c>
      <c r="Q499" t="inlineStr">
        <is>
          <t>16:30</t>
        </is>
      </c>
    </row>
    <row r="500">
      <c r="A500" t="inlineStr">
        <is>
          <t>Manansala Janine</t>
        </is>
      </c>
      <c r="B500" t="inlineStr">
        <is>
          <t>JECS001PH:Kyoikuc support</t>
        </is>
      </c>
      <c r="D500">
        <f>L500</f>
        <v/>
      </c>
      <c r="E500">
        <f>SUMIFS(J:J, G:G,             A500, H:H, B500, L:L, L500)</f>
        <v/>
      </c>
      <c r="F500" t="inlineStr">
        <is>
          <t>PH0028</t>
        </is>
      </c>
      <c r="G500" t="inlineStr">
        <is>
          <t>Manansala Janine</t>
        </is>
      </c>
      <c r="H500" t="inlineStr">
        <is>
          <t>JECS001PH:Kyoikuc support</t>
        </is>
      </c>
      <c r="I500" s="1" t="n">
        <v>45945</v>
      </c>
      <c r="J500" t="n">
        <v>0.25</v>
      </c>
      <c r="K500" t="inlineStr">
        <is>
          <t>95742</t>
        </is>
      </c>
      <c r="L500">
        <f>IFERROR(LEFT(K500,             FIND(",", K500) - 1), "-")</f>
        <v/>
      </c>
      <c r="M500">
        <f>IFERROR(MID(K500,             FIND(",", K500) + 1, LEN(K500) - FIND(",", K500)), K500)</f>
        <v/>
      </c>
      <c r="N500" t="n">
        <v>1</v>
      </c>
      <c r="P500" t="inlineStr">
        <is>
          <t>12:00</t>
        </is>
      </c>
      <c r="Q500" t="inlineStr">
        <is>
          <t>12:15</t>
        </is>
      </c>
    </row>
    <row r="501">
      <c r="A501" t="inlineStr">
        <is>
          <t>Manansala Janine</t>
        </is>
      </c>
      <c r="B501" t="inlineStr">
        <is>
          <t>JECS001PH:Kyoikuc support</t>
        </is>
      </c>
      <c r="D501">
        <f>L501</f>
        <v/>
      </c>
      <c r="E501">
        <f>SUMIFS(J:J, G:G,             A501, H:H, B501, L:L, L501)</f>
        <v/>
      </c>
      <c r="F501" t="inlineStr">
        <is>
          <t>PH0028</t>
        </is>
      </c>
      <c r="G501" t="inlineStr">
        <is>
          <t>Manansala Janine</t>
        </is>
      </c>
      <c r="H501" t="inlineStr">
        <is>
          <t>JECS001PH:Kyoikuc support</t>
        </is>
      </c>
      <c r="I501" s="1" t="n">
        <v>45945</v>
      </c>
      <c r="J501" t="n">
        <v>0.25</v>
      </c>
      <c r="K501" t="inlineStr">
        <is>
          <t>95742</t>
        </is>
      </c>
      <c r="L501">
        <f>IFERROR(LEFT(K501,             FIND(",", K501) - 1), "-")</f>
        <v/>
      </c>
      <c r="M501">
        <f>IFERROR(MID(K501,             FIND(",", K501) + 1, LEN(K501) - FIND(",", K501)), K501)</f>
        <v/>
      </c>
      <c r="N501" t="n">
        <v>1</v>
      </c>
      <c r="P501" t="inlineStr">
        <is>
          <t>16:15</t>
        </is>
      </c>
      <c r="Q501" t="inlineStr">
        <is>
          <t>16:30</t>
        </is>
      </c>
    </row>
    <row r="502">
      <c r="A502" t="inlineStr">
        <is>
          <t>Manansala Janine</t>
        </is>
      </c>
      <c r="B502" t="inlineStr">
        <is>
          <t>SMMn001PH:SHIMAMURA NewDev</t>
        </is>
      </c>
      <c r="C502">
        <f>SUMIFS(J:J, G:G,             A502, H:H, B502)</f>
        <v/>
      </c>
      <c r="D502">
        <f>L502</f>
        <v/>
      </c>
      <c r="E502">
        <f>SUMIFS(J:J, G:G,             A502, H:H, B502, L:L, L502)</f>
        <v/>
      </c>
      <c r="F502" t="inlineStr">
        <is>
          <t>PH0028</t>
        </is>
      </c>
      <c r="G502" t="inlineStr">
        <is>
          <t>Manansala Janine</t>
        </is>
      </c>
      <c r="H502" t="inlineStr">
        <is>
          <t>SMMn001PH:SHIMAMURA NewDev</t>
        </is>
      </c>
      <c r="I502" s="1" t="n">
        <v>45952</v>
      </c>
      <c r="J502" t="n">
        <v>0.25</v>
      </c>
      <c r="K502" t="inlineStr">
        <is>
          <t>95851</t>
        </is>
      </c>
      <c r="L502">
        <f>IFERROR(LEFT(K502,             FIND(",", K502) - 1), "-")</f>
        <v/>
      </c>
      <c r="M502">
        <f>IFERROR(MID(K502,             FIND(",", K502) + 1, LEN(K502) - FIND(",", K502)), K502)</f>
        <v/>
      </c>
      <c r="N502" t="n">
        <v>1</v>
      </c>
      <c r="P502" t="inlineStr">
        <is>
          <t>09:15</t>
        </is>
      </c>
      <c r="Q502" t="inlineStr">
        <is>
          <t>09:30</t>
        </is>
      </c>
    </row>
    <row r="503">
      <c r="A503" t="inlineStr">
        <is>
          <t>Manansala Janine</t>
        </is>
      </c>
      <c r="B503" t="inlineStr">
        <is>
          <t>SMMn001PH:SHIMAMURA NewDev</t>
        </is>
      </c>
      <c r="D503">
        <f>L503</f>
        <v/>
      </c>
      <c r="E503">
        <f>SUMIFS(J:J, G:G,             A503, H:H, B503, L:L, L503)</f>
        <v/>
      </c>
      <c r="F503" t="inlineStr">
        <is>
          <t>PH0028</t>
        </is>
      </c>
      <c r="G503" t="inlineStr">
        <is>
          <t>Manansala Janine</t>
        </is>
      </c>
      <c r="H503" t="inlineStr">
        <is>
          <t>SMMn001PH:SHIMAMURA NewDev</t>
        </is>
      </c>
      <c r="I503" s="1" t="n">
        <v>45952</v>
      </c>
      <c r="J503" t="n">
        <v>0.25</v>
      </c>
      <c r="K503" t="inlineStr">
        <is>
          <t>95851</t>
        </is>
      </c>
      <c r="L503">
        <f>IFERROR(LEFT(K503,             FIND(",", K503) - 1), "-")</f>
        <v/>
      </c>
      <c r="M503">
        <f>IFERROR(MID(K503,             FIND(",", K503) + 1, LEN(K503) - FIND(",", K503)), K503)</f>
        <v/>
      </c>
      <c r="N503" t="n">
        <v>1</v>
      </c>
      <c r="P503" t="inlineStr">
        <is>
          <t>10:30</t>
        </is>
      </c>
      <c r="Q503" t="inlineStr">
        <is>
          <t>10:45</t>
        </is>
      </c>
    </row>
    <row r="504">
      <c r="A504" t="inlineStr">
        <is>
          <t>Manansala Janine</t>
        </is>
      </c>
      <c r="B504" t="inlineStr">
        <is>
          <t>SMMs001PH:SMM Support</t>
        </is>
      </c>
      <c r="C504">
        <f>SUMIFS(J:J, G:G,             A504, H:H, B504)</f>
        <v/>
      </c>
      <c r="D504">
        <f>L504</f>
        <v/>
      </c>
      <c r="E504">
        <f>SUMIFS(J:J, G:G,             A504, H:H, B504, L:L, L504)</f>
        <v/>
      </c>
      <c r="F504" t="inlineStr">
        <is>
          <t>PH0028</t>
        </is>
      </c>
      <c r="G504" t="inlineStr">
        <is>
          <t>Manansala Janine</t>
        </is>
      </c>
      <c r="H504" t="inlineStr">
        <is>
          <t>SMMs001PH:SMM Support</t>
        </is>
      </c>
      <c r="I504" s="1" t="n">
        <v>45931</v>
      </c>
      <c r="J504" t="n">
        <v>0.5</v>
      </c>
      <c r="K504" t="inlineStr">
        <is>
          <t>95764</t>
        </is>
      </c>
      <c r="L504">
        <f>IFERROR(LEFT(K504,             FIND(",", K504) - 1), "-")</f>
        <v/>
      </c>
      <c r="M504">
        <f>IFERROR(MID(K504,             FIND(",", K504) + 1, LEN(K504) - FIND(",", K504)), K504)</f>
        <v/>
      </c>
      <c r="N504" t="n">
        <v>3</v>
      </c>
      <c r="P504" t="inlineStr">
        <is>
          <t>09:15</t>
        </is>
      </c>
      <c r="Q504" t="inlineStr">
        <is>
          <t>09:45</t>
        </is>
      </c>
    </row>
    <row r="505">
      <c r="A505" t="inlineStr">
        <is>
          <t>Manansala Janine</t>
        </is>
      </c>
      <c r="B505" t="inlineStr">
        <is>
          <t>SMMs001PH:SMM Support</t>
        </is>
      </c>
      <c r="D505">
        <f>L505</f>
        <v/>
      </c>
      <c r="E505">
        <f>SUMIFS(J:J, G:G,             A505, H:H, B505, L:L, L505)</f>
        <v/>
      </c>
      <c r="F505" t="inlineStr">
        <is>
          <t>PH0028</t>
        </is>
      </c>
      <c r="G505" t="inlineStr">
        <is>
          <t>Manansala Janine</t>
        </is>
      </c>
      <c r="H505" t="inlineStr">
        <is>
          <t>SMMs001PH:SMM Support</t>
        </is>
      </c>
      <c r="I505" s="1" t="n">
        <v>45931</v>
      </c>
      <c r="J505" t="n">
        <v>1.25</v>
      </c>
      <c r="K505" t="inlineStr">
        <is>
          <t>95764</t>
        </is>
      </c>
      <c r="L505">
        <f>IFERROR(LEFT(K505,             FIND(",", K505) - 1), "-")</f>
        <v/>
      </c>
      <c r="M505">
        <f>IFERROR(MID(K505,             FIND(",", K505) + 1, LEN(K505) - FIND(",", K505)), K505)</f>
        <v/>
      </c>
      <c r="N505" t="n">
        <v>3</v>
      </c>
      <c r="P505" t="inlineStr">
        <is>
          <t>15:45</t>
        </is>
      </c>
      <c r="Q505" t="inlineStr">
        <is>
          <t>17:00</t>
        </is>
      </c>
    </row>
    <row r="506">
      <c r="A506" t="inlineStr">
        <is>
          <t>Manansala Janine</t>
        </is>
      </c>
      <c r="B506" t="inlineStr">
        <is>
          <t>SMMs001PH:SMM Support</t>
        </is>
      </c>
      <c r="D506">
        <f>L506</f>
        <v/>
      </c>
      <c r="E506">
        <f>SUMIFS(J:J, G:G,             A506, H:H, B506, L:L, L506)</f>
        <v/>
      </c>
      <c r="F506" t="inlineStr">
        <is>
          <t>PH0028</t>
        </is>
      </c>
      <c r="G506" t="inlineStr">
        <is>
          <t>Manansala Janine</t>
        </is>
      </c>
      <c r="H506" t="inlineStr">
        <is>
          <t>SMMs001PH:SMM Support</t>
        </is>
      </c>
      <c r="I506" s="1" t="n">
        <v>45938</v>
      </c>
      <c r="J506" t="n">
        <v>0.25</v>
      </c>
      <c r="K506" t="inlineStr">
        <is>
          <t>95764</t>
        </is>
      </c>
      <c r="L506">
        <f>IFERROR(LEFT(K506,             FIND(",", K506) - 1), "-")</f>
        <v/>
      </c>
      <c r="M506">
        <f>IFERROR(MID(K506,             FIND(",", K506) + 1, LEN(K506) - FIND(",", K506)), K506)</f>
        <v/>
      </c>
      <c r="N506" t="n">
        <v>1</v>
      </c>
      <c r="P506" t="inlineStr">
        <is>
          <t>10:45</t>
        </is>
      </c>
      <c r="Q506" t="inlineStr">
        <is>
          <t>11:00</t>
        </is>
      </c>
    </row>
    <row r="507">
      <c r="A507" t="inlineStr">
        <is>
          <t>Manansala Janine</t>
        </is>
      </c>
      <c r="B507" t="inlineStr">
        <is>
          <t>SMMs001PH:SMM Support</t>
        </is>
      </c>
      <c r="D507">
        <f>L507</f>
        <v/>
      </c>
      <c r="E507">
        <f>SUMIFS(J:J, G:G,             A507, H:H, B507, L:L, L507)</f>
        <v/>
      </c>
      <c r="F507" t="inlineStr">
        <is>
          <t>PH0028</t>
        </is>
      </c>
      <c r="G507" t="inlineStr">
        <is>
          <t>Manansala Janine</t>
        </is>
      </c>
      <c r="H507" t="inlineStr">
        <is>
          <t>SMMs001PH:SMM Support</t>
        </is>
      </c>
      <c r="I507" s="1" t="n">
        <v>45939</v>
      </c>
      <c r="J507" t="n">
        <v>0.25</v>
      </c>
      <c r="K507" t="inlineStr">
        <is>
          <t>95764</t>
        </is>
      </c>
      <c r="L507">
        <f>IFERROR(LEFT(K507,             FIND(",", K507) - 1), "-")</f>
        <v/>
      </c>
      <c r="M507">
        <f>IFERROR(MID(K507,             FIND(",", K507) + 1, LEN(K507) - FIND(",", K507)), K507)</f>
        <v/>
      </c>
      <c r="N507" t="n">
        <v>1</v>
      </c>
      <c r="P507" t="inlineStr">
        <is>
          <t>09:15</t>
        </is>
      </c>
      <c r="Q507" t="inlineStr">
        <is>
          <t>09:30</t>
        </is>
      </c>
    </row>
    <row r="508">
      <c r="A508" t="inlineStr">
        <is>
          <t>Manansala Janine</t>
        </is>
      </c>
      <c r="B508" t="inlineStr">
        <is>
          <t>SMMs001PH:SMM Support</t>
        </is>
      </c>
      <c r="D508">
        <f>L508</f>
        <v/>
      </c>
      <c r="E508">
        <f>SUMIFS(J:J, G:G,             A508, H:H, B508, L:L, L508)</f>
        <v/>
      </c>
      <c r="F508" t="inlineStr">
        <is>
          <t>PH0028</t>
        </is>
      </c>
      <c r="G508" t="inlineStr">
        <is>
          <t>Manansala Janine</t>
        </is>
      </c>
      <c r="H508" t="inlineStr">
        <is>
          <t>SMMs001PH:SMM Support</t>
        </is>
      </c>
      <c r="I508" s="1" t="n">
        <v>45939</v>
      </c>
      <c r="J508" t="n">
        <v>0.25</v>
      </c>
      <c r="K508" t="inlineStr">
        <is>
          <t>95764</t>
        </is>
      </c>
      <c r="L508">
        <f>IFERROR(LEFT(K508,             FIND(",", K508) - 1), "-")</f>
        <v/>
      </c>
      <c r="M508">
        <f>IFERROR(MID(K508,             FIND(",", K508) + 1, LEN(K508) - FIND(",", K508)), K508)</f>
        <v/>
      </c>
      <c r="N508" t="n">
        <v>1</v>
      </c>
      <c r="P508" t="inlineStr">
        <is>
          <t>09:45</t>
        </is>
      </c>
      <c r="Q508" t="inlineStr">
        <is>
          <t>10:00</t>
        </is>
      </c>
    </row>
    <row r="509">
      <c r="A509" t="inlineStr">
        <is>
          <t>Manansala Janine</t>
        </is>
      </c>
      <c r="B509" t="inlineStr">
        <is>
          <t>SMMs001PH:SMM Support</t>
        </is>
      </c>
      <c r="D509">
        <f>L509</f>
        <v/>
      </c>
      <c r="E509">
        <f>SUMIFS(J:J, G:G,             A509, H:H, B509, L:L, L509)</f>
        <v/>
      </c>
      <c r="F509" t="inlineStr">
        <is>
          <t>PH0028</t>
        </is>
      </c>
      <c r="G509" t="inlineStr">
        <is>
          <t>Manansala Janine</t>
        </is>
      </c>
      <c r="H509" t="inlineStr">
        <is>
          <t>SMMs001PH:SMM Support</t>
        </is>
      </c>
      <c r="I509" s="1" t="n">
        <v>45939</v>
      </c>
      <c r="J509" t="n">
        <v>0.25</v>
      </c>
      <c r="K509" t="inlineStr">
        <is>
          <t>95764</t>
        </is>
      </c>
      <c r="L509">
        <f>IFERROR(LEFT(K509,             FIND(",", K509) - 1), "-")</f>
        <v/>
      </c>
      <c r="M509">
        <f>IFERROR(MID(K509,             FIND(",", K509) + 1, LEN(K509) - FIND(",", K509)), K509)</f>
        <v/>
      </c>
      <c r="N509" t="n">
        <v>3</v>
      </c>
      <c r="P509" t="inlineStr">
        <is>
          <t>10:45</t>
        </is>
      </c>
      <c r="Q509" t="inlineStr">
        <is>
          <t>11:00</t>
        </is>
      </c>
    </row>
    <row r="510">
      <c r="A510" t="inlineStr">
        <is>
          <t>Manansala Janine</t>
        </is>
      </c>
      <c r="B510" t="inlineStr">
        <is>
          <t>SMMs001PH:SMM Support</t>
        </is>
      </c>
      <c r="D510">
        <f>L510</f>
        <v/>
      </c>
      <c r="E510">
        <f>SUMIFS(J:J, G:G,             A510, H:H, B510, L:L, L510)</f>
        <v/>
      </c>
      <c r="F510" t="inlineStr">
        <is>
          <t>PH0028</t>
        </is>
      </c>
      <c r="G510" t="inlineStr">
        <is>
          <t>Manansala Janine</t>
        </is>
      </c>
      <c r="H510" t="inlineStr">
        <is>
          <t>SMMs001PH:SMM Support</t>
        </is>
      </c>
      <c r="I510" s="1" t="n">
        <v>45939</v>
      </c>
      <c r="J510" t="n">
        <v>0.25</v>
      </c>
      <c r="K510" t="inlineStr">
        <is>
          <t>95764</t>
        </is>
      </c>
      <c r="L510">
        <f>IFERROR(LEFT(K510,             FIND(",", K510) - 1), "-")</f>
        <v/>
      </c>
      <c r="M510">
        <f>IFERROR(MID(K510,             FIND(",", K510) + 1, LEN(K510) - FIND(",", K510)), K510)</f>
        <v/>
      </c>
      <c r="N510" t="n">
        <v>3</v>
      </c>
      <c r="P510" t="inlineStr">
        <is>
          <t>12:00</t>
        </is>
      </c>
      <c r="Q510" t="inlineStr">
        <is>
          <t>12:15</t>
        </is>
      </c>
    </row>
    <row r="511">
      <c r="A511" t="inlineStr">
        <is>
          <t>Manansala Janine</t>
        </is>
      </c>
      <c r="B511" t="inlineStr">
        <is>
          <t>SMMs001PH:SMM Support</t>
        </is>
      </c>
      <c r="D511">
        <f>L511</f>
        <v/>
      </c>
      <c r="E511">
        <f>SUMIFS(J:J, G:G,             A511, H:H, B511, L:L, L511)</f>
        <v/>
      </c>
      <c r="F511" t="inlineStr">
        <is>
          <t>PH0028</t>
        </is>
      </c>
      <c r="G511" t="inlineStr">
        <is>
          <t>Manansala Janine</t>
        </is>
      </c>
      <c r="H511" t="inlineStr">
        <is>
          <t>SMMs001PH:SMM Support</t>
        </is>
      </c>
      <c r="I511" s="1" t="n">
        <v>45946</v>
      </c>
      <c r="J511" t="n">
        <v>0.25</v>
      </c>
      <c r="K511" t="inlineStr">
        <is>
          <t>95764</t>
        </is>
      </c>
      <c r="L511">
        <f>IFERROR(LEFT(K511,             FIND(",", K511) - 1), "-")</f>
        <v/>
      </c>
      <c r="M511">
        <f>IFERROR(MID(K511,             FIND(",", K511) + 1, LEN(K511) - FIND(",", K511)), K511)</f>
        <v/>
      </c>
      <c r="N511" t="n">
        <v>1</v>
      </c>
      <c r="P511" t="inlineStr">
        <is>
          <t>09:45</t>
        </is>
      </c>
      <c r="Q511" t="inlineStr">
        <is>
          <t>10:00</t>
        </is>
      </c>
    </row>
    <row r="512">
      <c r="A512" t="inlineStr">
        <is>
          <t>Manansala Janine</t>
        </is>
      </c>
      <c r="B512" t="inlineStr">
        <is>
          <t>SMMs001PH:SMM Support</t>
        </is>
      </c>
      <c r="D512">
        <f>L512</f>
        <v/>
      </c>
      <c r="E512">
        <f>SUMIFS(J:J, G:G,             A512, H:H, B512, L:L, L512)</f>
        <v/>
      </c>
      <c r="F512" t="inlineStr">
        <is>
          <t>PH0028</t>
        </is>
      </c>
      <c r="G512" t="inlineStr">
        <is>
          <t>Manansala Janine</t>
        </is>
      </c>
      <c r="H512" t="inlineStr">
        <is>
          <t>SMMs001PH:SMM Support</t>
        </is>
      </c>
      <c r="I512" s="1" t="n">
        <v>45946</v>
      </c>
      <c r="J512" t="n">
        <v>0.25</v>
      </c>
      <c r="K512" t="inlineStr">
        <is>
          <t>95764</t>
        </is>
      </c>
      <c r="L512">
        <f>IFERROR(LEFT(K512,             FIND(",", K512) - 1), "-")</f>
        <v/>
      </c>
      <c r="M512">
        <f>IFERROR(MID(K512,             FIND(",", K512) + 1, LEN(K512) - FIND(",", K512)), K512)</f>
        <v/>
      </c>
      <c r="N512" t="n">
        <v>1</v>
      </c>
      <c r="P512" t="inlineStr">
        <is>
          <t>16:15</t>
        </is>
      </c>
      <c r="Q512" t="inlineStr">
        <is>
          <t>16:30</t>
        </is>
      </c>
    </row>
    <row r="513">
      <c r="A513" t="inlineStr">
        <is>
          <t>Manansala Janine</t>
        </is>
      </c>
      <c r="B513" t="inlineStr">
        <is>
          <t>SMMs001PH:SMM Support</t>
        </is>
      </c>
      <c r="D513">
        <f>L513</f>
        <v/>
      </c>
      <c r="E513">
        <f>SUMIFS(J:J, G:G,             A513, H:H, B513, L:L, L513)</f>
        <v/>
      </c>
      <c r="F513" t="inlineStr">
        <is>
          <t>PH0028</t>
        </is>
      </c>
      <c r="G513" t="inlineStr">
        <is>
          <t>Manansala Janine</t>
        </is>
      </c>
      <c r="H513" t="inlineStr">
        <is>
          <t>SMMs001PH:SMM Support</t>
        </is>
      </c>
      <c r="I513" s="1" t="n">
        <v>45947</v>
      </c>
      <c r="J513" t="n">
        <v>0.5</v>
      </c>
      <c r="K513" t="inlineStr">
        <is>
          <t>95764</t>
        </is>
      </c>
      <c r="L513">
        <f>IFERROR(LEFT(K513,             FIND(",", K513) - 1), "-")</f>
        <v/>
      </c>
      <c r="M513">
        <f>IFERROR(MID(K513,             FIND(",", K513) + 1, LEN(K513) - FIND(",", K513)), K513)</f>
        <v/>
      </c>
      <c r="N513" t="n">
        <v>1</v>
      </c>
      <c r="P513" t="inlineStr">
        <is>
          <t>12:00</t>
        </is>
      </c>
      <c r="Q513" t="inlineStr">
        <is>
          <t>12:30</t>
        </is>
      </c>
    </row>
    <row r="514">
      <c r="A514" t="inlineStr">
        <is>
          <t>Manansala Janine</t>
        </is>
      </c>
      <c r="B514" t="inlineStr">
        <is>
          <t>SMMs001PH:SMM Support</t>
        </is>
      </c>
      <c r="D514">
        <f>L514</f>
        <v/>
      </c>
      <c r="E514">
        <f>SUMIFS(J:J, G:G,             A514, H:H, B514, L:L, L514)</f>
        <v/>
      </c>
      <c r="F514" t="inlineStr">
        <is>
          <t>PH0028</t>
        </is>
      </c>
      <c r="G514" t="inlineStr">
        <is>
          <t>Manansala Janine</t>
        </is>
      </c>
      <c r="H514" t="inlineStr">
        <is>
          <t>SMMs001PH:SMM Support</t>
        </is>
      </c>
      <c r="I514" s="1" t="n">
        <v>45932</v>
      </c>
      <c r="J514" t="n">
        <v>0.25</v>
      </c>
      <c r="K514" t="inlineStr">
        <is>
          <t>95784</t>
        </is>
      </c>
      <c r="L514">
        <f>IFERROR(LEFT(K514,             FIND(",", K514) - 1), "-")</f>
        <v/>
      </c>
      <c r="M514">
        <f>IFERROR(MID(K514,             FIND(",", K514) + 1, LEN(K514) - FIND(",", K514)), K514)</f>
        <v/>
      </c>
      <c r="N514" t="n">
        <v>1</v>
      </c>
      <c r="P514" t="inlineStr">
        <is>
          <t>10:45</t>
        </is>
      </c>
      <c r="Q514" t="inlineStr">
        <is>
          <t>11:00</t>
        </is>
      </c>
    </row>
    <row r="515">
      <c r="A515" t="inlineStr">
        <is>
          <t>Manansala Janine</t>
        </is>
      </c>
      <c r="B515" t="inlineStr">
        <is>
          <t>SMMs001PH:SMM Support</t>
        </is>
      </c>
      <c r="D515">
        <f>L515</f>
        <v/>
      </c>
      <c r="E515">
        <f>SUMIFS(J:J, G:G,             A515, H:H, B515, L:L, L515)</f>
        <v/>
      </c>
      <c r="F515" t="inlineStr">
        <is>
          <t>PH0028</t>
        </is>
      </c>
      <c r="G515" t="inlineStr">
        <is>
          <t>Manansala Janine</t>
        </is>
      </c>
      <c r="H515" t="inlineStr">
        <is>
          <t>SMMs001PH:SMM Support</t>
        </is>
      </c>
      <c r="I515" s="1" t="n">
        <v>45932</v>
      </c>
      <c r="J515" t="n">
        <v>0.5</v>
      </c>
      <c r="K515" t="inlineStr">
        <is>
          <t>95784</t>
        </is>
      </c>
      <c r="L515">
        <f>IFERROR(LEFT(K515,             FIND(",", K515) - 1), "-")</f>
        <v/>
      </c>
      <c r="M515">
        <f>IFERROR(MID(K515,             FIND(",", K515) + 1, LEN(K515) - FIND(",", K515)), K515)</f>
        <v/>
      </c>
      <c r="N515" t="n">
        <v>3</v>
      </c>
      <c r="P515" t="inlineStr">
        <is>
          <t>15:00</t>
        </is>
      </c>
      <c r="Q515" t="inlineStr">
        <is>
          <t>15:30</t>
        </is>
      </c>
    </row>
    <row r="516">
      <c r="A516" t="inlineStr">
        <is>
          <t>Manansala Janine</t>
        </is>
      </c>
      <c r="B516" t="inlineStr">
        <is>
          <t>SMMs001PH:SMM Support</t>
        </is>
      </c>
      <c r="D516">
        <f>L516</f>
        <v/>
      </c>
      <c r="E516">
        <f>SUMIFS(J:J, G:G,             A516, H:H, B516, L:L, L516)</f>
        <v/>
      </c>
      <c r="F516" t="inlineStr">
        <is>
          <t>PH0028</t>
        </is>
      </c>
      <c r="G516" t="inlineStr">
        <is>
          <t>Manansala Janine</t>
        </is>
      </c>
      <c r="H516" t="inlineStr">
        <is>
          <t>SMMs001PH:SMM Support</t>
        </is>
      </c>
      <c r="I516" s="1" t="n">
        <v>45933</v>
      </c>
      <c r="J516" t="n">
        <v>0.25</v>
      </c>
      <c r="K516" t="inlineStr">
        <is>
          <t>95784</t>
        </is>
      </c>
      <c r="L516">
        <f>IFERROR(LEFT(K516,             FIND(",", K516) - 1), "-")</f>
        <v/>
      </c>
      <c r="M516">
        <f>IFERROR(MID(K516,             FIND(",", K516) + 1, LEN(K516) - FIND(",", K516)), K516)</f>
        <v/>
      </c>
      <c r="N516" t="n">
        <v>3</v>
      </c>
      <c r="P516" t="inlineStr">
        <is>
          <t>08:00</t>
        </is>
      </c>
      <c r="Q516" t="inlineStr">
        <is>
          <t>08:15</t>
        </is>
      </c>
    </row>
    <row r="517">
      <c r="A517" t="inlineStr">
        <is>
          <t>Manansala Janine</t>
        </is>
      </c>
      <c r="B517" t="inlineStr">
        <is>
          <t>SMMs001PH:SMM Support</t>
        </is>
      </c>
      <c r="D517">
        <f>L517</f>
        <v/>
      </c>
      <c r="E517">
        <f>SUMIFS(J:J, G:G,             A517, H:H, B517, L:L, L517)</f>
        <v/>
      </c>
      <c r="F517" t="inlineStr">
        <is>
          <t>PH0028</t>
        </is>
      </c>
      <c r="G517" t="inlineStr">
        <is>
          <t>Manansala Janine</t>
        </is>
      </c>
      <c r="H517" t="inlineStr">
        <is>
          <t>SMMs001PH:SMM Support</t>
        </is>
      </c>
      <c r="I517" s="1" t="n">
        <v>45932</v>
      </c>
      <c r="J517" t="n">
        <v>0.5</v>
      </c>
      <c r="K517" t="inlineStr">
        <is>
          <t>95786</t>
        </is>
      </c>
      <c r="L517">
        <f>IFERROR(LEFT(K517,             FIND(",", K517) - 1), "-")</f>
        <v/>
      </c>
      <c r="M517">
        <f>IFERROR(MID(K517,             FIND(",", K517) + 1, LEN(K517) - FIND(",", K517)), K517)</f>
        <v/>
      </c>
      <c r="N517" t="n">
        <v>1</v>
      </c>
      <c r="P517" t="inlineStr">
        <is>
          <t>12:00</t>
        </is>
      </c>
      <c r="Q517" t="inlineStr">
        <is>
          <t>12:30</t>
        </is>
      </c>
    </row>
    <row r="518">
      <c r="A518" t="inlineStr">
        <is>
          <t>Manansala Janine</t>
        </is>
      </c>
      <c r="B518" t="inlineStr">
        <is>
          <t>SMMs001PH:SMM Support</t>
        </is>
      </c>
      <c r="D518">
        <f>L518</f>
        <v/>
      </c>
      <c r="E518">
        <f>SUMIFS(J:J, G:G,             A518, H:H, B518, L:L, L518)</f>
        <v/>
      </c>
      <c r="F518" t="inlineStr">
        <is>
          <t>PH0028</t>
        </is>
      </c>
      <c r="G518" t="inlineStr">
        <is>
          <t>Manansala Janine</t>
        </is>
      </c>
      <c r="H518" t="inlineStr">
        <is>
          <t>SMMs001PH:SMM Support</t>
        </is>
      </c>
      <c r="I518" s="1" t="n">
        <v>45933</v>
      </c>
      <c r="J518" t="n">
        <v>0.25</v>
      </c>
      <c r="K518" t="inlineStr">
        <is>
          <t>95786</t>
        </is>
      </c>
      <c r="L518">
        <f>IFERROR(LEFT(K518,             FIND(",", K518) - 1), "-")</f>
        <v/>
      </c>
      <c r="M518">
        <f>IFERROR(MID(K518,             FIND(",", K518) + 1, LEN(K518) - FIND(",", K518)), K518)</f>
        <v/>
      </c>
      <c r="N518" t="n">
        <v>3</v>
      </c>
      <c r="P518" t="inlineStr">
        <is>
          <t>08:15</t>
        </is>
      </c>
      <c r="Q518" t="inlineStr">
        <is>
          <t>08:30</t>
        </is>
      </c>
    </row>
    <row r="519">
      <c r="A519" t="inlineStr">
        <is>
          <t>Manansala Janine</t>
        </is>
      </c>
      <c r="B519" t="inlineStr">
        <is>
          <t>SMMs001PH:SMM Support</t>
        </is>
      </c>
      <c r="D519">
        <f>L519</f>
        <v/>
      </c>
      <c r="E519">
        <f>SUMIFS(J:J, G:G,             A519, H:H, B519, L:L, L519)</f>
        <v/>
      </c>
      <c r="F519" t="inlineStr">
        <is>
          <t>PH0028</t>
        </is>
      </c>
      <c r="G519" t="inlineStr">
        <is>
          <t>Manansala Janine</t>
        </is>
      </c>
      <c r="H519" t="inlineStr">
        <is>
          <t>SMMs001PH:SMM Support</t>
        </is>
      </c>
      <c r="I519" s="1" t="n">
        <v>45933</v>
      </c>
      <c r="J519" t="n">
        <v>0.5</v>
      </c>
      <c r="K519" t="inlineStr">
        <is>
          <t>95786</t>
        </is>
      </c>
      <c r="L519">
        <f>IFERROR(LEFT(K519,             FIND(",", K519) - 1), "-")</f>
        <v/>
      </c>
      <c r="M519">
        <f>IFERROR(MID(K519,             FIND(",", K519) + 1, LEN(K519) - FIND(",", K519)), K519)</f>
        <v/>
      </c>
      <c r="N519" t="n">
        <v>3</v>
      </c>
      <c r="P519" t="inlineStr">
        <is>
          <t>12:00</t>
        </is>
      </c>
      <c r="Q519" t="inlineStr">
        <is>
          <t>12:30</t>
        </is>
      </c>
    </row>
    <row r="520">
      <c r="A520" t="inlineStr">
        <is>
          <t>Manansala Janine</t>
        </is>
      </c>
      <c r="B520" t="inlineStr">
        <is>
          <t>SMMs001PH:SMM Support</t>
        </is>
      </c>
      <c r="D520">
        <f>L520</f>
        <v/>
      </c>
      <c r="E520">
        <f>SUMIFS(J:J, G:G,             A520, H:H, B520, L:L, L520)</f>
        <v/>
      </c>
      <c r="F520" t="inlineStr">
        <is>
          <t>PH0028</t>
        </is>
      </c>
      <c r="G520" t="inlineStr">
        <is>
          <t>Manansala Janine</t>
        </is>
      </c>
      <c r="H520" t="inlineStr">
        <is>
          <t>SMMs001PH:SMM Support</t>
        </is>
      </c>
      <c r="I520" s="1" t="n">
        <v>45938</v>
      </c>
      <c r="J520" t="n">
        <v>0.25</v>
      </c>
      <c r="K520" t="inlineStr">
        <is>
          <t>95804</t>
        </is>
      </c>
      <c r="L520">
        <f>IFERROR(LEFT(K520,             FIND(",", K520) - 1), "-")</f>
        <v/>
      </c>
      <c r="M520">
        <f>IFERROR(MID(K520,             FIND(",", K520) + 1, LEN(K520) - FIND(",", K520)), K520)</f>
        <v/>
      </c>
      <c r="N520" t="n">
        <v>1</v>
      </c>
      <c r="P520" t="inlineStr">
        <is>
          <t>09:00</t>
        </is>
      </c>
      <c r="Q520" t="inlineStr">
        <is>
          <t>09:15</t>
        </is>
      </c>
    </row>
    <row r="521">
      <c r="A521" t="inlineStr">
        <is>
          <t>Manansala Janine</t>
        </is>
      </c>
      <c r="B521" t="inlineStr">
        <is>
          <t>SMMs001PH:SMM Support</t>
        </is>
      </c>
      <c r="D521">
        <f>L521</f>
        <v/>
      </c>
      <c r="E521">
        <f>SUMIFS(J:J, G:G,             A521, H:H, B521, L:L, L521)</f>
        <v/>
      </c>
      <c r="F521" t="inlineStr">
        <is>
          <t>PH0028</t>
        </is>
      </c>
      <c r="G521" t="inlineStr">
        <is>
          <t>Manansala Janine</t>
        </is>
      </c>
      <c r="H521" t="inlineStr">
        <is>
          <t>SMMs001PH:SMM Support</t>
        </is>
      </c>
      <c r="I521" s="1" t="n">
        <v>45938</v>
      </c>
      <c r="J521" t="n">
        <v>0.25</v>
      </c>
      <c r="K521" t="inlineStr">
        <is>
          <t>95804</t>
        </is>
      </c>
      <c r="L521">
        <f>IFERROR(LEFT(K521,             FIND(",", K521) - 1), "-")</f>
        <v/>
      </c>
      <c r="M521">
        <f>IFERROR(MID(K521,             FIND(",", K521) + 1, LEN(K521) - FIND(",", K521)), K521)</f>
        <v/>
      </c>
      <c r="N521" t="n">
        <v>1</v>
      </c>
      <c r="P521" t="inlineStr">
        <is>
          <t>13:15</t>
        </is>
      </c>
      <c r="Q521" t="inlineStr">
        <is>
          <t>13:30</t>
        </is>
      </c>
    </row>
    <row r="522">
      <c r="A522" t="inlineStr">
        <is>
          <t>Manansala Janine</t>
        </is>
      </c>
      <c r="B522" t="inlineStr">
        <is>
          <t>SMMs001PH:SMM Support</t>
        </is>
      </c>
      <c r="D522">
        <f>L522</f>
        <v/>
      </c>
      <c r="E522">
        <f>SUMIFS(J:J, G:G,             A522, H:H, B522, L:L, L522)</f>
        <v/>
      </c>
      <c r="F522" t="inlineStr">
        <is>
          <t>PH0028</t>
        </is>
      </c>
      <c r="G522" t="inlineStr">
        <is>
          <t>Manansala Janine</t>
        </is>
      </c>
      <c r="H522" t="inlineStr">
        <is>
          <t>SMMs001PH:SMM Support</t>
        </is>
      </c>
      <c r="I522" s="1" t="n">
        <v>45939</v>
      </c>
      <c r="J522" t="n">
        <v>0.25</v>
      </c>
      <c r="K522" t="inlineStr">
        <is>
          <t>95810</t>
        </is>
      </c>
      <c r="L522">
        <f>IFERROR(LEFT(K522,             FIND(",", K522) - 1), "-")</f>
        <v/>
      </c>
      <c r="M522">
        <f>IFERROR(MID(K522,             FIND(",", K522) + 1, LEN(K522) - FIND(",", K522)), K522)</f>
        <v/>
      </c>
      <c r="N522" t="n">
        <v>1</v>
      </c>
      <c r="P522" t="inlineStr">
        <is>
          <t>12:30</t>
        </is>
      </c>
      <c r="Q522" t="inlineStr">
        <is>
          <t>12:45</t>
        </is>
      </c>
    </row>
    <row r="523">
      <c r="A523" t="inlineStr">
        <is>
          <t>Manansala Janine</t>
        </is>
      </c>
      <c r="B523" t="inlineStr">
        <is>
          <t>SMMs001PH:SMM Support</t>
        </is>
      </c>
      <c r="D523">
        <f>L523</f>
        <v/>
      </c>
      <c r="E523">
        <f>SUMIFS(J:J, G:G,             A523, H:H, B523, L:L, L523)</f>
        <v/>
      </c>
      <c r="F523" t="inlineStr">
        <is>
          <t>PH0028</t>
        </is>
      </c>
      <c r="G523" t="inlineStr">
        <is>
          <t>Manansala Janine</t>
        </is>
      </c>
      <c r="H523" t="inlineStr">
        <is>
          <t>SMMs001PH:SMM Support</t>
        </is>
      </c>
      <c r="I523" s="1" t="n">
        <v>45939</v>
      </c>
      <c r="J523" t="n">
        <v>0.25</v>
      </c>
      <c r="K523" t="inlineStr">
        <is>
          <t>95810</t>
        </is>
      </c>
      <c r="L523">
        <f>IFERROR(LEFT(K523,             FIND(",", K523) - 1), "-")</f>
        <v/>
      </c>
      <c r="M523">
        <f>IFERROR(MID(K523,             FIND(",", K523) + 1, LEN(K523) - FIND(",", K523)), K523)</f>
        <v/>
      </c>
      <c r="N523" t="n">
        <v>1</v>
      </c>
      <c r="P523" t="inlineStr">
        <is>
          <t>13:30</t>
        </is>
      </c>
      <c r="Q523" t="inlineStr">
        <is>
          <t>13:45</t>
        </is>
      </c>
    </row>
    <row r="524">
      <c r="A524" t="inlineStr">
        <is>
          <t>Manansala Janine</t>
        </is>
      </c>
      <c r="B524" t="inlineStr">
        <is>
          <t>SMMs001PH:SMM Support</t>
        </is>
      </c>
      <c r="D524">
        <f>L524</f>
        <v/>
      </c>
      <c r="E524">
        <f>SUMIFS(J:J, G:G,             A524, H:H, B524, L:L, L524)</f>
        <v/>
      </c>
      <c r="F524" t="inlineStr">
        <is>
          <t>PH0028</t>
        </is>
      </c>
      <c r="G524" t="inlineStr">
        <is>
          <t>Manansala Janine</t>
        </is>
      </c>
      <c r="H524" t="inlineStr">
        <is>
          <t>SMMs001PH:SMM Support</t>
        </is>
      </c>
      <c r="I524" s="1" t="n">
        <v>45947</v>
      </c>
      <c r="J524" t="n">
        <v>0.25</v>
      </c>
      <c r="K524" t="inlineStr">
        <is>
          <t>95833</t>
        </is>
      </c>
      <c r="L524">
        <f>IFERROR(LEFT(K524,             FIND(",", K524) - 1), "-")</f>
        <v/>
      </c>
      <c r="M524">
        <f>IFERROR(MID(K524,             FIND(",", K524) + 1, LEN(K524) - FIND(",", K524)), K524)</f>
        <v/>
      </c>
      <c r="N524" t="n">
        <v>1</v>
      </c>
      <c r="P524" t="inlineStr">
        <is>
          <t>12:30</t>
        </is>
      </c>
      <c r="Q524" t="inlineStr">
        <is>
          <t>12:45</t>
        </is>
      </c>
    </row>
    <row r="525">
      <c r="A525" t="inlineStr">
        <is>
          <t>Manansala Janine</t>
        </is>
      </c>
      <c r="B525" t="inlineStr">
        <is>
          <t>SMMs001PH:SMM Support</t>
        </is>
      </c>
      <c r="D525">
        <f>L525</f>
        <v/>
      </c>
      <c r="E525">
        <f>SUMIFS(J:J, G:G,             A525, H:H, B525, L:L, L525)</f>
        <v/>
      </c>
      <c r="F525" t="inlineStr">
        <is>
          <t>PH0028</t>
        </is>
      </c>
      <c r="G525" t="inlineStr">
        <is>
          <t>Manansala Janine</t>
        </is>
      </c>
      <c r="H525" t="inlineStr">
        <is>
          <t>SMMs001PH:SMM Support</t>
        </is>
      </c>
      <c r="I525" s="1" t="n">
        <v>45947</v>
      </c>
      <c r="J525" t="n">
        <v>0.25</v>
      </c>
      <c r="K525" t="inlineStr">
        <is>
          <t>95834</t>
        </is>
      </c>
      <c r="L525">
        <f>IFERROR(LEFT(K525,             FIND(",", K525) - 1), "-")</f>
        <v/>
      </c>
      <c r="M525">
        <f>IFERROR(MID(K525,             FIND(",", K525) + 1, LEN(K525) - FIND(",", K525)), K525)</f>
        <v/>
      </c>
      <c r="N525" t="n">
        <v>1</v>
      </c>
      <c r="P525" t="inlineStr">
        <is>
          <t>12:45</t>
        </is>
      </c>
      <c r="Q525" t="inlineStr">
        <is>
          <t>13:00</t>
        </is>
      </c>
    </row>
    <row r="526">
      <c r="A526" t="inlineStr">
        <is>
          <t>Manansala Janine</t>
        </is>
      </c>
      <c r="B526" t="inlineStr">
        <is>
          <t>SMMs001PH:SMM Support</t>
        </is>
      </c>
      <c r="D526">
        <f>L526</f>
        <v/>
      </c>
      <c r="E526">
        <f>SUMIFS(J:J, G:G,             A526, H:H, B526, L:L, L526)</f>
        <v/>
      </c>
      <c r="F526" t="inlineStr">
        <is>
          <t>PH0028</t>
        </is>
      </c>
      <c r="G526" t="inlineStr">
        <is>
          <t>Manansala Janine</t>
        </is>
      </c>
      <c r="H526" t="inlineStr">
        <is>
          <t>SMMs001PH:SMM Support</t>
        </is>
      </c>
      <c r="I526" s="1" t="n">
        <v>45950</v>
      </c>
      <c r="J526" t="n">
        <v>0.25</v>
      </c>
      <c r="K526" t="inlineStr">
        <is>
          <t>95834</t>
        </is>
      </c>
      <c r="L526">
        <f>IFERROR(LEFT(K526,             FIND(",", K526) - 1), "-")</f>
        <v/>
      </c>
      <c r="M526">
        <f>IFERROR(MID(K526,             FIND(",", K526) + 1, LEN(K526) - FIND(",", K526)), K526)</f>
        <v/>
      </c>
      <c r="N526" t="n">
        <v>1</v>
      </c>
      <c r="P526" t="inlineStr">
        <is>
          <t>08:00</t>
        </is>
      </c>
      <c r="Q526" t="inlineStr">
        <is>
          <t>08:15</t>
        </is>
      </c>
    </row>
    <row r="527">
      <c r="A527" t="inlineStr">
        <is>
          <t>Manansala Janine</t>
        </is>
      </c>
      <c r="B527" t="inlineStr">
        <is>
          <t>SMMs001PH:SMM Support</t>
        </is>
      </c>
      <c r="D527">
        <f>L527</f>
        <v/>
      </c>
      <c r="E527">
        <f>SUMIFS(J:J, G:G,             A527, H:H, B527, L:L, L527)</f>
        <v/>
      </c>
      <c r="F527" t="inlineStr">
        <is>
          <t>PH0028</t>
        </is>
      </c>
      <c r="G527" t="inlineStr">
        <is>
          <t>Manansala Janine</t>
        </is>
      </c>
      <c r="H527" t="inlineStr">
        <is>
          <t>SMMs001PH:SMM Support</t>
        </is>
      </c>
      <c r="I527" s="1" t="n">
        <v>45950</v>
      </c>
      <c r="J527" t="n">
        <v>0.25</v>
      </c>
      <c r="K527" t="inlineStr">
        <is>
          <t>95835</t>
        </is>
      </c>
      <c r="L527">
        <f>IFERROR(LEFT(K527,             FIND(",", K527) - 1), "-")</f>
        <v/>
      </c>
      <c r="M527">
        <f>IFERROR(MID(K527,             FIND(",", K527) + 1, LEN(K527) - FIND(",", K527)), K527)</f>
        <v/>
      </c>
      <c r="N527" t="n">
        <v>1</v>
      </c>
      <c r="P527" t="inlineStr">
        <is>
          <t>08:15</t>
        </is>
      </c>
      <c r="Q527" t="inlineStr">
        <is>
          <t>08:30</t>
        </is>
      </c>
    </row>
    <row r="528">
      <c r="A528" t="inlineStr">
        <is>
          <t>Manansala Janine</t>
        </is>
      </c>
      <c r="B528" t="inlineStr">
        <is>
          <t>SMMs001PH:SMM Support</t>
        </is>
      </c>
      <c r="D528">
        <f>L528</f>
        <v/>
      </c>
      <c r="E528">
        <f>SUMIFS(J:J, G:G,             A528, H:H, B528, L:L, L528)</f>
        <v/>
      </c>
      <c r="F528" t="inlineStr">
        <is>
          <t>PH0028</t>
        </is>
      </c>
      <c r="G528" t="inlineStr">
        <is>
          <t>Manansala Janine</t>
        </is>
      </c>
      <c r="H528" t="inlineStr">
        <is>
          <t>SMMs001PH:SMM Support</t>
        </is>
      </c>
      <c r="I528" s="1" t="n">
        <v>45950</v>
      </c>
      <c r="J528" t="n">
        <v>0.25</v>
      </c>
      <c r="K528" t="inlineStr">
        <is>
          <t>95836</t>
        </is>
      </c>
      <c r="L528">
        <f>IFERROR(LEFT(K528,             FIND(",", K528) - 1), "-")</f>
        <v/>
      </c>
      <c r="M528">
        <f>IFERROR(MID(K528,             FIND(",", K528) + 1, LEN(K528) - FIND(",", K528)), K528)</f>
        <v/>
      </c>
      <c r="N528" t="n">
        <v>1</v>
      </c>
      <c r="P528" t="inlineStr">
        <is>
          <t>08:30</t>
        </is>
      </c>
      <c r="Q528" t="inlineStr">
        <is>
          <t>08:45</t>
        </is>
      </c>
    </row>
    <row r="529">
      <c r="A529" t="inlineStr">
        <is>
          <t>Manansala Janine</t>
        </is>
      </c>
      <c r="B529" t="inlineStr">
        <is>
          <t>SMMs001PH:SMM Support</t>
        </is>
      </c>
      <c r="D529">
        <f>L529</f>
        <v/>
      </c>
      <c r="E529">
        <f>SUMIFS(J:J, G:G,             A529, H:H, B529, L:L, L529)</f>
        <v/>
      </c>
      <c r="F529" t="inlineStr">
        <is>
          <t>PH0028</t>
        </is>
      </c>
      <c r="G529" t="inlineStr">
        <is>
          <t>Manansala Janine</t>
        </is>
      </c>
      <c r="H529" t="inlineStr">
        <is>
          <t>SMMs001PH:SMM Support</t>
        </is>
      </c>
      <c r="I529" s="1" t="n">
        <v>45952</v>
      </c>
      <c r="J529" t="n">
        <v>0.25</v>
      </c>
      <c r="K529" t="inlineStr">
        <is>
          <t>95852</t>
        </is>
      </c>
      <c r="L529">
        <f>IFERROR(LEFT(K529,             FIND(",", K529) - 1), "-")</f>
        <v/>
      </c>
      <c r="M529">
        <f>IFERROR(MID(K529,             FIND(",", K529) + 1, LEN(K529) - FIND(",", K529)), K529)</f>
        <v/>
      </c>
      <c r="N529" t="n">
        <v>1</v>
      </c>
      <c r="P529" t="inlineStr">
        <is>
          <t>12:00</t>
        </is>
      </c>
      <c r="Q529" t="inlineStr">
        <is>
          <t>12:15</t>
        </is>
      </c>
    </row>
    <row r="530">
      <c r="A530" t="inlineStr">
        <is>
          <t>Manansala Janine</t>
        </is>
      </c>
      <c r="B530" t="inlineStr">
        <is>
          <t>SMMs001PH:SMM Support</t>
        </is>
      </c>
      <c r="D530">
        <f>L530</f>
        <v/>
      </c>
      <c r="E530">
        <f>SUMIFS(J:J, G:G,             A530, H:H, B530, L:L, L530)</f>
        <v/>
      </c>
      <c r="F530" t="inlineStr">
        <is>
          <t>PH0028</t>
        </is>
      </c>
      <c r="G530" t="inlineStr">
        <is>
          <t>Manansala Janine</t>
        </is>
      </c>
      <c r="H530" t="inlineStr">
        <is>
          <t>SMMs001PH:SMM Support</t>
        </is>
      </c>
      <c r="I530" s="1" t="n">
        <v>45952</v>
      </c>
      <c r="J530" t="n">
        <v>0.25</v>
      </c>
      <c r="K530" t="inlineStr">
        <is>
          <t>95852</t>
        </is>
      </c>
      <c r="L530">
        <f>IFERROR(LEFT(K530,             FIND(",", K530) - 1), "-")</f>
        <v/>
      </c>
      <c r="M530">
        <f>IFERROR(MID(K530,             FIND(",", K530) + 1, LEN(K530) - FIND(",", K530)), K530)</f>
        <v/>
      </c>
      <c r="N530" t="n">
        <v>1</v>
      </c>
      <c r="P530" t="inlineStr">
        <is>
          <t>14:15</t>
        </is>
      </c>
      <c r="Q530" t="inlineStr">
        <is>
          <t>14:30</t>
        </is>
      </c>
    </row>
    <row r="531">
      <c r="A531" t="inlineStr">
        <is>
          <t>Manansala Janine</t>
        </is>
      </c>
      <c r="B531" t="inlineStr">
        <is>
          <t>SPHS001PH:Zoophonics support</t>
        </is>
      </c>
      <c r="C531">
        <f>SUMIFS(J:J, G:G,             A531, H:H, B531)</f>
        <v/>
      </c>
      <c r="D531">
        <f>L531</f>
        <v/>
      </c>
      <c r="E531">
        <f>SUMIFS(J:J, G:G,             A531, H:H, B531, L:L, L531)</f>
        <v/>
      </c>
      <c r="F531" t="inlineStr">
        <is>
          <t>PH0028</t>
        </is>
      </c>
      <c r="G531" t="inlineStr">
        <is>
          <t>Manansala Janine</t>
        </is>
      </c>
      <c r="H531" t="inlineStr">
        <is>
          <t>SPHS001PH:Zoophonics support</t>
        </is>
      </c>
      <c r="I531" s="1" t="n">
        <v>45952</v>
      </c>
      <c r="J531" t="n">
        <v>0.25</v>
      </c>
      <c r="K531" t="inlineStr">
        <is>
          <t>95850</t>
        </is>
      </c>
      <c r="L531">
        <f>IFERROR(LEFT(K531,             FIND(",", K531) - 1), "-")</f>
        <v/>
      </c>
      <c r="M531">
        <f>IFERROR(MID(K531,             FIND(",", K531) + 1, LEN(K531) - FIND(",", K531)), K531)</f>
        <v/>
      </c>
      <c r="N531" t="n">
        <v>1</v>
      </c>
      <c r="P531" t="inlineStr">
        <is>
          <t>10:45</t>
        </is>
      </c>
      <c r="Q531" t="inlineStr">
        <is>
          <t>11:00</t>
        </is>
      </c>
    </row>
    <row r="532">
      <c r="A532" t="inlineStr">
        <is>
          <t>Manansala Janine</t>
        </is>
      </c>
      <c r="B532" t="inlineStr">
        <is>
          <t>SPHS001PH:Zoophonics support</t>
        </is>
      </c>
      <c r="D532">
        <f>L532</f>
        <v/>
      </c>
      <c r="E532">
        <f>SUMIFS(J:J, G:G,             A532, H:H, B532, L:L, L532)</f>
        <v/>
      </c>
      <c r="F532" t="inlineStr">
        <is>
          <t>PH0028</t>
        </is>
      </c>
      <c r="G532" t="inlineStr">
        <is>
          <t>Manansala Janine</t>
        </is>
      </c>
      <c r="H532" t="inlineStr">
        <is>
          <t>SPHS001PH:Zoophonics support</t>
        </is>
      </c>
      <c r="I532" s="1" t="n">
        <v>45952</v>
      </c>
      <c r="J532" t="n">
        <v>0.25</v>
      </c>
      <c r="K532" t="inlineStr">
        <is>
          <t>95850</t>
        </is>
      </c>
      <c r="L532">
        <f>IFERROR(LEFT(K532,             FIND(",", K532) - 1), "-")</f>
        <v/>
      </c>
      <c r="M532">
        <f>IFERROR(MID(K532,             FIND(",", K532) + 1, LEN(K532) - FIND(",", K532)), K532)</f>
        <v/>
      </c>
      <c r="N532" t="n">
        <v>1</v>
      </c>
      <c r="P532" t="inlineStr">
        <is>
          <t>12:45</t>
        </is>
      </c>
      <c r="Q532" t="inlineStr">
        <is>
          <t>13:00</t>
        </is>
      </c>
    </row>
    <row r="533">
      <c r="A533" t="inlineStr">
        <is>
          <t>Manansala Janine</t>
        </is>
      </c>
      <c r="B533" t="inlineStr">
        <is>
          <t>SPHS001PH:Zoophonics support</t>
        </is>
      </c>
      <c r="D533">
        <f>L533</f>
        <v/>
      </c>
      <c r="E533">
        <f>SUMIFS(J:J, G:G,             A533, H:H, B533, L:L, L533)</f>
        <v/>
      </c>
      <c r="F533" t="inlineStr">
        <is>
          <t>PH0028</t>
        </is>
      </c>
      <c r="G533" t="inlineStr">
        <is>
          <t>Manansala Janine</t>
        </is>
      </c>
      <c r="H533" t="inlineStr">
        <is>
          <t>SPHS001PH:Zoophonics support</t>
        </is>
      </c>
      <c r="I533" s="1" t="n">
        <v>45953</v>
      </c>
      <c r="J533" t="n">
        <v>0.25</v>
      </c>
      <c r="K533" t="inlineStr">
        <is>
          <t>95850</t>
        </is>
      </c>
      <c r="L533">
        <f>IFERROR(LEFT(K533,             FIND(",", K533) - 1), "-")</f>
        <v/>
      </c>
      <c r="M533">
        <f>IFERROR(MID(K533,             FIND(",", K533) + 1, LEN(K533) - FIND(",", K533)), K533)</f>
        <v/>
      </c>
      <c r="N533" t="n">
        <v>1</v>
      </c>
      <c r="P533" t="inlineStr">
        <is>
          <t>14:00</t>
        </is>
      </c>
      <c r="Q533" t="inlineStr">
        <is>
          <t>14:15</t>
        </is>
      </c>
    </row>
    <row r="534">
      <c r="A534" t="inlineStr">
        <is>
          <t>Manansala Janine</t>
        </is>
      </c>
      <c r="B534" t="inlineStr">
        <is>
          <t>SPHS001PH:Zoophonics support</t>
        </is>
      </c>
      <c r="D534">
        <f>L534</f>
        <v/>
      </c>
      <c r="E534">
        <f>SUMIFS(J:J, G:G,             A534, H:H, B534, L:L, L534)</f>
        <v/>
      </c>
      <c r="F534" t="inlineStr">
        <is>
          <t>PH0028</t>
        </is>
      </c>
      <c r="G534" t="inlineStr">
        <is>
          <t>Manansala Janine</t>
        </is>
      </c>
      <c r="H534" t="inlineStr">
        <is>
          <t>SPHS001PH:Zoophonics support</t>
        </is>
      </c>
      <c r="I534" s="1" t="n">
        <v>45953</v>
      </c>
      <c r="J534" t="n">
        <v>0.25</v>
      </c>
      <c r="K534" t="inlineStr">
        <is>
          <t>95850</t>
        </is>
      </c>
      <c r="L534">
        <f>IFERROR(LEFT(K534,             FIND(",", K534) - 1), "-")</f>
        <v/>
      </c>
      <c r="M534">
        <f>IFERROR(MID(K534,             FIND(",", K534) + 1, LEN(K534) - FIND(",", K534)), K534)</f>
        <v/>
      </c>
      <c r="N534" t="n">
        <v>1</v>
      </c>
      <c r="P534" t="inlineStr">
        <is>
          <t>15:00</t>
        </is>
      </c>
      <c r="Q534" t="inlineStr">
        <is>
          <t>15:15</t>
        </is>
      </c>
    </row>
    <row r="535">
      <c r="A535" t="inlineStr">
        <is>
          <t>Manansala Janine</t>
        </is>
      </c>
      <c r="B535" t="inlineStr">
        <is>
          <t>SSKs001PH:Shuruisouken support</t>
        </is>
      </c>
      <c r="C535">
        <f>SUMIFS(J:J, G:G,             A535, H:H, B535)</f>
        <v/>
      </c>
      <c r="D535">
        <f>L535</f>
        <v/>
      </c>
      <c r="E535">
        <f>SUMIFS(J:J, G:G,             A535, H:H, B535, L:L, L535)</f>
        <v/>
      </c>
      <c r="F535" t="inlineStr">
        <is>
          <t>PH0028</t>
        </is>
      </c>
      <c r="G535" t="inlineStr">
        <is>
          <t>Manansala Janine</t>
        </is>
      </c>
      <c r="H535" t="inlineStr">
        <is>
          <t>SSKs001PH:Shuruisouken support</t>
        </is>
      </c>
      <c r="I535" s="1" t="n">
        <v>45938</v>
      </c>
      <c r="J535" t="n">
        <v>0.25</v>
      </c>
      <c r="K535" t="inlineStr">
        <is>
          <t>95805</t>
        </is>
      </c>
      <c r="L535">
        <f>IFERROR(LEFT(K535,             FIND(",", K535) - 1), "-")</f>
        <v/>
      </c>
      <c r="M535">
        <f>IFERROR(MID(K535,             FIND(",", K535) + 1, LEN(K535) - FIND(",", K535)), K535)</f>
        <v/>
      </c>
      <c r="N535" t="n">
        <v>1</v>
      </c>
      <c r="P535" t="inlineStr">
        <is>
          <t>12:00</t>
        </is>
      </c>
      <c r="Q535" t="inlineStr">
        <is>
          <t>12:15</t>
        </is>
      </c>
    </row>
    <row r="536">
      <c r="A536" t="inlineStr">
        <is>
          <t>Manansala Janine</t>
        </is>
      </c>
      <c r="B536" t="inlineStr">
        <is>
          <t>SSKs001PH:Shuruisouken support</t>
        </is>
      </c>
      <c r="D536">
        <f>L536</f>
        <v/>
      </c>
      <c r="E536">
        <f>SUMIFS(J:J, G:G,             A536, H:H, B536, L:L, L536)</f>
        <v/>
      </c>
      <c r="F536" t="inlineStr">
        <is>
          <t>PH0028</t>
        </is>
      </c>
      <c r="G536" t="inlineStr">
        <is>
          <t>Manansala Janine</t>
        </is>
      </c>
      <c r="H536" t="inlineStr">
        <is>
          <t>SSKs001PH:Shuruisouken support</t>
        </is>
      </c>
      <c r="I536" s="1" t="n">
        <v>45938</v>
      </c>
      <c r="J536" t="n">
        <v>0.25</v>
      </c>
      <c r="K536" t="inlineStr">
        <is>
          <t>95805</t>
        </is>
      </c>
      <c r="L536">
        <f>IFERROR(LEFT(K536,             FIND(",", K536) - 1), "-")</f>
        <v/>
      </c>
      <c r="M536">
        <f>IFERROR(MID(K536,             FIND(",", K536) + 1, LEN(K536) - FIND(",", K536)), K536)</f>
        <v/>
      </c>
      <c r="N536" t="n">
        <v>1</v>
      </c>
      <c r="P536" t="inlineStr">
        <is>
          <t>12:30</t>
        </is>
      </c>
      <c r="Q536" t="inlineStr">
        <is>
          <t>12:45</t>
        </is>
      </c>
    </row>
    <row r="537">
      <c r="A537" t="inlineStr">
        <is>
          <t>Manansala Janine</t>
        </is>
      </c>
      <c r="B537" t="inlineStr">
        <is>
          <t>SSKs001PH:Shuruisouken support</t>
        </is>
      </c>
      <c r="D537">
        <f>L537</f>
        <v/>
      </c>
      <c r="E537">
        <f>SUMIFS(J:J, G:G,             A537, H:H, B537, L:L, L537)</f>
        <v/>
      </c>
      <c r="F537" t="inlineStr">
        <is>
          <t>PH0028</t>
        </is>
      </c>
      <c r="G537" t="inlineStr">
        <is>
          <t>Manansala Janine</t>
        </is>
      </c>
      <c r="H537" t="inlineStr">
        <is>
          <t>SSKs001PH:Shuruisouken support</t>
        </is>
      </c>
      <c r="I537" s="1" t="n">
        <v>45938</v>
      </c>
      <c r="J537" t="n">
        <v>0.25</v>
      </c>
      <c r="K537" t="inlineStr">
        <is>
          <t>95805</t>
        </is>
      </c>
      <c r="L537">
        <f>IFERROR(LEFT(K537,             FIND(",", K537) - 1), "-")</f>
        <v/>
      </c>
      <c r="M537">
        <f>IFERROR(MID(K537,             FIND(",", K537) + 1, LEN(K537) - FIND(",", K537)), K537)</f>
        <v/>
      </c>
      <c r="N537" t="n">
        <v>1</v>
      </c>
      <c r="P537" t="inlineStr">
        <is>
          <t>13:30</t>
        </is>
      </c>
      <c r="Q537" t="inlineStr">
        <is>
          <t>13:45</t>
        </is>
      </c>
    </row>
    <row r="538">
      <c r="A538" t="inlineStr">
        <is>
          <t>Manansala Janine</t>
        </is>
      </c>
      <c r="B538" t="inlineStr">
        <is>
          <t>SSKs001PH:Shuruisouken support</t>
        </is>
      </c>
      <c r="D538">
        <f>L538</f>
        <v/>
      </c>
      <c r="E538">
        <f>SUMIFS(J:J, G:G,             A538, H:H, B538, L:L, L538)</f>
        <v/>
      </c>
      <c r="F538" t="inlineStr">
        <is>
          <t>PH0028</t>
        </is>
      </c>
      <c r="G538" t="inlineStr">
        <is>
          <t>Manansala Janine</t>
        </is>
      </c>
      <c r="H538" t="inlineStr">
        <is>
          <t>SSKs001PH:Shuruisouken support</t>
        </is>
      </c>
      <c r="I538" s="1" t="n">
        <v>45938</v>
      </c>
      <c r="J538" t="n">
        <v>0.25</v>
      </c>
      <c r="K538" t="inlineStr">
        <is>
          <t>95805</t>
        </is>
      </c>
      <c r="L538">
        <f>IFERROR(LEFT(K538,             FIND(",", K538) - 1), "-")</f>
        <v/>
      </c>
      <c r="M538">
        <f>IFERROR(MID(K538,             FIND(",", K538) + 1, LEN(K538) - FIND(",", K538)), K538)</f>
        <v/>
      </c>
      <c r="N538" t="n">
        <v>1</v>
      </c>
      <c r="P538" t="inlineStr">
        <is>
          <t>15:30</t>
        </is>
      </c>
      <c r="Q538" t="inlineStr">
        <is>
          <t>15:45</t>
        </is>
      </c>
    </row>
    <row r="539">
      <c r="A539" t="inlineStr">
        <is>
          <t>Manansala Janine</t>
        </is>
      </c>
      <c r="B539" t="inlineStr">
        <is>
          <t>SSKs001PH:Shuruisouken support</t>
        </is>
      </c>
      <c r="D539">
        <f>L539</f>
        <v/>
      </c>
      <c r="E539">
        <f>SUMIFS(J:J, G:G,             A539, H:H, B539, L:L, L539)</f>
        <v/>
      </c>
      <c r="F539" t="inlineStr">
        <is>
          <t>PH0028</t>
        </is>
      </c>
      <c r="G539" t="inlineStr">
        <is>
          <t>Manansala Janine</t>
        </is>
      </c>
      <c r="H539" t="inlineStr">
        <is>
          <t>SSKs001PH:Shuruisouken support</t>
        </is>
      </c>
      <c r="I539" s="1" t="n">
        <v>45938</v>
      </c>
      <c r="J539" t="n">
        <v>0.25</v>
      </c>
      <c r="K539" t="inlineStr">
        <is>
          <t>95805</t>
        </is>
      </c>
      <c r="L539">
        <f>IFERROR(LEFT(K539,             FIND(",", K539) - 1), "-")</f>
        <v/>
      </c>
      <c r="M539">
        <f>IFERROR(MID(K539,             FIND(",", K539) + 1, LEN(K539) - FIND(",", K539)), K539)</f>
        <v/>
      </c>
      <c r="N539" t="n">
        <v>3</v>
      </c>
      <c r="P539" t="inlineStr">
        <is>
          <t>16:00</t>
        </is>
      </c>
      <c r="Q539" t="inlineStr">
        <is>
          <t>16:15</t>
        </is>
      </c>
    </row>
    <row r="540">
      <c r="A540" t="inlineStr">
        <is>
          <t>Manansala Janine</t>
        </is>
      </c>
      <c r="B540" t="inlineStr">
        <is>
          <t>TCNz001PH:Internal operations</t>
        </is>
      </c>
      <c r="C540">
        <f>SUMIFS(J:J, G:G,             A540, H:H, B540)</f>
        <v/>
      </c>
      <c r="D540">
        <f>L540</f>
        <v/>
      </c>
      <c r="E540">
        <f>SUMIFS(J:J, G:G,             A540, H:H, B540, L:L, L540)</f>
        <v/>
      </c>
      <c r="F540" t="inlineStr">
        <is>
          <t>PH0028</t>
        </is>
      </c>
      <c r="G540" t="inlineStr">
        <is>
          <t>Manansala Janine</t>
        </is>
      </c>
      <c r="H540" t="inlineStr">
        <is>
          <t>TCNz001PH:Internal operations</t>
        </is>
      </c>
      <c r="I540" s="1" t="n">
        <v>45932</v>
      </c>
      <c r="J540" t="n">
        <v>0.5</v>
      </c>
      <c r="K540" t="inlineStr">
        <is>
          <t>95764 Discussion with dev</t>
        </is>
      </c>
      <c r="L540">
        <f>IFERROR(LEFT(K540,             FIND(",", K540) - 1), "-")</f>
        <v/>
      </c>
      <c r="M540">
        <f>IFERROR(MID(K540,             FIND(",", K540) + 1, LEN(K540) - FIND(",", K540)), K540)</f>
        <v/>
      </c>
      <c r="N540" t="n">
        <v>5</v>
      </c>
      <c r="P540" t="inlineStr">
        <is>
          <t>08:30</t>
        </is>
      </c>
      <c r="Q540" t="inlineStr">
        <is>
          <t>09:00</t>
        </is>
      </c>
    </row>
    <row r="541">
      <c r="A541" t="inlineStr">
        <is>
          <t>Manansala Janine</t>
        </is>
      </c>
      <c r="B541" t="inlineStr">
        <is>
          <t>TCNz001PH:Internal operations</t>
        </is>
      </c>
      <c r="D541">
        <f>L541</f>
        <v/>
      </c>
      <c r="E541">
        <f>SUMIFS(J:J, G:G,             A541, H:H, B541, L:L, L541)</f>
        <v/>
      </c>
      <c r="F541" t="inlineStr">
        <is>
          <t>PH0028</t>
        </is>
      </c>
      <c r="G541" t="inlineStr">
        <is>
          <t>Manansala Janine</t>
        </is>
      </c>
      <c r="H541" t="inlineStr">
        <is>
          <t>TCNz001PH:Internal operations</t>
        </is>
      </c>
      <c r="I541" s="1" t="n">
        <v>45952</v>
      </c>
      <c r="J541" t="n">
        <v>0.5</v>
      </c>
      <c r="K541" t="inlineStr">
        <is>
          <t>95830 QA with dev</t>
        </is>
      </c>
      <c r="L541">
        <f>IFERROR(LEFT(K541,             FIND(",", K541) - 1), "-")</f>
        <v/>
      </c>
      <c r="M541">
        <f>IFERROR(MID(K541,             FIND(",", K541) + 1, LEN(K541) - FIND(",", K541)), K541)</f>
        <v/>
      </c>
      <c r="N541" t="n">
        <v>5</v>
      </c>
      <c r="P541" t="inlineStr">
        <is>
          <t>09:30</t>
        </is>
      </c>
      <c r="Q541" t="inlineStr">
        <is>
          <t>10:00</t>
        </is>
      </c>
    </row>
    <row r="542">
      <c r="A542" t="inlineStr">
        <is>
          <t>Manansala Janine</t>
        </is>
      </c>
      <c r="B542" t="inlineStr">
        <is>
          <t>TCNz001PH:Internal operations</t>
        </is>
      </c>
      <c r="D542">
        <f>L542</f>
        <v/>
      </c>
      <c r="E542">
        <f>SUMIFS(J:J, G:G,             A542, H:H, B542, L:L, L542)</f>
        <v/>
      </c>
      <c r="F542" t="inlineStr">
        <is>
          <t>PH0028</t>
        </is>
      </c>
      <c r="G542" t="inlineStr">
        <is>
          <t>Manansala Janine</t>
        </is>
      </c>
      <c r="H542" t="inlineStr">
        <is>
          <t>TCNz001PH:Internal operations</t>
        </is>
      </c>
      <c r="I542" s="1" t="n">
        <v>45951</v>
      </c>
      <c r="J542" t="n">
        <v>0.5</v>
      </c>
      <c r="K542" t="inlineStr">
        <is>
          <t>Discussion w/ Dev QA regarding Culture spec</t>
        </is>
      </c>
      <c r="L542">
        <f>IFERROR(LEFT(K542,             FIND(",", K542) - 1), "-")</f>
        <v/>
      </c>
      <c r="M542">
        <f>IFERROR(MID(K542,             FIND(",", K542) + 1, LEN(K542) - FIND(",", K542)), K542)</f>
        <v/>
      </c>
      <c r="N542" t="n">
        <v>5</v>
      </c>
      <c r="P542" t="inlineStr">
        <is>
          <t>08:00</t>
        </is>
      </c>
      <c r="Q542" t="inlineStr">
        <is>
          <t>08:30</t>
        </is>
      </c>
    </row>
    <row r="543">
      <c r="A543" t="inlineStr">
        <is>
          <t>Manansala Janine</t>
        </is>
      </c>
      <c r="B543" t="inlineStr">
        <is>
          <t>TCNz001PH:Internal operations</t>
        </is>
      </c>
      <c r="D543">
        <f>L543</f>
        <v/>
      </c>
      <c r="E543">
        <f>SUMIFS(J:J, G:G,             A543, H:H, B543, L:L, L543)</f>
        <v/>
      </c>
      <c r="F543" t="inlineStr">
        <is>
          <t>PH0028</t>
        </is>
      </c>
      <c r="G543" t="inlineStr">
        <is>
          <t>Manansala Janine</t>
        </is>
      </c>
      <c r="H543" t="inlineStr">
        <is>
          <t>TCNz001PH:Internal operations</t>
        </is>
      </c>
      <c r="I543" s="1" t="n">
        <v>45937</v>
      </c>
      <c r="J543" t="n">
        <v>1</v>
      </c>
      <c r="K543" t="inlineStr">
        <is>
          <t>Meeting</t>
        </is>
      </c>
      <c r="L543">
        <f>IFERROR(LEFT(K543,             FIND(",", K543) - 1), "-")</f>
        <v/>
      </c>
      <c r="M543">
        <f>IFERROR(MID(K543,             FIND(",", K543) + 1, LEN(K543) - FIND(",", K543)), K543)</f>
        <v/>
      </c>
      <c r="N543" t="n">
        <v>5</v>
      </c>
      <c r="P543" t="inlineStr">
        <is>
          <t>16:00</t>
        </is>
      </c>
      <c r="Q543" t="inlineStr">
        <is>
          <t>17:00</t>
        </is>
      </c>
    </row>
    <row r="544">
      <c r="A544" t="inlineStr">
        <is>
          <t>Manansala Janine</t>
        </is>
      </c>
      <c r="B544" t="inlineStr">
        <is>
          <t>TCNz001PH:Internal operations</t>
        </is>
      </c>
      <c r="D544">
        <f>L544</f>
        <v/>
      </c>
      <c r="E544">
        <f>SUMIFS(J:J, G:G,             A544, H:H, B544, L:L, L544)</f>
        <v/>
      </c>
      <c r="F544" t="inlineStr">
        <is>
          <t>PH0028</t>
        </is>
      </c>
      <c r="G544" t="inlineStr">
        <is>
          <t>Manansala Janine</t>
        </is>
      </c>
      <c r="H544" t="inlineStr">
        <is>
          <t>TCNz001PH:Internal operations</t>
        </is>
      </c>
      <c r="I544" s="1" t="n">
        <v>45938</v>
      </c>
      <c r="J544" t="n">
        <v>1</v>
      </c>
      <c r="K544" t="inlineStr">
        <is>
          <t>Reading japanese</t>
        </is>
      </c>
      <c r="L544">
        <f>IFERROR(LEFT(K544,             FIND(",", K544) - 1), "-")</f>
        <v/>
      </c>
      <c r="M544">
        <f>IFERROR(MID(K544,             FIND(",", K544) + 1, LEN(K544) - FIND(",", K544)), K544)</f>
        <v/>
      </c>
      <c r="N544" t="n">
        <v>5</v>
      </c>
      <c r="P544" t="inlineStr">
        <is>
          <t>08:00</t>
        </is>
      </c>
      <c r="Q544" t="inlineStr">
        <is>
          <t>09:00</t>
        </is>
      </c>
    </row>
    <row r="545">
      <c r="A545" t="inlineStr">
        <is>
          <t>Manansala Janine</t>
        </is>
      </c>
      <c r="B545" t="inlineStr">
        <is>
          <t>TCNz001PH:Internal operations</t>
        </is>
      </c>
      <c r="D545">
        <f>L545</f>
        <v/>
      </c>
      <c r="E545">
        <f>SUMIFS(J:J, G:G,             A545, H:H, B545, L:L, L545)</f>
        <v/>
      </c>
      <c r="F545" t="inlineStr">
        <is>
          <t>PH0028</t>
        </is>
      </c>
      <c r="G545" t="inlineStr">
        <is>
          <t>Manansala Janine</t>
        </is>
      </c>
      <c r="H545" t="inlineStr">
        <is>
          <t>TCNz001PH:Internal operations</t>
        </is>
      </c>
      <c r="I545" s="1" t="n">
        <v>45938</v>
      </c>
      <c r="J545" t="n">
        <v>1.5</v>
      </c>
      <c r="K545" t="inlineStr">
        <is>
          <t>Reading japanese</t>
        </is>
      </c>
      <c r="L545">
        <f>IFERROR(LEFT(K545,             FIND(",", K545) - 1), "-")</f>
        <v/>
      </c>
      <c r="M545">
        <f>IFERROR(MID(K545,             FIND(",", K545) + 1, LEN(K545) - FIND(",", K545)), K545)</f>
        <v/>
      </c>
      <c r="N545" t="n">
        <v>5</v>
      </c>
      <c r="P545" t="inlineStr">
        <is>
          <t>09:15</t>
        </is>
      </c>
      <c r="Q545" t="inlineStr">
        <is>
          <t>10:45</t>
        </is>
      </c>
    </row>
    <row r="546">
      <c r="A546" t="inlineStr">
        <is>
          <t>Manansala Janine</t>
        </is>
      </c>
      <c r="B546" t="inlineStr">
        <is>
          <t>TCNz001PH:Internal operations</t>
        </is>
      </c>
      <c r="D546">
        <f>L546</f>
        <v/>
      </c>
      <c r="E546">
        <f>SUMIFS(J:J, G:G,             A546, H:H, B546, L:L, L546)</f>
        <v/>
      </c>
      <c r="F546" t="inlineStr">
        <is>
          <t>PH0028</t>
        </is>
      </c>
      <c r="G546" t="inlineStr">
        <is>
          <t>Manansala Janine</t>
        </is>
      </c>
      <c r="H546" t="inlineStr">
        <is>
          <t>TCNz001PH:Internal operations</t>
        </is>
      </c>
      <c r="I546" s="1" t="n">
        <v>45931</v>
      </c>
      <c r="J546" t="n">
        <v>1</v>
      </c>
      <c r="K546" t="inlineStr">
        <is>
          <t>Reading japanese materials</t>
        </is>
      </c>
      <c r="L546">
        <f>IFERROR(LEFT(K546,             FIND(",", K546) - 1), "-")</f>
        <v/>
      </c>
      <c r="M546">
        <f>IFERROR(MID(K546,             FIND(",", K546) + 1, LEN(K546) - FIND(",", K546)), K546)</f>
        <v/>
      </c>
      <c r="N546" t="n">
        <v>5</v>
      </c>
      <c r="P546" t="inlineStr">
        <is>
          <t>08:15</t>
        </is>
      </c>
      <c r="Q546" t="inlineStr">
        <is>
          <t>09:15</t>
        </is>
      </c>
    </row>
    <row r="547">
      <c r="A547" t="inlineStr">
        <is>
          <t>Manansala Janine</t>
        </is>
      </c>
      <c r="B547" t="inlineStr">
        <is>
          <t>TCNz001PH:Internal operations</t>
        </is>
      </c>
      <c r="D547">
        <f>L547</f>
        <v/>
      </c>
      <c r="E547">
        <f>SUMIFS(J:J, G:G,             A547, H:H, B547, L:L, L547)</f>
        <v/>
      </c>
      <c r="F547" t="inlineStr">
        <is>
          <t>PH0028</t>
        </is>
      </c>
      <c r="G547" t="inlineStr">
        <is>
          <t>Manansala Janine</t>
        </is>
      </c>
      <c r="H547" t="inlineStr">
        <is>
          <t>TCNz001PH:Internal operations</t>
        </is>
      </c>
      <c r="I547" s="1" t="n">
        <v>45937</v>
      </c>
      <c r="J547" t="n">
        <v>1</v>
      </c>
      <c r="K547" t="inlineStr">
        <is>
          <t>Reading japanese materials</t>
        </is>
      </c>
      <c r="L547">
        <f>IFERROR(LEFT(K547,             FIND(",", K547) - 1), "-")</f>
        <v/>
      </c>
      <c r="M547">
        <f>IFERROR(MID(K547,             FIND(",", K547) + 1, LEN(K547) - FIND(",", K547)), K547)</f>
        <v/>
      </c>
      <c r="N547" t="n">
        <v>5</v>
      </c>
      <c r="P547" t="inlineStr">
        <is>
          <t>13:45</t>
        </is>
      </c>
      <c r="Q547" t="inlineStr">
        <is>
          <t>14:45</t>
        </is>
      </c>
    </row>
    <row r="548">
      <c r="A548" t="inlineStr">
        <is>
          <t>Manansala Janine</t>
        </is>
      </c>
      <c r="B548" t="inlineStr">
        <is>
          <t>TCNz001PH:Internal operations</t>
        </is>
      </c>
      <c r="D548">
        <f>L548</f>
        <v/>
      </c>
      <c r="E548">
        <f>SUMIFS(J:J, G:G,             A548, H:H, B548, L:L, L548)</f>
        <v/>
      </c>
      <c r="F548" t="inlineStr">
        <is>
          <t>PH0028</t>
        </is>
      </c>
      <c r="G548" t="inlineStr">
        <is>
          <t>Manansala Janine</t>
        </is>
      </c>
      <c r="H548" t="inlineStr">
        <is>
          <t>TCNz001PH:Internal operations</t>
        </is>
      </c>
      <c r="I548" s="1" t="n">
        <v>45939</v>
      </c>
      <c r="J548" t="n">
        <v>0.25</v>
      </c>
      <c r="K548" t="inlineStr">
        <is>
          <t>Reading japanese materials</t>
        </is>
      </c>
      <c r="L548">
        <f>IFERROR(LEFT(K548,             FIND(",", K548) - 1), "-")</f>
        <v/>
      </c>
      <c r="M548">
        <f>IFERROR(MID(K548,             FIND(",", K548) + 1, LEN(K548) - FIND(",", K548)), K548)</f>
        <v/>
      </c>
      <c r="N548" t="n">
        <v>5</v>
      </c>
      <c r="P548" t="inlineStr">
        <is>
          <t>13:45</t>
        </is>
      </c>
      <c r="Q548" t="inlineStr">
        <is>
          <t>14:00</t>
        </is>
      </c>
    </row>
    <row r="549">
      <c r="A549" t="inlineStr">
        <is>
          <t>Manansala Janine</t>
        </is>
      </c>
      <c r="B549" t="inlineStr">
        <is>
          <t>TCNz001PH:Internal operations</t>
        </is>
      </c>
      <c r="D549">
        <f>L549</f>
        <v/>
      </c>
      <c r="E549">
        <f>SUMIFS(J:J, G:G,             A549, H:H, B549, L:L, L549)</f>
        <v/>
      </c>
      <c r="F549" t="inlineStr">
        <is>
          <t>PH0028</t>
        </is>
      </c>
      <c r="G549" t="inlineStr">
        <is>
          <t>Manansala Janine</t>
        </is>
      </c>
      <c r="H549" t="inlineStr">
        <is>
          <t>TCNz001PH:Internal operations</t>
        </is>
      </c>
      <c r="I549" s="1" t="n">
        <v>45939</v>
      </c>
      <c r="J549" t="n">
        <v>0.75</v>
      </c>
      <c r="K549" t="inlineStr">
        <is>
          <t>Reading japanese materials</t>
        </is>
      </c>
      <c r="L549">
        <f>IFERROR(LEFT(K549,             FIND(",", K549) - 1), "-")</f>
        <v/>
      </c>
      <c r="M549">
        <f>IFERROR(MID(K549,             FIND(",", K549) + 1, LEN(K549) - FIND(",", K549)), K549)</f>
        <v/>
      </c>
      <c r="N549" t="n">
        <v>5</v>
      </c>
      <c r="P549" t="inlineStr">
        <is>
          <t>14:15</t>
        </is>
      </c>
      <c r="Q549" t="inlineStr">
        <is>
          <t>15:00</t>
        </is>
      </c>
    </row>
    <row r="550">
      <c r="A550" t="inlineStr">
        <is>
          <t>Manansala Janine</t>
        </is>
      </c>
      <c r="B550" t="inlineStr">
        <is>
          <t>TCNz001PH:Internal operations</t>
        </is>
      </c>
      <c r="D550">
        <f>L550</f>
        <v/>
      </c>
      <c r="E550">
        <f>SUMIFS(J:J, G:G,             A550, H:H, B550, L:L, L550)</f>
        <v/>
      </c>
      <c r="F550" t="inlineStr">
        <is>
          <t>PH0028</t>
        </is>
      </c>
      <c r="G550" t="inlineStr">
        <is>
          <t>Manansala Janine</t>
        </is>
      </c>
      <c r="H550" t="inlineStr">
        <is>
          <t>TCNz001PH:Internal operations</t>
        </is>
      </c>
      <c r="I550" s="1" t="n">
        <v>45939</v>
      </c>
      <c r="J550" t="n">
        <v>1.75</v>
      </c>
      <c r="K550" t="inlineStr">
        <is>
          <t>Reading japanese materials</t>
        </is>
      </c>
      <c r="L550">
        <f>IFERROR(LEFT(K550,             FIND(",", K550) - 1), "-")</f>
        <v/>
      </c>
      <c r="M550">
        <f>IFERROR(MID(K550,             FIND(",", K550) + 1, LEN(K550) - FIND(",", K550)), K550)</f>
        <v/>
      </c>
      <c r="N550" t="n">
        <v>5</v>
      </c>
      <c r="P550" t="inlineStr">
        <is>
          <t>15:15</t>
        </is>
      </c>
      <c r="Q550" t="inlineStr">
        <is>
          <t>17:00</t>
        </is>
      </c>
    </row>
    <row r="551">
      <c r="A551" t="inlineStr">
        <is>
          <t>Manansala Janine</t>
        </is>
      </c>
      <c r="B551" t="inlineStr">
        <is>
          <t>TCNz001PH:Internal operations</t>
        </is>
      </c>
      <c r="D551">
        <f>L551</f>
        <v/>
      </c>
      <c r="E551">
        <f>SUMIFS(J:J, G:G,             A551, H:H, B551, L:L, L551)</f>
        <v/>
      </c>
      <c r="F551" t="inlineStr">
        <is>
          <t>PH0028</t>
        </is>
      </c>
      <c r="G551" t="inlineStr">
        <is>
          <t>Manansala Janine</t>
        </is>
      </c>
      <c r="H551" t="inlineStr">
        <is>
          <t>TCNz001PH:Internal operations</t>
        </is>
      </c>
      <c r="I551" s="1" t="n">
        <v>45943</v>
      </c>
      <c r="J551" t="n">
        <v>1.5</v>
      </c>
      <c r="K551" t="inlineStr">
        <is>
          <t>Reading japanese materials</t>
        </is>
      </c>
      <c r="L551">
        <f>IFERROR(LEFT(K551,             FIND(",", K551) - 1), "-")</f>
        <v/>
      </c>
      <c r="M551">
        <f>IFERROR(MID(K551,             FIND(",", K551) + 1, LEN(K551) - FIND(",", K551)), K551)</f>
        <v/>
      </c>
      <c r="N551" t="n">
        <v>5</v>
      </c>
      <c r="P551" t="inlineStr">
        <is>
          <t>08:00</t>
        </is>
      </c>
      <c r="Q551" t="inlineStr">
        <is>
          <t>09:30</t>
        </is>
      </c>
    </row>
    <row r="552">
      <c r="A552" t="inlineStr">
        <is>
          <t>Manansala Janine</t>
        </is>
      </c>
      <c r="B552" t="inlineStr">
        <is>
          <t>TCNz001PH:Internal operations</t>
        </is>
      </c>
      <c r="D552">
        <f>L552</f>
        <v/>
      </c>
      <c r="E552">
        <f>SUMIFS(J:J, G:G,             A552, H:H, B552, L:L, L552)</f>
        <v/>
      </c>
      <c r="F552" t="inlineStr">
        <is>
          <t>PH0028</t>
        </is>
      </c>
      <c r="G552" t="inlineStr">
        <is>
          <t>Manansala Janine</t>
        </is>
      </c>
      <c r="H552" t="inlineStr">
        <is>
          <t>TCNz001PH:Internal operations</t>
        </is>
      </c>
      <c r="I552" s="1" t="n">
        <v>45943</v>
      </c>
      <c r="J552" t="n">
        <v>1</v>
      </c>
      <c r="K552" t="inlineStr">
        <is>
          <t>Reading japanese materials</t>
        </is>
      </c>
      <c r="L552">
        <f>IFERROR(LEFT(K552,             FIND(",", K552) - 1), "-")</f>
        <v/>
      </c>
      <c r="M552">
        <f>IFERROR(MID(K552,             FIND(",", K552) + 1, LEN(K552) - FIND(",", K552)), K552)</f>
        <v/>
      </c>
      <c r="N552" t="n">
        <v>5</v>
      </c>
      <c r="P552" t="inlineStr">
        <is>
          <t>10:00</t>
        </is>
      </c>
      <c r="Q552" t="inlineStr">
        <is>
          <t>11:00</t>
        </is>
      </c>
    </row>
    <row r="553">
      <c r="A553" t="inlineStr">
        <is>
          <t>Manansala Janine</t>
        </is>
      </c>
      <c r="B553" t="inlineStr">
        <is>
          <t>TCNz001PH:Internal operations</t>
        </is>
      </c>
      <c r="D553">
        <f>L553</f>
        <v/>
      </c>
      <c r="E553">
        <f>SUMIFS(J:J, G:G,             A553, H:H, B553, L:L, L553)</f>
        <v/>
      </c>
      <c r="F553" t="inlineStr">
        <is>
          <t>PH0028</t>
        </is>
      </c>
      <c r="G553" t="inlineStr">
        <is>
          <t>Manansala Janine</t>
        </is>
      </c>
      <c r="H553" t="inlineStr">
        <is>
          <t>TCNz001PH:Internal operations</t>
        </is>
      </c>
      <c r="I553" s="1" t="n">
        <v>45943</v>
      </c>
      <c r="J553" t="n">
        <v>4.5</v>
      </c>
      <c r="K553" t="inlineStr">
        <is>
          <t>Reading japanese materials</t>
        </is>
      </c>
      <c r="L553">
        <f>IFERROR(LEFT(K553,             FIND(",", K553) - 1), "-")</f>
        <v/>
      </c>
      <c r="M553">
        <f>IFERROR(MID(K553,             FIND(",", K553) + 1, LEN(K553) - FIND(",", K553)), K553)</f>
        <v/>
      </c>
      <c r="N553" t="n">
        <v>5</v>
      </c>
      <c r="P553" t="inlineStr">
        <is>
          <t>12:00</t>
        </is>
      </c>
      <c r="Q553" t="inlineStr">
        <is>
          <t>16:30</t>
        </is>
      </c>
    </row>
    <row r="554">
      <c r="A554" t="inlineStr">
        <is>
          <t>Manansala Janine</t>
        </is>
      </c>
      <c r="B554" t="inlineStr">
        <is>
          <t>TCNz001PH:Internal operations</t>
        </is>
      </c>
      <c r="D554">
        <f>L554</f>
        <v/>
      </c>
      <c r="E554">
        <f>SUMIFS(J:J, G:G,             A554, H:H, B554, L:L, L554)</f>
        <v/>
      </c>
      <c r="F554" t="inlineStr">
        <is>
          <t>PH0028</t>
        </is>
      </c>
      <c r="G554" t="inlineStr">
        <is>
          <t>Manansala Janine</t>
        </is>
      </c>
      <c r="H554" t="inlineStr">
        <is>
          <t>TCNz001PH:Internal operations</t>
        </is>
      </c>
      <c r="I554" s="1" t="n">
        <v>45945</v>
      </c>
      <c r="J554" t="n">
        <v>1.75</v>
      </c>
      <c r="K554" t="inlineStr">
        <is>
          <t>Reading japanese materials</t>
        </is>
      </c>
      <c r="L554">
        <f>IFERROR(LEFT(K554,             FIND(",", K554) - 1), "-")</f>
        <v/>
      </c>
      <c r="M554">
        <f>IFERROR(MID(K554,             FIND(",", K554) + 1, LEN(K554) - FIND(",", K554)), K554)</f>
        <v/>
      </c>
      <c r="N554" t="n">
        <v>5</v>
      </c>
      <c r="P554" t="inlineStr">
        <is>
          <t>08:00</t>
        </is>
      </c>
      <c r="Q554" t="inlineStr">
        <is>
          <t>09:45</t>
        </is>
      </c>
    </row>
    <row r="555">
      <c r="A555" t="inlineStr">
        <is>
          <t>Manansala Janine</t>
        </is>
      </c>
      <c r="B555" t="inlineStr">
        <is>
          <t>TCNz001PH:Internal operations</t>
        </is>
      </c>
      <c r="D555">
        <f>L555</f>
        <v/>
      </c>
      <c r="E555">
        <f>SUMIFS(J:J, G:G,             A555, H:H, B555, L:L, L555)</f>
        <v/>
      </c>
      <c r="F555" t="inlineStr">
        <is>
          <t>PH0028</t>
        </is>
      </c>
      <c r="G555" t="inlineStr">
        <is>
          <t>Manansala Janine</t>
        </is>
      </c>
      <c r="H555" t="inlineStr">
        <is>
          <t>TCNz001PH:Internal operations</t>
        </is>
      </c>
      <c r="I555" s="1" t="n">
        <v>45945</v>
      </c>
      <c r="J555" t="n">
        <v>1</v>
      </c>
      <c r="K555" t="inlineStr">
        <is>
          <t>Reading japanese materials</t>
        </is>
      </c>
      <c r="L555">
        <f>IFERROR(LEFT(K555,             FIND(",", K555) - 1), "-")</f>
        <v/>
      </c>
      <c r="M555">
        <f>IFERROR(MID(K555,             FIND(",", K555) + 1, LEN(K555) - FIND(",", K555)), K555)</f>
        <v/>
      </c>
      <c r="N555" t="n">
        <v>5</v>
      </c>
      <c r="P555" t="inlineStr">
        <is>
          <t>10:00</t>
        </is>
      </c>
      <c r="Q555" t="inlineStr">
        <is>
          <t>11:00</t>
        </is>
      </c>
    </row>
    <row r="556">
      <c r="A556" t="inlineStr">
        <is>
          <t>Manansala Janine</t>
        </is>
      </c>
      <c r="B556" t="inlineStr">
        <is>
          <t>TCNz001PH:Internal operations</t>
        </is>
      </c>
      <c r="D556">
        <f>L556</f>
        <v/>
      </c>
      <c r="E556">
        <f>SUMIFS(J:J, G:G,             A556, H:H, B556, L:L, L556)</f>
        <v/>
      </c>
      <c r="F556" t="inlineStr">
        <is>
          <t>PH0028</t>
        </is>
      </c>
      <c r="G556" t="inlineStr">
        <is>
          <t>Manansala Janine</t>
        </is>
      </c>
      <c r="H556" t="inlineStr">
        <is>
          <t>TCNz001PH:Internal operations</t>
        </is>
      </c>
      <c r="I556" s="1" t="n">
        <v>45945</v>
      </c>
      <c r="J556" t="n">
        <v>4</v>
      </c>
      <c r="K556" t="inlineStr">
        <is>
          <t>Reading japanese materials</t>
        </is>
      </c>
      <c r="L556">
        <f>IFERROR(LEFT(K556,             FIND(",", K556) - 1), "-")</f>
        <v/>
      </c>
      <c r="M556">
        <f>IFERROR(MID(K556,             FIND(",", K556) + 1, LEN(K556) - FIND(",", K556)), K556)</f>
        <v/>
      </c>
      <c r="N556" t="n">
        <v>5</v>
      </c>
      <c r="P556" t="inlineStr">
        <is>
          <t>12:15</t>
        </is>
      </c>
      <c r="Q556" t="inlineStr">
        <is>
          <t>16:15</t>
        </is>
      </c>
    </row>
    <row r="557">
      <c r="A557" t="inlineStr">
        <is>
          <t>Manansala Janine</t>
        </is>
      </c>
      <c r="B557" t="inlineStr">
        <is>
          <t>TCNz001PH:Internal operations</t>
        </is>
      </c>
      <c r="D557">
        <f>L557</f>
        <v/>
      </c>
      <c r="E557">
        <f>SUMIFS(J:J, G:G,             A557, H:H, B557, L:L, L557)</f>
        <v/>
      </c>
      <c r="F557" t="inlineStr">
        <is>
          <t>PH0028</t>
        </is>
      </c>
      <c r="G557" t="inlineStr">
        <is>
          <t>Manansala Janine</t>
        </is>
      </c>
      <c r="H557" t="inlineStr">
        <is>
          <t>TCNz001PH:Internal operations</t>
        </is>
      </c>
      <c r="I557" s="1" t="n">
        <v>45950</v>
      </c>
      <c r="J557" t="n">
        <v>2.25</v>
      </c>
      <c r="K557" t="inlineStr">
        <is>
          <t>Reading japanese materials</t>
        </is>
      </c>
      <c r="L557">
        <f>IFERROR(LEFT(K557,             FIND(",", K557) - 1), "-")</f>
        <v/>
      </c>
      <c r="M557">
        <f>IFERROR(MID(K557,             FIND(",", K557) + 1, LEN(K557) - FIND(",", K557)), K557)</f>
        <v/>
      </c>
      <c r="N557" t="n">
        <v>5</v>
      </c>
      <c r="P557" t="inlineStr">
        <is>
          <t>08:45</t>
        </is>
      </c>
      <c r="Q557" t="inlineStr">
        <is>
          <t>11:00</t>
        </is>
      </c>
    </row>
    <row r="558">
      <c r="A558" t="inlineStr">
        <is>
          <t>Manansala Janine</t>
        </is>
      </c>
      <c r="B558" t="inlineStr">
        <is>
          <t>TCNz001PH:Internal operations</t>
        </is>
      </c>
      <c r="D558">
        <f>L558</f>
        <v/>
      </c>
      <c r="E558">
        <f>SUMIFS(J:J, G:G,             A558, H:H, B558, L:L, L558)</f>
        <v/>
      </c>
      <c r="F558" t="inlineStr">
        <is>
          <t>PH0028</t>
        </is>
      </c>
      <c r="G558" t="inlineStr">
        <is>
          <t>Manansala Janine</t>
        </is>
      </c>
      <c r="H558" t="inlineStr">
        <is>
          <t>TCNz001PH:Internal operations</t>
        </is>
      </c>
      <c r="I558" s="1" t="n">
        <v>45950</v>
      </c>
      <c r="J558" t="n">
        <v>5</v>
      </c>
      <c r="K558" t="inlineStr">
        <is>
          <t>Reading japanese materials</t>
        </is>
      </c>
      <c r="L558">
        <f>IFERROR(LEFT(K558,             FIND(",", K558) - 1), "-")</f>
        <v/>
      </c>
      <c r="M558">
        <f>IFERROR(MID(K558,             FIND(",", K558) + 1, LEN(K558) - FIND(",", K558)), K558)</f>
        <v/>
      </c>
      <c r="N558" t="n">
        <v>5</v>
      </c>
      <c r="P558" t="inlineStr">
        <is>
          <t>12:00</t>
        </is>
      </c>
      <c r="Q558" t="inlineStr">
        <is>
          <t>17:00</t>
        </is>
      </c>
    </row>
    <row r="559">
      <c r="A559" t="inlineStr">
        <is>
          <t>Manansala Janine</t>
        </is>
      </c>
      <c r="B559" t="inlineStr">
        <is>
          <t>TCNz001PH:Internal operations</t>
        </is>
      </c>
      <c r="D559">
        <f>L559</f>
        <v/>
      </c>
      <c r="E559">
        <f>SUMIFS(J:J, G:G,             A559, H:H, B559, L:L, L559)</f>
        <v/>
      </c>
      <c r="F559" t="inlineStr">
        <is>
          <t>PH0028</t>
        </is>
      </c>
      <c r="G559" t="inlineStr">
        <is>
          <t>Manansala Janine</t>
        </is>
      </c>
      <c r="H559" t="inlineStr">
        <is>
          <t>TCNz001PH:Internal operations</t>
        </is>
      </c>
      <c r="I559" s="1" t="n">
        <v>45951</v>
      </c>
      <c r="J559" t="n">
        <v>2</v>
      </c>
      <c r="K559" t="inlineStr">
        <is>
          <t>Reading japanese materials</t>
        </is>
      </c>
      <c r="L559">
        <f>IFERROR(LEFT(K559,             FIND(",", K559) - 1), "-")</f>
        <v/>
      </c>
      <c r="M559">
        <f>IFERROR(MID(K559,             FIND(",", K559) + 1, LEN(K559) - FIND(",", K559)), K559)</f>
        <v/>
      </c>
      <c r="N559" t="n">
        <v>5</v>
      </c>
      <c r="P559" t="inlineStr">
        <is>
          <t>09:00</t>
        </is>
      </c>
      <c r="Q559" t="inlineStr">
        <is>
          <t>11:00</t>
        </is>
      </c>
    </row>
    <row r="560">
      <c r="A560" t="inlineStr">
        <is>
          <t>Manansala Janine</t>
        </is>
      </c>
      <c r="B560" t="inlineStr">
        <is>
          <t>TCNz001PH:Internal operations</t>
        </is>
      </c>
      <c r="D560">
        <f>L560</f>
        <v/>
      </c>
      <c r="E560">
        <f>SUMIFS(J:J, G:G,             A560, H:H, B560, L:L, L560)</f>
        <v/>
      </c>
      <c r="F560" t="inlineStr">
        <is>
          <t>PH0028</t>
        </is>
      </c>
      <c r="G560" t="inlineStr">
        <is>
          <t>Manansala Janine</t>
        </is>
      </c>
      <c r="H560" t="inlineStr">
        <is>
          <t>TCNz001PH:Internal operations</t>
        </is>
      </c>
      <c r="I560" s="1" t="n">
        <v>45951</v>
      </c>
      <c r="J560" t="n">
        <v>5</v>
      </c>
      <c r="K560" t="inlineStr">
        <is>
          <t>Reading japanese materials</t>
        </is>
      </c>
      <c r="L560">
        <f>IFERROR(LEFT(K560,             FIND(",", K560) - 1), "-")</f>
        <v/>
      </c>
      <c r="M560">
        <f>IFERROR(MID(K560,             FIND(",", K560) + 1, LEN(K560) - FIND(",", K560)), K560)</f>
        <v/>
      </c>
      <c r="N560" t="n">
        <v>5</v>
      </c>
      <c r="P560" t="inlineStr">
        <is>
          <t>12:00</t>
        </is>
      </c>
      <c r="Q560" t="inlineStr">
        <is>
          <t>17:00</t>
        </is>
      </c>
    </row>
    <row r="561">
      <c r="A561" t="inlineStr">
        <is>
          <t>Manansala Janine</t>
        </is>
      </c>
      <c r="B561" t="inlineStr">
        <is>
          <t>TCNz001PH:Internal operations</t>
        </is>
      </c>
      <c r="D561">
        <f>L561</f>
        <v/>
      </c>
      <c r="E561">
        <f>SUMIFS(J:J, G:G,             A561, H:H, B561, L:L, L561)</f>
        <v/>
      </c>
      <c r="F561" t="inlineStr">
        <is>
          <t>PH0028</t>
        </is>
      </c>
      <c r="G561" t="inlineStr">
        <is>
          <t>Manansala Janine</t>
        </is>
      </c>
      <c r="H561" t="inlineStr">
        <is>
          <t>TCNz001PH:Internal operations</t>
        </is>
      </c>
      <c r="I561" s="1" t="n">
        <v>45931</v>
      </c>
      <c r="J561" t="n">
        <v>3.75</v>
      </c>
      <c r="K561" t="inlineStr">
        <is>
          <t>Reviewing spec</t>
        </is>
      </c>
      <c r="L561">
        <f>IFERROR(LEFT(K561,             FIND(",", K561) - 1), "-")</f>
        <v/>
      </c>
      <c r="M561">
        <f>IFERROR(MID(K561,             FIND(",", K561) + 1, LEN(K561) - FIND(",", K561)), K561)</f>
        <v/>
      </c>
      <c r="N561" t="n">
        <v>5</v>
      </c>
      <c r="P561" t="inlineStr">
        <is>
          <t>12:00</t>
        </is>
      </c>
      <c r="Q561" t="inlineStr">
        <is>
          <t>15:45</t>
        </is>
      </c>
    </row>
    <row r="562">
      <c r="A562" t="inlineStr">
        <is>
          <t>Manansala Janine</t>
        </is>
      </c>
      <c r="B562" t="inlineStr">
        <is>
          <t>TCNz001PH:Internal operations</t>
        </is>
      </c>
      <c r="D562">
        <f>L562</f>
        <v/>
      </c>
      <c r="E562">
        <f>SUMIFS(J:J, G:G,             A562, H:H, B562, L:L, L562)</f>
        <v/>
      </c>
      <c r="F562" t="inlineStr">
        <is>
          <t>PH0028</t>
        </is>
      </c>
      <c r="G562" t="inlineStr">
        <is>
          <t>Manansala Janine</t>
        </is>
      </c>
      <c r="H562" t="inlineStr">
        <is>
          <t>TCNz001PH:Internal operations</t>
        </is>
      </c>
      <c r="I562" s="1" t="n">
        <v>45939</v>
      </c>
      <c r="J562" t="n">
        <v>1.25</v>
      </c>
      <c r="K562" t="inlineStr">
        <is>
          <t>Reviewing spec</t>
        </is>
      </c>
      <c r="L562">
        <f>IFERROR(LEFT(K562,             FIND(",", K562) - 1), "-")</f>
        <v/>
      </c>
      <c r="M562">
        <f>IFERROR(MID(K562,             FIND(",", K562) + 1, LEN(K562) - FIND(",", K562)), K562)</f>
        <v/>
      </c>
      <c r="N562" t="n">
        <v>5</v>
      </c>
      <c r="P562" t="inlineStr">
        <is>
          <t>08:00</t>
        </is>
      </c>
      <c r="Q562" t="inlineStr">
        <is>
          <t>09:15</t>
        </is>
      </c>
    </row>
    <row r="563">
      <c r="A563" t="inlineStr">
        <is>
          <t>Manansala Janine</t>
        </is>
      </c>
      <c r="B563" t="inlineStr">
        <is>
          <t>TCNz001PH:Internal operations</t>
        </is>
      </c>
      <c r="D563">
        <f>L563</f>
        <v/>
      </c>
      <c r="E563">
        <f>SUMIFS(J:J, G:G,             A563, H:H, B563, L:L, L563)</f>
        <v/>
      </c>
      <c r="F563" t="inlineStr">
        <is>
          <t>PH0028</t>
        </is>
      </c>
      <c r="G563" t="inlineStr">
        <is>
          <t>Manansala Janine</t>
        </is>
      </c>
      <c r="H563" t="inlineStr">
        <is>
          <t>TCNz001PH:Internal operations</t>
        </is>
      </c>
      <c r="I563" s="1" t="n">
        <v>45951</v>
      </c>
      <c r="J563" t="n">
        <v>0.5</v>
      </c>
      <c r="K563" t="inlineStr">
        <is>
          <t>Reviewing spec</t>
        </is>
      </c>
      <c r="L563">
        <f>IFERROR(LEFT(K563,             FIND(",", K563) - 1), "-")</f>
        <v/>
      </c>
      <c r="M563">
        <f>IFERROR(MID(K563,             FIND(",", K563) + 1, LEN(K563) - FIND(",", K563)), K563)</f>
        <v/>
      </c>
      <c r="N563" t="n">
        <v>5</v>
      </c>
      <c r="P563" t="inlineStr">
        <is>
          <t>08:30</t>
        </is>
      </c>
      <c r="Q563" t="inlineStr">
        <is>
          <t>09:00</t>
        </is>
      </c>
    </row>
    <row r="564">
      <c r="A564" t="inlineStr">
        <is>
          <t>Manansala Janine</t>
        </is>
      </c>
      <c r="B564" t="inlineStr">
        <is>
          <t>TCNz001PH:Internal operations</t>
        </is>
      </c>
      <c r="D564">
        <f>L564</f>
        <v/>
      </c>
      <c r="E564">
        <f>SUMIFS(J:J, G:G,             A564, H:H, B564, L:L, L564)</f>
        <v/>
      </c>
      <c r="F564" t="inlineStr">
        <is>
          <t>PH0028</t>
        </is>
      </c>
      <c r="G564" t="inlineStr">
        <is>
          <t>Manansala Janine</t>
        </is>
      </c>
      <c r="H564" t="inlineStr">
        <is>
          <t>TCNz001PH:Internal operations</t>
        </is>
      </c>
      <c r="I564" s="1" t="n">
        <v>45932</v>
      </c>
      <c r="J564" t="n">
        <v>0.75</v>
      </c>
      <c r="K564" t="inlineStr">
        <is>
          <t>Study japanese</t>
        </is>
      </c>
      <c r="L564">
        <f>IFERROR(LEFT(K564,             FIND(",", K564) - 1), "-")</f>
        <v/>
      </c>
      <c r="M564">
        <f>IFERROR(MID(K564,             FIND(",", K564) + 1, LEN(K564) - FIND(",", K564)), K564)</f>
        <v/>
      </c>
      <c r="N564" t="n">
        <v>5</v>
      </c>
      <c r="P564" t="inlineStr">
        <is>
          <t>09:00</t>
        </is>
      </c>
      <c r="Q564" t="inlineStr">
        <is>
          <t>09:45</t>
        </is>
      </c>
    </row>
    <row r="565">
      <c r="A565" t="inlineStr">
        <is>
          <t>Manansala Janine</t>
        </is>
      </c>
      <c r="B565" t="inlineStr">
        <is>
          <t>TCNz001PH:Internal operations</t>
        </is>
      </c>
      <c r="D565">
        <f>L565</f>
        <v/>
      </c>
      <c r="E565">
        <f>SUMIFS(J:J, G:G,             A565, H:H, B565, L:L, L565)</f>
        <v/>
      </c>
      <c r="F565" t="inlineStr">
        <is>
          <t>PH0028</t>
        </is>
      </c>
      <c r="G565" t="inlineStr">
        <is>
          <t>Manansala Janine</t>
        </is>
      </c>
      <c r="H565" t="inlineStr">
        <is>
          <t>TCNz001PH:Internal operations</t>
        </is>
      </c>
      <c r="I565" s="1" t="n">
        <v>45932</v>
      </c>
      <c r="J565" t="n">
        <v>0.25</v>
      </c>
      <c r="K565" t="inlineStr">
        <is>
          <t>Study japanese</t>
        </is>
      </c>
      <c r="L565">
        <f>IFERROR(LEFT(K565,             FIND(",", K565) - 1), "-")</f>
        <v/>
      </c>
      <c r="M565">
        <f>IFERROR(MID(K565,             FIND(",", K565) + 1, LEN(K565) - FIND(",", K565)), K565)</f>
        <v/>
      </c>
      <c r="N565" t="n">
        <v>5</v>
      </c>
      <c r="P565" t="inlineStr">
        <is>
          <t>10:15</t>
        </is>
      </c>
      <c r="Q565" t="inlineStr">
        <is>
          <t>10:30</t>
        </is>
      </c>
    </row>
    <row r="566">
      <c r="A566" t="inlineStr">
        <is>
          <t>Manansala Janine</t>
        </is>
      </c>
      <c r="B566" t="inlineStr">
        <is>
          <t>TCNz001PH:Internal operations</t>
        </is>
      </c>
      <c r="D566">
        <f>L566</f>
        <v/>
      </c>
      <c r="E566">
        <f>SUMIFS(J:J, G:G,             A566, H:H, B566, L:L, L566)</f>
        <v/>
      </c>
      <c r="F566" t="inlineStr">
        <is>
          <t>PH0028</t>
        </is>
      </c>
      <c r="G566" t="inlineStr">
        <is>
          <t>Manansala Janine</t>
        </is>
      </c>
      <c r="H566" t="inlineStr">
        <is>
          <t>TCNz001PH:Internal operations</t>
        </is>
      </c>
      <c r="I566" s="1" t="n">
        <v>45932</v>
      </c>
      <c r="J566" t="n">
        <v>0.75</v>
      </c>
      <c r="K566" t="inlineStr">
        <is>
          <t>Study japanese</t>
        </is>
      </c>
      <c r="L566">
        <f>IFERROR(LEFT(K566,             FIND(",", K566) - 1), "-")</f>
        <v/>
      </c>
      <c r="M566">
        <f>IFERROR(MID(K566,             FIND(",", K566) + 1, LEN(K566) - FIND(",", K566)), K566)</f>
        <v/>
      </c>
      <c r="N566" t="n">
        <v>5</v>
      </c>
      <c r="P566" t="inlineStr">
        <is>
          <t>12:30</t>
        </is>
      </c>
      <c r="Q566" t="inlineStr">
        <is>
          <t>13:15</t>
        </is>
      </c>
    </row>
    <row r="567">
      <c r="A567" t="inlineStr">
        <is>
          <t>Manansala Janine</t>
        </is>
      </c>
      <c r="B567" t="inlineStr">
        <is>
          <t>TCNz001PH:Internal operations</t>
        </is>
      </c>
      <c r="D567">
        <f>L567</f>
        <v/>
      </c>
      <c r="E567">
        <f>SUMIFS(J:J, G:G,             A567, H:H, B567, L:L, L567)</f>
        <v/>
      </c>
      <c r="F567" t="inlineStr">
        <is>
          <t>PH0028</t>
        </is>
      </c>
      <c r="G567" t="inlineStr">
        <is>
          <t>Manansala Janine</t>
        </is>
      </c>
      <c r="H567" t="inlineStr">
        <is>
          <t>TCNz001PH:Internal operations</t>
        </is>
      </c>
      <c r="I567" s="1" t="n">
        <v>45932</v>
      </c>
      <c r="J567" t="n">
        <v>1</v>
      </c>
      <c r="K567" t="inlineStr">
        <is>
          <t>Study japanese</t>
        </is>
      </c>
      <c r="L567">
        <f>IFERROR(LEFT(K567,             FIND(",", K567) - 1), "-")</f>
        <v/>
      </c>
      <c r="M567">
        <f>IFERROR(MID(K567,             FIND(",", K567) + 1, LEN(K567) - FIND(",", K567)), K567)</f>
        <v/>
      </c>
      <c r="N567" t="n">
        <v>5</v>
      </c>
      <c r="P567" t="inlineStr">
        <is>
          <t>13:45</t>
        </is>
      </c>
      <c r="Q567" t="inlineStr">
        <is>
          <t>14:45</t>
        </is>
      </c>
    </row>
    <row r="568">
      <c r="A568" t="inlineStr">
        <is>
          <t>Manansala Janine</t>
        </is>
      </c>
      <c r="B568" t="inlineStr">
        <is>
          <t>TCNz001PH:Internal operations</t>
        </is>
      </c>
      <c r="D568">
        <f>L568</f>
        <v/>
      </c>
      <c r="E568">
        <f>SUMIFS(J:J, G:G,             A568, H:H, B568, L:L, L568)</f>
        <v/>
      </c>
      <c r="F568" t="inlineStr">
        <is>
          <t>PH0028</t>
        </is>
      </c>
      <c r="G568" t="inlineStr">
        <is>
          <t>Manansala Janine</t>
        </is>
      </c>
      <c r="H568" t="inlineStr">
        <is>
          <t>TCNz001PH:Internal operations</t>
        </is>
      </c>
      <c r="I568" s="1" t="n">
        <v>45932</v>
      </c>
      <c r="J568" t="n">
        <v>0.5</v>
      </c>
      <c r="K568" t="inlineStr">
        <is>
          <t>Study japanese</t>
        </is>
      </c>
      <c r="L568">
        <f>IFERROR(LEFT(K568,             FIND(",", K568) - 1), "-")</f>
        <v/>
      </c>
      <c r="M568">
        <f>IFERROR(MID(K568,             FIND(",", K568) + 1, LEN(K568) - FIND(",", K568)), K568)</f>
        <v/>
      </c>
      <c r="N568" t="n">
        <v>5</v>
      </c>
      <c r="P568" t="inlineStr">
        <is>
          <t>15:30</t>
        </is>
      </c>
      <c r="Q568" t="inlineStr">
        <is>
          <t>16:00</t>
        </is>
      </c>
    </row>
    <row r="569">
      <c r="A569" t="inlineStr">
        <is>
          <t>Manansala Janine</t>
        </is>
      </c>
      <c r="B569" t="inlineStr">
        <is>
          <t>TCNz001PH:Internal operations</t>
        </is>
      </c>
      <c r="D569">
        <f>L569</f>
        <v/>
      </c>
      <c r="E569">
        <f>SUMIFS(J:J, G:G,             A569, H:H, B569, L:L, L569)</f>
        <v/>
      </c>
      <c r="F569" t="inlineStr">
        <is>
          <t>PH0028</t>
        </is>
      </c>
      <c r="G569" t="inlineStr">
        <is>
          <t>Manansala Janine</t>
        </is>
      </c>
      <c r="H569" t="inlineStr">
        <is>
          <t>TCNz001PH:Internal operations</t>
        </is>
      </c>
      <c r="I569" s="1" t="n">
        <v>45932</v>
      </c>
      <c r="J569" t="n">
        <v>0.5</v>
      </c>
      <c r="K569" t="inlineStr">
        <is>
          <t>Study japanese</t>
        </is>
      </c>
      <c r="L569">
        <f>IFERROR(LEFT(K569,             FIND(",", K569) - 1), "-")</f>
        <v/>
      </c>
      <c r="M569">
        <f>IFERROR(MID(K569,             FIND(",", K569) + 1, LEN(K569) - FIND(",", K569)), K569)</f>
        <v/>
      </c>
      <c r="N569" t="n">
        <v>5</v>
      </c>
      <c r="P569" t="inlineStr">
        <is>
          <t>16:30</t>
        </is>
      </c>
      <c r="Q569" t="inlineStr">
        <is>
          <t>17:00</t>
        </is>
      </c>
    </row>
    <row r="570">
      <c r="A570" t="inlineStr">
        <is>
          <t>Manansala Janine</t>
        </is>
      </c>
      <c r="B570" t="inlineStr">
        <is>
          <t>TCNz001PH:Internal operations</t>
        </is>
      </c>
      <c r="D570">
        <f>L570</f>
        <v/>
      </c>
      <c r="E570">
        <f>SUMIFS(J:J, G:G,             A570, H:H, B570, L:L, L570)</f>
        <v/>
      </c>
      <c r="F570" t="inlineStr">
        <is>
          <t>PH0028</t>
        </is>
      </c>
      <c r="G570" t="inlineStr">
        <is>
          <t>Manansala Janine</t>
        </is>
      </c>
      <c r="H570" t="inlineStr">
        <is>
          <t>TCNz001PH:Internal operations</t>
        </is>
      </c>
      <c r="I570" s="1" t="n">
        <v>45933</v>
      </c>
      <c r="J570" t="n">
        <v>2</v>
      </c>
      <c r="K570" t="inlineStr">
        <is>
          <t>Study japanese</t>
        </is>
      </c>
      <c r="L570">
        <f>IFERROR(LEFT(K570,             FIND(",", K570) - 1), "-")</f>
        <v/>
      </c>
      <c r="M570">
        <f>IFERROR(MID(K570,             FIND(",", K570) + 1, LEN(K570) - FIND(",", K570)), K570)</f>
        <v/>
      </c>
      <c r="N570" t="n">
        <v>5</v>
      </c>
      <c r="P570" t="inlineStr">
        <is>
          <t>09:00</t>
        </is>
      </c>
      <c r="Q570" t="inlineStr">
        <is>
          <t>11:00</t>
        </is>
      </c>
    </row>
    <row r="571">
      <c r="A571" t="inlineStr">
        <is>
          <t>Manansala Janine</t>
        </is>
      </c>
      <c r="B571" t="inlineStr">
        <is>
          <t>TCNz001PH:Internal operations</t>
        </is>
      </c>
      <c r="D571">
        <f>L571</f>
        <v/>
      </c>
      <c r="E571">
        <f>SUMIFS(J:J, G:G,             A571, H:H, B571, L:L, L571)</f>
        <v/>
      </c>
      <c r="F571" t="inlineStr">
        <is>
          <t>PH0028</t>
        </is>
      </c>
      <c r="G571" t="inlineStr">
        <is>
          <t>Manansala Janine</t>
        </is>
      </c>
      <c r="H571" t="inlineStr">
        <is>
          <t>TCNz001PH:Internal operations</t>
        </is>
      </c>
      <c r="I571" s="1" t="n">
        <v>45933</v>
      </c>
      <c r="J571" t="n">
        <v>4.5</v>
      </c>
      <c r="K571" t="inlineStr">
        <is>
          <t>Study japanese</t>
        </is>
      </c>
      <c r="L571">
        <f>IFERROR(LEFT(K571,             FIND(",", K571) - 1), "-")</f>
        <v/>
      </c>
      <c r="M571">
        <f>IFERROR(MID(K571,             FIND(",", K571) + 1, LEN(K571) - FIND(",", K571)), K571)</f>
        <v/>
      </c>
      <c r="N571" t="n">
        <v>5</v>
      </c>
      <c r="P571" t="inlineStr">
        <is>
          <t>12:30</t>
        </is>
      </c>
      <c r="Q571" t="inlineStr">
        <is>
          <t>17:00</t>
        </is>
      </c>
    </row>
    <row r="572">
      <c r="A572" t="inlineStr">
        <is>
          <t>Manansala Janine</t>
        </is>
      </c>
      <c r="B572" t="inlineStr">
        <is>
          <t>TCNz001PH:Internal operations</t>
        </is>
      </c>
      <c r="D572">
        <f>L572</f>
        <v/>
      </c>
      <c r="E572">
        <f>SUMIFS(J:J, G:G,             A572, H:H, B572, L:L, L572)</f>
        <v/>
      </c>
      <c r="F572" t="inlineStr">
        <is>
          <t>PH0028</t>
        </is>
      </c>
      <c r="G572" t="inlineStr">
        <is>
          <t>Manansala Janine</t>
        </is>
      </c>
      <c r="H572" t="inlineStr">
        <is>
          <t>TCNz001PH:Internal operations</t>
        </is>
      </c>
      <c r="I572" s="1" t="n">
        <v>45936</v>
      </c>
      <c r="J572" t="n">
        <v>2</v>
      </c>
      <c r="K572" t="inlineStr">
        <is>
          <t>Study japanese</t>
        </is>
      </c>
      <c r="L572">
        <f>IFERROR(LEFT(K572,             FIND(",", K572) - 1), "-")</f>
        <v/>
      </c>
      <c r="M572">
        <f>IFERROR(MID(K572,             FIND(",", K572) + 1, LEN(K572) - FIND(",", K572)), K572)</f>
        <v/>
      </c>
      <c r="N572" t="n">
        <v>5</v>
      </c>
      <c r="P572" t="inlineStr">
        <is>
          <t>08:15</t>
        </is>
      </c>
      <c r="Q572" t="inlineStr">
        <is>
          <t>10:15</t>
        </is>
      </c>
    </row>
    <row r="573">
      <c r="A573" t="inlineStr">
        <is>
          <t>Manansala Janine</t>
        </is>
      </c>
      <c r="B573" t="inlineStr">
        <is>
          <t>TCNz001PH:Internal operations</t>
        </is>
      </c>
      <c r="D573">
        <f>L573</f>
        <v/>
      </c>
      <c r="E573">
        <f>SUMIFS(J:J, G:G,             A573, H:H, B573, L:L, L573)</f>
        <v/>
      </c>
      <c r="F573" t="inlineStr">
        <is>
          <t>PH0028</t>
        </is>
      </c>
      <c r="G573" t="inlineStr">
        <is>
          <t>Manansala Janine</t>
        </is>
      </c>
      <c r="H573" t="inlineStr">
        <is>
          <t>TCNz001PH:Internal operations</t>
        </is>
      </c>
      <c r="I573" s="1" t="n">
        <v>45936</v>
      </c>
      <c r="J573" t="n">
        <v>3.25</v>
      </c>
      <c r="K573" t="inlineStr">
        <is>
          <t>Study japanese</t>
        </is>
      </c>
      <c r="L573">
        <f>IFERROR(LEFT(K573,             FIND(",", K573) - 1), "-")</f>
        <v/>
      </c>
      <c r="M573">
        <f>IFERROR(MID(K573,             FIND(",", K573) + 1, LEN(K573) - FIND(",", K573)), K573)</f>
        <v/>
      </c>
      <c r="N573" t="n">
        <v>5</v>
      </c>
      <c r="P573" t="inlineStr">
        <is>
          <t>13:30</t>
        </is>
      </c>
      <c r="Q573" t="inlineStr">
        <is>
          <t>16:45</t>
        </is>
      </c>
    </row>
    <row r="574">
      <c r="A574" t="inlineStr">
        <is>
          <t>Manansala Janine</t>
        </is>
      </c>
      <c r="B574" t="inlineStr">
        <is>
          <t>TCNz001PH:Internal operations</t>
        </is>
      </c>
      <c r="D574">
        <f>L574</f>
        <v/>
      </c>
      <c r="E574">
        <f>SUMIFS(J:J, G:G,             A574, H:H, B574, L:L, L574)</f>
        <v/>
      </c>
      <c r="F574" t="inlineStr">
        <is>
          <t>PH0028</t>
        </is>
      </c>
      <c r="G574" t="inlineStr">
        <is>
          <t>Manansala Janine</t>
        </is>
      </c>
      <c r="H574" t="inlineStr">
        <is>
          <t>TCNz001PH:Internal operations</t>
        </is>
      </c>
      <c r="I574" s="1" t="n">
        <v>45940</v>
      </c>
      <c r="J574" t="n">
        <v>2</v>
      </c>
      <c r="K574" t="inlineStr">
        <is>
          <t>Study japanese</t>
        </is>
      </c>
      <c r="L574">
        <f>IFERROR(LEFT(K574,             FIND(",", K574) - 1), "-")</f>
        <v/>
      </c>
      <c r="M574">
        <f>IFERROR(MID(K574,             FIND(",", K574) + 1, LEN(K574) - FIND(",", K574)), K574)</f>
        <v/>
      </c>
      <c r="N574" t="n">
        <v>5</v>
      </c>
      <c r="P574" t="inlineStr">
        <is>
          <t>08:15</t>
        </is>
      </c>
      <c r="Q574" t="inlineStr">
        <is>
          <t>10:15</t>
        </is>
      </c>
    </row>
    <row r="575">
      <c r="A575" t="inlineStr">
        <is>
          <t>Manansala Janine</t>
        </is>
      </c>
      <c r="B575" t="inlineStr">
        <is>
          <t>TCNz001PH:Internal operations</t>
        </is>
      </c>
      <c r="D575">
        <f>L575</f>
        <v/>
      </c>
      <c r="E575">
        <f>SUMIFS(J:J, G:G,             A575, H:H, B575, L:L, L575)</f>
        <v/>
      </c>
      <c r="F575" t="inlineStr">
        <is>
          <t>PH0028</t>
        </is>
      </c>
      <c r="G575" t="inlineStr">
        <is>
          <t>Manansala Janine</t>
        </is>
      </c>
      <c r="H575" t="inlineStr">
        <is>
          <t>TCNz001PH:Internal operations</t>
        </is>
      </c>
      <c r="I575" s="1" t="n">
        <v>45940</v>
      </c>
      <c r="J575" t="n">
        <v>0.5</v>
      </c>
      <c r="K575" t="inlineStr">
        <is>
          <t>Study japanese</t>
        </is>
      </c>
      <c r="L575">
        <f>IFERROR(LEFT(K575,             FIND(",", K575) - 1), "-")</f>
        <v/>
      </c>
      <c r="M575">
        <f>IFERROR(MID(K575,             FIND(",", K575) + 1, LEN(K575) - FIND(",", K575)), K575)</f>
        <v/>
      </c>
      <c r="N575" t="n">
        <v>5</v>
      </c>
      <c r="P575" t="inlineStr">
        <is>
          <t>10:30</t>
        </is>
      </c>
      <c r="Q575" t="inlineStr">
        <is>
          <t>11:00</t>
        </is>
      </c>
    </row>
    <row r="576">
      <c r="A576" t="inlineStr">
        <is>
          <t>Manansala Janine</t>
        </is>
      </c>
      <c r="B576" t="inlineStr">
        <is>
          <t>TCNz001PH:Internal operations</t>
        </is>
      </c>
      <c r="D576">
        <f>L576</f>
        <v/>
      </c>
      <c r="E576">
        <f>SUMIFS(J:J, G:G,             A576, H:H, B576, L:L, L576)</f>
        <v/>
      </c>
      <c r="F576" t="inlineStr">
        <is>
          <t>PH0028</t>
        </is>
      </c>
      <c r="G576" t="inlineStr">
        <is>
          <t>Manansala Janine</t>
        </is>
      </c>
      <c r="H576" t="inlineStr">
        <is>
          <t>TCNz001PH:Internal operations</t>
        </is>
      </c>
      <c r="I576" s="1" t="n">
        <v>45940</v>
      </c>
      <c r="J576" t="n">
        <v>1</v>
      </c>
      <c r="K576" t="inlineStr">
        <is>
          <t>Study japanese</t>
        </is>
      </c>
      <c r="L576">
        <f>IFERROR(LEFT(K576,             FIND(",", K576) - 1), "-")</f>
        <v/>
      </c>
      <c r="M576">
        <f>IFERROR(MID(K576,             FIND(",", K576) + 1, LEN(K576) - FIND(",", K576)), K576)</f>
        <v/>
      </c>
      <c r="N576" t="n">
        <v>5</v>
      </c>
      <c r="P576" t="inlineStr">
        <is>
          <t>12:00</t>
        </is>
      </c>
      <c r="Q576" t="inlineStr">
        <is>
          <t>13:00</t>
        </is>
      </c>
    </row>
    <row r="577">
      <c r="A577" t="inlineStr">
        <is>
          <t>Manansala Janine</t>
        </is>
      </c>
      <c r="B577" t="inlineStr">
        <is>
          <t>TCNz001PH:Internal operations</t>
        </is>
      </c>
      <c r="D577">
        <f>L577</f>
        <v/>
      </c>
      <c r="E577">
        <f>SUMIFS(J:J, G:G,             A577, H:H, B577, L:L, L577)</f>
        <v/>
      </c>
      <c r="F577" t="inlineStr">
        <is>
          <t>PH0028</t>
        </is>
      </c>
      <c r="G577" t="inlineStr">
        <is>
          <t>Manansala Janine</t>
        </is>
      </c>
      <c r="H577" t="inlineStr">
        <is>
          <t>TCNz001PH:Internal operations</t>
        </is>
      </c>
      <c r="I577" s="1" t="n">
        <v>45940</v>
      </c>
      <c r="J577" t="n">
        <v>1.25</v>
      </c>
      <c r="K577" t="inlineStr">
        <is>
          <t>Study japanese</t>
        </is>
      </c>
      <c r="L577">
        <f>IFERROR(LEFT(K577,             FIND(",", K577) - 1), "-")</f>
        <v/>
      </c>
      <c r="M577">
        <f>IFERROR(MID(K577,             FIND(",", K577) + 1, LEN(K577) - FIND(",", K577)), K577)</f>
        <v/>
      </c>
      <c r="N577" t="n">
        <v>5</v>
      </c>
      <c r="P577" t="inlineStr">
        <is>
          <t>13:45</t>
        </is>
      </c>
      <c r="Q577" t="inlineStr">
        <is>
          <t>15:00</t>
        </is>
      </c>
    </row>
    <row r="578">
      <c r="A578" t="inlineStr">
        <is>
          <t>Manansala Janine</t>
        </is>
      </c>
      <c r="B578" t="inlineStr">
        <is>
          <t>TCNz001PH:Internal operations</t>
        </is>
      </c>
      <c r="D578">
        <f>L578</f>
        <v/>
      </c>
      <c r="E578">
        <f>SUMIFS(J:J, G:G,             A578, H:H, B578, L:L, L578)</f>
        <v/>
      </c>
      <c r="F578" t="inlineStr">
        <is>
          <t>PH0028</t>
        </is>
      </c>
      <c r="G578" t="inlineStr">
        <is>
          <t>Manansala Janine</t>
        </is>
      </c>
      <c r="H578" t="inlineStr">
        <is>
          <t>TCNz001PH:Internal operations</t>
        </is>
      </c>
      <c r="I578" s="1" t="n">
        <v>45940</v>
      </c>
      <c r="J578" t="n">
        <v>1.75</v>
      </c>
      <c r="K578" t="inlineStr">
        <is>
          <t>Study japanese</t>
        </is>
      </c>
      <c r="L578">
        <f>IFERROR(LEFT(K578,             FIND(",", K578) - 1), "-")</f>
        <v/>
      </c>
      <c r="M578">
        <f>IFERROR(MID(K578,             FIND(",", K578) + 1, LEN(K578) - FIND(",", K578)), K578)</f>
        <v/>
      </c>
      <c r="N578" t="n">
        <v>5</v>
      </c>
      <c r="P578" t="inlineStr">
        <is>
          <t>15:15</t>
        </is>
      </c>
      <c r="Q578" t="inlineStr">
        <is>
          <t>17:00</t>
        </is>
      </c>
    </row>
    <row r="579">
      <c r="A579" t="inlineStr">
        <is>
          <t>Manansala Janine</t>
        </is>
      </c>
      <c r="B579" t="inlineStr">
        <is>
          <t>TCNz001PH:Internal operations</t>
        </is>
      </c>
      <c r="D579">
        <f>L579</f>
        <v/>
      </c>
      <c r="E579">
        <f>SUMIFS(J:J, G:G,             A579, H:H, B579, L:L, L579)</f>
        <v/>
      </c>
      <c r="F579" t="inlineStr">
        <is>
          <t>PH0028</t>
        </is>
      </c>
      <c r="G579" t="inlineStr">
        <is>
          <t>Manansala Janine</t>
        </is>
      </c>
      <c r="H579" t="inlineStr">
        <is>
          <t>TCNz001PH:Internal operations</t>
        </is>
      </c>
      <c r="I579" s="1" t="n">
        <v>45939</v>
      </c>
      <c r="J579" t="n">
        <v>0.25</v>
      </c>
      <c r="K579" t="inlineStr">
        <is>
          <t>Testing spec screen</t>
        </is>
      </c>
      <c r="L579">
        <f>IFERROR(LEFT(K579,             FIND(",", K579) - 1), "-")</f>
        <v/>
      </c>
      <c r="M579">
        <f>IFERROR(MID(K579,             FIND(",", K579) + 1, LEN(K579) - FIND(",", K579)), K579)</f>
        <v/>
      </c>
      <c r="N579" t="n">
        <v>5</v>
      </c>
      <c r="P579" t="inlineStr">
        <is>
          <t>12:15</t>
        </is>
      </c>
      <c r="Q579" t="inlineStr">
        <is>
          <t>12:30</t>
        </is>
      </c>
    </row>
    <row r="580">
      <c r="A580" t="inlineStr">
        <is>
          <t>Manansala Janine</t>
        </is>
      </c>
      <c r="B580" t="inlineStr">
        <is>
          <t>TCNz002PH:Waiting for requests</t>
        </is>
      </c>
      <c r="C580">
        <f>SUMIFS(J:J, G:G,             A580, H:H, B580)</f>
        <v/>
      </c>
      <c r="D580">
        <f>L580</f>
        <v/>
      </c>
      <c r="E580">
        <f>SUMIFS(J:J, G:G,             A580, H:H, B580, L:L, L580)</f>
        <v/>
      </c>
      <c r="F580" t="inlineStr">
        <is>
          <t>PH0028</t>
        </is>
      </c>
      <c r="G580" t="inlineStr">
        <is>
          <t>Manansala Janine</t>
        </is>
      </c>
      <c r="H580" t="inlineStr">
        <is>
          <t>TCNz002PH:Waiting for requests</t>
        </is>
      </c>
      <c r="I580" s="1" t="n">
        <v>45952</v>
      </c>
      <c r="J580" t="n">
        <v>0.25</v>
      </c>
      <c r="K580" t="inlineStr">
        <is>
          <t>95830 dev QA</t>
        </is>
      </c>
      <c r="L580">
        <f>IFERROR(LEFT(K580,             FIND(",", K580) - 1), "-")</f>
        <v/>
      </c>
      <c r="M580">
        <f>IFERROR(MID(K580,             FIND(",", K580) + 1, LEN(K580) - FIND(",", K580)), K580)</f>
        <v/>
      </c>
      <c r="N580" t="n">
        <v>5</v>
      </c>
      <c r="P580" t="inlineStr">
        <is>
          <t>16:45</t>
        </is>
      </c>
      <c r="Q580" t="inlineStr">
        <is>
          <t>17:00</t>
        </is>
      </c>
    </row>
    <row r="581">
      <c r="A581" t="inlineStr">
        <is>
          <t>Manansala Janine</t>
        </is>
      </c>
      <c r="B581" t="inlineStr">
        <is>
          <t>TCNz002PH:Waiting for requests</t>
        </is>
      </c>
      <c r="D581">
        <f>L581</f>
        <v/>
      </c>
      <c r="E581">
        <f>SUMIFS(J:J, G:G,             A581, H:H, B581, L:L, L581)</f>
        <v/>
      </c>
      <c r="F581" t="inlineStr">
        <is>
          <t>PH0028</t>
        </is>
      </c>
      <c r="G581" t="inlineStr">
        <is>
          <t>Manansala Janine</t>
        </is>
      </c>
      <c r="H581" t="inlineStr">
        <is>
          <t>TCNz002PH:Waiting for requests</t>
        </is>
      </c>
      <c r="I581" s="1" t="n">
        <v>45931</v>
      </c>
      <c r="J581" t="n">
        <v>1.25</v>
      </c>
      <c r="K581" t="inlineStr">
        <is>
          <t>Reviewing spec</t>
        </is>
      </c>
      <c r="L581">
        <f>IFERROR(LEFT(K581,             FIND(",", K581) - 1), "-")</f>
        <v/>
      </c>
      <c r="M581">
        <f>IFERROR(MID(K581,             FIND(",", K581) + 1, LEN(K581) - FIND(",", K581)), K581)</f>
        <v/>
      </c>
      <c r="N581" t="n">
        <v>5</v>
      </c>
      <c r="P581" t="inlineStr">
        <is>
          <t>09:45</t>
        </is>
      </c>
      <c r="Q581" t="inlineStr">
        <is>
          <t>11:00</t>
        </is>
      </c>
    </row>
    <row r="582">
      <c r="A582" t="inlineStr">
        <is>
          <t>Manansala Janine</t>
        </is>
      </c>
      <c r="B582" t="inlineStr">
        <is>
          <t>TCNz002PH:Waiting for requests</t>
        </is>
      </c>
      <c r="D582">
        <f>L582</f>
        <v/>
      </c>
      <c r="E582">
        <f>SUMIFS(J:J, G:G,             A582, H:H, B582, L:L, L582)</f>
        <v/>
      </c>
      <c r="F582" t="inlineStr">
        <is>
          <t>PH0028</t>
        </is>
      </c>
      <c r="G582" t="inlineStr">
        <is>
          <t>Manansala Janine</t>
        </is>
      </c>
      <c r="H582" t="inlineStr">
        <is>
          <t>TCNz002PH:Waiting for requests</t>
        </is>
      </c>
      <c r="I582" s="1" t="n">
        <v>45936</v>
      </c>
      <c r="J582" t="n">
        <v>0.5</v>
      </c>
      <c r="K582" t="inlineStr">
        <is>
          <t>Reviewing spec</t>
        </is>
      </c>
      <c r="L582">
        <f>IFERROR(LEFT(K582,             FIND(",", K582) - 1), "-")</f>
        <v/>
      </c>
      <c r="M582">
        <f>IFERROR(MID(K582,             FIND(",", K582) + 1, LEN(K582) - FIND(",", K582)), K582)</f>
        <v/>
      </c>
      <c r="N582" t="n">
        <v>5</v>
      </c>
      <c r="P582" t="inlineStr">
        <is>
          <t>10:30</t>
        </is>
      </c>
      <c r="Q582" t="inlineStr">
        <is>
          <t>11:00</t>
        </is>
      </c>
    </row>
    <row r="583">
      <c r="A583" t="inlineStr">
        <is>
          <t>Manansala Janine</t>
        </is>
      </c>
      <c r="B583" t="inlineStr">
        <is>
          <t>TCNz002PH:Waiting for requests</t>
        </is>
      </c>
      <c r="D583">
        <f>L583</f>
        <v/>
      </c>
      <c r="E583">
        <f>SUMIFS(J:J, G:G,             A583, H:H, B583, L:L, L583)</f>
        <v/>
      </c>
      <c r="F583" t="inlineStr">
        <is>
          <t>PH0028</t>
        </is>
      </c>
      <c r="G583" t="inlineStr">
        <is>
          <t>Manansala Janine</t>
        </is>
      </c>
      <c r="H583" t="inlineStr">
        <is>
          <t>TCNz002PH:Waiting for requests</t>
        </is>
      </c>
      <c r="I583" s="1" t="n">
        <v>45936</v>
      </c>
      <c r="J583" t="n">
        <v>0.5</v>
      </c>
      <c r="K583" t="inlineStr">
        <is>
          <t>Reviewing spec</t>
        </is>
      </c>
      <c r="L583">
        <f>IFERROR(LEFT(K583,             FIND(",", K583) - 1), "-")</f>
        <v/>
      </c>
      <c r="M583">
        <f>IFERROR(MID(K583,             FIND(",", K583) + 1, LEN(K583) - FIND(",", K583)), K583)</f>
        <v/>
      </c>
      <c r="N583" t="n">
        <v>5</v>
      </c>
      <c r="P583" t="inlineStr">
        <is>
          <t>12:45</t>
        </is>
      </c>
      <c r="Q583" t="inlineStr">
        <is>
          <t>13:15</t>
        </is>
      </c>
    </row>
    <row r="584">
      <c r="A584" t="inlineStr">
        <is>
          <t>Manansala Janine</t>
        </is>
      </c>
      <c r="B584" t="inlineStr">
        <is>
          <t>TCNz002PH:Waiting for requests</t>
        </is>
      </c>
      <c r="D584">
        <f>L584</f>
        <v/>
      </c>
      <c r="E584">
        <f>SUMIFS(J:J, G:G,             A584, H:H, B584, L:L, L584)</f>
        <v/>
      </c>
      <c r="F584" t="inlineStr">
        <is>
          <t>PH0028</t>
        </is>
      </c>
      <c r="G584" t="inlineStr">
        <is>
          <t>Manansala Janine</t>
        </is>
      </c>
      <c r="H584" t="inlineStr">
        <is>
          <t>TCNz002PH:Waiting for requests</t>
        </is>
      </c>
      <c r="I584" s="1" t="n">
        <v>45937</v>
      </c>
      <c r="J584" t="n">
        <v>1</v>
      </c>
      <c r="K584" t="inlineStr">
        <is>
          <t>Reviewing spec</t>
        </is>
      </c>
      <c r="L584">
        <f>IFERROR(LEFT(K584,             FIND(",", K584) - 1), "-")</f>
        <v/>
      </c>
      <c r="M584">
        <f>IFERROR(MID(K584,             FIND(",", K584) + 1, LEN(K584) - FIND(",", K584)), K584)</f>
        <v/>
      </c>
      <c r="N584" t="n">
        <v>5</v>
      </c>
      <c r="P584" t="inlineStr">
        <is>
          <t>08:45</t>
        </is>
      </c>
      <c r="Q584" t="inlineStr">
        <is>
          <t>09:45</t>
        </is>
      </c>
    </row>
    <row r="585">
      <c r="A585" t="inlineStr">
        <is>
          <t>Manansala Janine</t>
        </is>
      </c>
      <c r="B585" t="inlineStr">
        <is>
          <t>TCNz002PH:Waiting for requests</t>
        </is>
      </c>
      <c r="D585">
        <f>L585</f>
        <v/>
      </c>
      <c r="E585">
        <f>SUMIFS(J:J, G:G,             A585, H:H, B585, L:L, L585)</f>
        <v/>
      </c>
      <c r="F585" t="inlineStr">
        <is>
          <t>PH0028</t>
        </is>
      </c>
      <c r="G585" t="inlineStr">
        <is>
          <t>Manansala Janine</t>
        </is>
      </c>
      <c r="H585" t="inlineStr">
        <is>
          <t>TCNz002PH:Waiting for requests</t>
        </is>
      </c>
      <c r="I585" s="1" t="n">
        <v>45937</v>
      </c>
      <c r="J585" t="n">
        <v>1</v>
      </c>
      <c r="K585" t="inlineStr">
        <is>
          <t>Reviewing spec</t>
        </is>
      </c>
      <c r="L585">
        <f>IFERROR(LEFT(K585,             FIND(",", K585) - 1), "-")</f>
        <v/>
      </c>
      <c r="M585">
        <f>IFERROR(MID(K585,             FIND(",", K585) + 1, LEN(K585) - FIND(",", K585)), K585)</f>
        <v/>
      </c>
      <c r="N585" t="n">
        <v>5</v>
      </c>
      <c r="P585" t="inlineStr">
        <is>
          <t>10:00</t>
        </is>
      </c>
      <c r="Q585" t="inlineStr">
        <is>
          <t>11:00</t>
        </is>
      </c>
    </row>
    <row r="586">
      <c r="A586" t="inlineStr">
        <is>
          <t>Manansala Janine</t>
        </is>
      </c>
      <c r="B586" t="inlineStr">
        <is>
          <t>TCNz002PH:Waiting for requests</t>
        </is>
      </c>
      <c r="D586">
        <f>L586</f>
        <v/>
      </c>
      <c r="E586">
        <f>SUMIFS(J:J, G:G,             A586, H:H, B586, L:L, L586)</f>
        <v/>
      </c>
      <c r="F586" t="inlineStr">
        <is>
          <t>PH0028</t>
        </is>
      </c>
      <c r="G586" t="inlineStr">
        <is>
          <t>Manansala Janine</t>
        </is>
      </c>
      <c r="H586" t="inlineStr">
        <is>
          <t>TCNz002PH:Waiting for requests</t>
        </is>
      </c>
      <c r="I586" s="1" t="n">
        <v>45937</v>
      </c>
      <c r="J586" t="n">
        <v>0.75</v>
      </c>
      <c r="K586" t="inlineStr">
        <is>
          <t>Reviewing spec</t>
        </is>
      </c>
      <c r="L586">
        <f>IFERROR(LEFT(K586,             FIND(",", K586) - 1), "-")</f>
        <v/>
      </c>
      <c r="M586">
        <f>IFERROR(MID(K586,             FIND(",", K586) + 1, LEN(K586) - FIND(",", K586)), K586)</f>
        <v/>
      </c>
      <c r="N586" t="n">
        <v>5</v>
      </c>
      <c r="P586" t="inlineStr">
        <is>
          <t>12:15</t>
        </is>
      </c>
      <c r="Q586" t="inlineStr">
        <is>
          <t>13:00</t>
        </is>
      </c>
    </row>
    <row r="587">
      <c r="A587" t="inlineStr">
        <is>
          <t>Manansala Janine</t>
        </is>
      </c>
      <c r="B587" t="inlineStr">
        <is>
          <t>TCNz002PH:Waiting for requests</t>
        </is>
      </c>
      <c r="D587">
        <f>L587</f>
        <v/>
      </c>
      <c r="E587">
        <f>SUMIFS(J:J, G:G,             A587, H:H, B587, L:L, L587)</f>
        <v/>
      </c>
      <c r="F587" t="inlineStr">
        <is>
          <t>PH0028</t>
        </is>
      </c>
      <c r="G587" t="inlineStr">
        <is>
          <t>Manansala Janine</t>
        </is>
      </c>
      <c r="H587" t="inlineStr">
        <is>
          <t>TCNz002PH:Waiting for requests</t>
        </is>
      </c>
      <c r="I587" s="1" t="n">
        <v>45937</v>
      </c>
      <c r="J587" t="n">
        <v>1</v>
      </c>
      <c r="K587" t="inlineStr">
        <is>
          <t>Reviewing spec</t>
        </is>
      </c>
      <c r="L587">
        <f>IFERROR(LEFT(K587,             FIND(",", K587) - 1), "-")</f>
        <v/>
      </c>
      <c r="M587">
        <f>IFERROR(MID(K587,             FIND(",", K587) + 1, LEN(K587) - FIND(",", K587)), K587)</f>
        <v/>
      </c>
      <c r="N587" t="n">
        <v>5</v>
      </c>
      <c r="P587" t="inlineStr">
        <is>
          <t>15:00</t>
        </is>
      </c>
      <c r="Q587" t="inlineStr">
        <is>
          <t>16:00</t>
        </is>
      </c>
    </row>
    <row r="588">
      <c r="A588" t="inlineStr">
        <is>
          <t>Manansala Janine</t>
        </is>
      </c>
      <c r="B588" t="inlineStr">
        <is>
          <t>TCNz002PH:Waiting for requests</t>
        </is>
      </c>
      <c r="D588">
        <f>L588</f>
        <v/>
      </c>
      <c r="E588">
        <f>SUMIFS(J:J, G:G,             A588, H:H, B588, L:L, L588)</f>
        <v/>
      </c>
      <c r="F588" t="inlineStr">
        <is>
          <t>PH0028</t>
        </is>
      </c>
      <c r="G588" t="inlineStr">
        <is>
          <t>Manansala Janine</t>
        </is>
      </c>
      <c r="H588" t="inlineStr">
        <is>
          <t>TCNz002PH:Waiting for requests</t>
        </is>
      </c>
      <c r="I588" s="1" t="n">
        <v>45938</v>
      </c>
      <c r="J588" t="n">
        <v>0.25</v>
      </c>
      <c r="K588" t="inlineStr">
        <is>
          <t>Reviewing spec</t>
        </is>
      </c>
      <c r="L588">
        <f>IFERROR(LEFT(K588,             FIND(",", K588) - 1), "-")</f>
        <v/>
      </c>
      <c r="M588">
        <f>IFERROR(MID(K588,             FIND(",", K588) + 1, LEN(K588) - FIND(",", K588)), K588)</f>
        <v/>
      </c>
      <c r="N588" t="n">
        <v>5</v>
      </c>
      <c r="P588" t="inlineStr">
        <is>
          <t>12:15</t>
        </is>
      </c>
      <c r="Q588" t="inlineStr">
        <is>
          <t>12:30</t>
        </is>
      </c>
    </row>
    <row r="589">
      <c r="A589" t="inlineStr">
        <is>
          <t>Manansala Janine</t>
        </is>
      </c>
      <c r="B589" t="inlineStr">
        <is>
          <t>TCNz002PH:Waiting for requests</t>
        </is>
      </c>
      <c r="D589">
        <f>L589</f>
        <v/>
      </c>
      <c r="E589">
        <f>SUMIFS(J:J, G:G,             A589, H:H, B589, L:L, L589)</f>
        <v/>
      </c>
      <c r="F589" t="inlineStr">
        <is>
          <t>PH0028</t>
        </is>
      </c>
      <c r="G589" t="inlineStr">
        <is>
          <t>Manansala Janine</t>
        </is>
      </c>
      <c r="H589" t="inlineStr">
        <is>
          <t>TCNz002PH:Waiting for requests</t>
        </is>
      </c>
      <c r="I589" s="1" t="n">
        <v>45938</v>
      </c>
      <c r="J589" t="n">
        <v>0.5</v>
      </c>
      <c r="K589" t="inlineStr">
        <is>
          <t>Reviewing spec</t>
        </is>
      </c>
      <c r="L589">
        <f>IFERROR(LEFT(K589,             FIND(",", K589) - 1), "-")</f>
        <v/>
      </c>
      <c r="M589">
        <f>IFERROR(MID(K589,             FIND(",", K589) + 1, LEN(K589) - FIND(",", K589)), K589)</f>
        <v/>
      </c>
      <c r="N589" t="n">
        <v>5</v>
      </c>
      <c r="P589" t="inlineStr">
        <is>
          <t>12:45</t>
        </is>
      </c>
      <c r="Q589" t="inlineStr">
        <is>
          <t>13:15</t>
        </is>
      </c>
    </row>
    <row r="590">
      <c r="A590" t="inlineStr">
        <is>
          <t>Manansala Janine</t>
        </is>
      </c>
      <c r="B590" t="inlineStr">
        <is>
          <t>TCNz002PH:Waiting for requests</t>
        </is>
      </c>
      <c r="D590">
        <f>L590</f>
        <v/>
      </c>
      <c r="E590">
        <f>SUMIFS(J:J, G:G,             A590, H:H, B590, L:L, L590)</f>
        <v/>
      </c>
      <c r="F590" t="inlineStr">
        <is>
          <t>PH0028</t>
        </is>
      </c>
      <c r="G590" t="inlineStr">
        <is>
          <t>Manansala Janine</t>
        </is>
      </c>
      <c r="H590" t="inlineStr">
        <is>
          <t>TCNz002PH:Waiting for requests</t>
        </is>
      </c>
      <c r="I590" s="1" t="n">
        <v>45938</v>
      </c>
      <c r="J590" t="n">
        <v>0.25</v>
      </c>
      <c r="K590" t="inlineStr">
        <is>
          <t>Reviewing spec</t>
        </is>
      </c>
      <c r="L590">
        <f>IFERROR(LEFT(K590,             FIND(",", K590) - 1), "-")</f>
        <v/>
      </c>
      <c r="M590">
        <f>IFERROR(MID(K590,             FIND(",", K590) + 1, LEN(K590) - FIND(",", K590)), K590)</f>
        <v/>
      </c>
      <c r="N590" t="n">
        <v>5</v>
      </c>
      <c r="P590" t="inlineStr">
        <is>
          <t>13:45</t>
        </is>
      </c>
      <c r="Q590" t="inlineStr">
        <is>
          <t>14:00</t>
        </is>
      </c>
    </row>
    <row r="591">
      <c r="A591" t="inlineStr">
        <is>
          <t>Manansala Janine</t>
        </is>
      </c>
      <c r="B591" t="inlineStr">
        <is>
          <t>TCNz002PH:Waiting for requests</t>
        </is>
      </c>
      <c r="D591">
        <f>L591</f>
        <v/>
      </c>
      <c r="E591">
        <f>SUMIFS(J:J, G:G,             A591, H:H, B591, L:L, L591)</f>
        <v/>
      </c>
      <c r="F591" t="inlineStr">
        <is>
          <t>PH0028</t>
        </is>
      </c>
      <c r="G591" t="inlineStr">
        <is>
          <t>Manansala Janine</t>
        </is>
      </c>
      <c r="H591" t="inlineStr">
        <is>
          <t>TCNz002PH:Waiting for requests</t>
        </is>
      </c>
      <c r="I591" s="1" t="n">
        <v>45938</v>
      </c>
      <c r="J591" t="n">
        <v>0.75</v>
      </c>
      <c r="K591" t="inlineStr">
        <is>
          <t>Reviewing spec</t>
        </is>
      </c>
      <c r="L591">
        <f>IFERROR(LEFT(K591,             FIND(",", K591) - 1), "-")</f>
        <v/>
      </c>
      <c r="M591">
        <f>IFERROR(MID(K591,             FIND(",", K591) + 1, LEN(K591) - FIND(",", K591)), K591)</f>
        <v/>
      </c>
      <c r="N591" t="n">
        <v>5</v>
      </c>
      <c r="P591" t="inlineStr">
        <is>
          <t>14:15</t>
        </is>
      </c>
      <c r="Q591" t="inlineStr">
        <is>
          <t>15:00</t>
        </is>
      </c>
    </row>
    <row r="592">
      <c r="A592" t="inlineStr">
        <is>
          <t>Manansala Janine</t>
        </is>
      </c>
      <c r="B592" t="inlineStr">
        <is>
          <t>TCNz002PH:Waiting for requests</t>
        </is>
      </c>
      <c r="D592">
        <f>L592</f>
        <v/>
      </c>
      <c r="E592">
        <f>SUMIFS(J:J, G:G,             A592, H:H, B592, L:L, L592)</f>
        <v/>
      </c>
      <c r="F592" t="inlineStr">
        <is>
          <t>PH0028</t>
        </is>
      </c>
      <c r="G592" t="inlineStr">
        <is>
          <t>Manansala Janine</t>
        </is>
      </c>
      <c r="H592" t="inlineStr">
        <is>
          <t>TCNz002PH:Waiting for requests</t>
        </is>
      </c>
      <c r="I592" s="1" t="n">
        <v>45938</v>
      </c>
      <c r="J592" t="n">
        <v>0.25</v>
      </c>
      <c r="K592" t="inlineStr">
        <is>
          <t>Reviewing spec</t>
        </is>
      </c>
      <c r="L592">
        <f>IFERROR(LEFT(K592,             FIND(",", K592) - 1), "-")</f>
        <v/>
      </c>
      <c r="M592">
        <f>IFERROR(MID(K592,             FIND(",", K592) + 1, LEN(K592) - FIND(",", K592)), K592)</f>
        <v/>
      </c>
      <c r="N592" t="n">
        <v>5</v>
      </c>
      <c r="P592" t="inlineStr">
        <is>
          <t>15:15</t>
        </is>
      </c>
      <c r="Q592" t="inlineStr">
        <is>
          <t>15:30</t>
        </is>
      </c>
    </row>
    <row r="593">
      <c r="A593" t="inlineStr">
        <is>
          <t>Manansala Janine</t>
        </is>
      </c>
      <c r="B593" t="inlineStr">
        <is>
          <t>TCNz002PH:Waiting for requests</t>
        </is>
      </c>
      <c r="D593">
        <f>L593</f>
        <v/>
      </c>
      <c r="E593">
        <f>SUMIFS(J:J, G:G,             A593, H:H, B593, L:L, L593)</f>
        <v/>
      </c>
      <c r="F593" t="inlineStr">
        <is>
          <t>PH0028</t>
        </is>
      </c>
      <c r="G593" t="inlineStr">
        <is>
          <t>Manansala Janine</t>
        </is>
      </c>
      <c r="H593" t="inlineStr">
        <is>
          <t>TCNz002PH:Waiting for requests</t>
        </is>
      </c>
      <c r="I593" s="1" t="n">
        <v>45939</v>
      </c>
      <c r="J593" t="n">
        <v>0.25</v>
      </c>
      <c r="K593" t="inlineStr">
        <is>
          <t>Reviewing spec</t>
        </is>
      </c>
      <c r="L593">
        <f>IFERROR(LEFT(K593,             FIND(",", K593) - 1), "-")</f>
        <v/>
      </c>
      <c r="M593">
        <f>IFERROR(MID(K593,             FIND(",", K593) + 1, LEN(K593) - FIND(",", K593)), K593)</f>
        <v/>
      </c>
      <c r="N593" t="n">
        <v>5</v>
      </c>
      <c r="P593" t="inlineStr">
        <is>
          <t>09:30</t>
        </is>
      </c>
      <c r="Q593" t="inlineStr">
        <is>
          <t>09:45</t>
        </is>
      </c>
    </row>
    <row r="594">
      <c r="A594" t="inlineStr">
        <is>
          <t>Manansala Janine</t>
        </is>
      </c>
      <c r="B594" t="inlineStr">
        <is>
          <t>TCNz002PH:Waiting for requests</t>
        </is>
      </c>
      <c r="D594">
        <f>L594</f>
        <v/>
      </c>
      <c r="E594">
        <f>SUMIFS(J:J, G:G,             A594, H:H, B594, L:L, L594)</f>
        <v/>
      </c>
      <c r="F594" t="inlineStr">
        <is>
          <t>PH0028</t>
        </is>
      </c>
      <c r="G594" t="inlineStr">
        <is>
          <t>Manansala Janine</t>
        </is>
      </c>
      <c r="H594" t="inlineStr">
        <is>
          <t>TCNz002PH:Waiting for requests</t>
        </is>
      </c>
      <c r="I594" s="1" t="n">
        <v>45939</v>
      </c>
      <c r="J594" t="n">
        <v>0.75</v>
      </c>
      <c r="K594" t="inlineStr">
        <is>
          <t>Reviewing spec</t>
        </is>
      </c>
      <c r="L594">
        <f>IFERROR(LEFT(K594,             FIND(",", K594) - 1), "-")</f>
        <v/>
      </c>
      <c r="M594">
        <f>IFERROR(MID(K594,             FIND(",", K594) + 1, LEN(K594) - FIND(",", K594)), K594)</f>
        <v/>
      </c>
      <c r="N594" t="n">
        <v>5</v>
      </c>
      <c r="P594" t="inlineStr">
        <is>
          <t>10:00</t>
        </is>
      </c>
      <c r="Q594" t="inlineStr">
        <is>
          <t>10:45</t>
        </is>
      </c>
    </row>
    <row r="595">
      <c r="A595" t="inlineStr">
        <is>
          <t>Manansala Janine</t>
        </is>
      </c>
      <c r="B595" t="inlineStr">
        <is>
          <t>TCNz002PH:Waiting for requests</t>
        </is>
      </c>
      <c r="D595">
        <f>L595</f>
        <v/>
      </c>
      <c r="E595">
        <f>SUMIFS(J:J, G:G,             A595, H:H, B595, L:L, L595)</f>
        <v/>
      </c>
      <c r="F595" t="inlineStr">
        <is>
          <t>PH0028</t>
        </is>
      </c>
      <c r="G595" t="inlineStr">
        <is>
          <t>Manansala Janine</t>
        </is>
      </c>
      <c r="H595" t="inlineStr">
        <is>
          <t>TCNz002PH:Waiting for requests</t>
        </is>
      </c>
      <c r="I595" s="1" t="n">
        <v>45939</v>
      </c>
      <c r="J595" t="n">
        <v>0.75</v>
      </c>
      <c r="K595" t="inlineStr">
        <is>
          <t>Reviewing spec</t>
        </is>
      </c>
      <c r="L595">
        <f>IFERROR(LEFT(K595,             FIND(",", K595) - 1), "-")</f>
        <v/>
      </c>
      <c r="M595">
        <f>IFERROR(MID(K595,             FIND(",", K595) + 1, LEN(K595) - FIND(",", K595)), K595)</f>
        <v/>
      </c>
      <c r="N595" t="n">
        <v>5</v>
      </c>
      <c r="P595" t="inlineStr">
        <is>
          <t>12:45</t>
        </is>
      </c>
      <c r="Q595" t="inlineStr">
        <is>
          <t>13:30</t>
        </is>
      </c>
    </row>
    <row r="596">
      <c r="A596" t="inlineStr">
        <is>
          <t>Manansala Janine</t>
        </is>
      </c>
      <c r="B596" t="inlineStr">
        <is>
          <t>TCNz002PH:Waiting for requests</t>
        </is>
      </c>
      <c r="D596">
        <f>L596</f>
        <v/>
      </c>
      <c r="E596">
        <f>SUMIFS(J:J, G:G,             A596, H:H, B596, L:L, L596)</f>
        <v/>
      </c>
      <c r="F596" t="inlineStr">
        <is>
          <t>PH0028</t>
        </is>
      </c>
      <c r="G596" t="inlineStr">
        <is>
          <t>Manansala Janine</t>
        </is>
      </c>
      <c r="H596" t="inlineStr">
        <is>
          <t>TCNz002PH:Waiting for requests</t>
        </is>
      </c>
      <c r="I596" s="1" t="n">
        <v>45940</v>
      </c>
      <c r="J596" t="n">
        <v>0.25</v>
      </c>
      <c r="K596" t="inlineStr">
        <is>
          <t>Reviewing spec</t>
        </is>
      </c>
      <c r="L596">
        <f>IFERROR(LEFT(K596,             FIND(",", K596) - 1), "-")</f>
        <v/>
      </c>
      <c r="M596">
        <f>IFERROR(MID(K596,             FIND(",", K596) + 1, LEN(K596) - FIND(",", K596)), K596)</f>
        <v/>
      </c>
      <c r="N596" t="n">
        <v>5</v>
      </c>
      <c r="P596" t="inlineStr">
        <is>
          <t>13:15</t>
        </is>
      </c>
      <c r="Q596" t="inlineStr">
        <is>
          <t>13:30</t>
        </is>
      </c>
    </row>
    <row r="597">
      <c r="A597" t="inlineStr">
        <is>
          <t>Manansala Janine</t>
        </is>
      </c>
      <c r="B597" t="inlineStr">
        <is>
          <t>TCNz002PH:Waiting for requests</t>
        </is>
      </c>
      <c r="D597">
        <f>L597</f>
        <v/>
      </c>
      <c r="E597">
        <f>SUMIFS(J:J, G:G,             A597, H:H, B597, L:L, L597)</f>
        <v/>
      </c>
      <c r="F597" t="inlineStr">
        <is>
          <t>PH0028</t>
        </is>
      </c>
      <c r="G597" t="inlineStr">
        <is>
          <t>Manansala Janine</t>
        </is>
      </c>
      <c r="H597" t="inlineStr">
        <is>
          <t>TCNz002PH:Waiting for requests</t>
        </is>
      </c>
      <c r="I597" s="1" t="n">
        <v>45944</v>
      </c>
      <c r="J597" t="n">
        <v>1.5</v>
      </c>
      <c r="K597" t="inlineStr">
        <is>
          <t>Reviewing spec</t>
        </is>
      </c>
      <c r="L597">
        <f>IFERROR(LEFT(K597,             FIND(",", K597) - 1), "-")</f>
        <v/>
      </c>
      <c r="M597">
        <f>IFERROR(MID(K597,             FIND(",", K597) + 1, LEN(K597) - FIND(",", K597)), K597)</f>
        <v/>
      </c>
      <c r="N597" t="n">
        <v>5</v>
      </c>
      <c r="P597" t="inlineStr">
        <is>
          <t>09:00</t>
        </is>
      </c>
      <c r="Q597" t="inlineStr">
        <is>
          <t>10:30</t>
        </is>
      </c>
    </row>
    <row r="598">
      <c r="A598" t="inlineStr">
        <is>
          <t>Manansala Janine</t>
        </is>
      </c>
      <c r="B598" t="inlineStr">
        <is>
          <t>TCNz002PH:Waiting for requests</t>
        </is>
      </c>
      <c r="D598">
        <f>L598</f>
        <v/>
      </c>
      <c r="E598">
        <f>SUMIFS(J:J, G:G,             A598, H:H, B598, L:L, L598)</f>
        <v/>
      </c>
      <c r="F598" t="inlineStr">
        <is>
          <t>PH0028</t>
        </is>
      </c>
      <c r="G598" t="inlineStr">
        <is>
          <t>Manansala Janine</t>
        </is>
      </c>
      <c r="H598" t="inlineStr">
        <is>
          <t>TCNz002PH:Waiting for requests</t>
        </is>
      </c>
      <c r="I598" s="1" t="n">
        <v>45944</v>
      </c>
      <c r="J598" t="n">
        <v>1.25</v>
      </c>
      <c r="K598" t="inlineStr">
        <is>
          <t>Reviewing spec</t>
        </is>
      </c>
      <c r="L598">
        <f>IFERROR(LEFT(K598,             FIND(",", K598) - 1), "-")</f>
        <v/>
      </c>
      <c r="M598">
        <f>IFERROR(MID(K598,             FIND(",", K598) + 1, LEN(K598) - FIND(",", K598)), K598)</f>
        <v/>
      </c>
      <c r="N598" t="n">
        <v>5</v>
      </c>
      <c r="P598" t="inlineStr">
        <is>
          <t>12:00</t>
        </is>
      </c>
      <c r="Q598" t="inlineStr">
        <is>
          <t>13:15</t>
        </is>
      </c>
    </row>
    <row r="599">
      <c r="A599" t="inlineStr">
        <is>
          <t>Manansala Janine</t>
        </is>
      </c>
      <c r="B599" t="inlineStr">
        <is>
          <t>TCNz002PH:Waiting for requests</t>
        </is>
      </c>
      <c r="D599">
        <f>L599</f>
        <v/>
      </c>
      <c r="E599">
        <f>SUMIFS(J:J, G:G,             A599, H:H, B599, L:L, L599)</f>
        <v/>
      </c>
      <c r="F599" t="inlineStr">
        <is>
          <t>PH0028</t>
        </is>
      </c>
      <c r="G599" t="inlineStr">
        <is>
          <t>Manansala Janine</t>
        </is>
      </c>
      <c r="H599" t="inlineStr">
        <is>
          <t>TCNz002PH:Waiting for requests</t>
        </is>
      </c>
      <c r="I599" s="1" t="n">
        <v>45944</v>
      </c>
      <c r="J599" t="n">
        <v>1.5</v>
      </c>
      <c r="K599" t="inlineStr">
        <is>
          <t>Reviewing spec</t>
        </is>
      </c>
      <c r="L599">
        <f>IFERROR(LEFT(K599,             FIND(",", K599) - 1), "-")</f>
        <v/>
      </c>
      <c r="M599">
        <f>IFERROR(MID(K599,             FIND(",", K599) + 1, LEN(K599) - FIND(",", K599)), K599)</f>
        <v/>
      </c>
      <c r="N599" t="n">
        <v>5</v>
      </c>
      <c r="P599" t="inlineStr">
        <is>
          <t>13:30</t>
        </is>
      </c>
      <c r="Q599" t="inlineStr">
        <is>
          <t>15:00</t>
        </is>
      </c>
    </row>
    <row r="600">
      <c r="A600" t="inlineStr">
        <is>
          <t>Manansala Janine</t>
        </is>
      </c>
      <c r="B600" t="inlineStr">
        <is>
          <t>TCNz002PH:Waiting for requests</t>
        </is>
      </c>
      <c r="D600">
        <f>L600</f>
        <v/>
      </c>
      <c r="E600">
        <f>SUMIFS(J:J, G:G,             A600, H:H, B600, L:L, L600)</f>
        <v/>
      </c>
      <c r="F600" t="inlineStr">
        <is>
          <t>PH0028</t>
        </is>
      </c>
      <c r="G600" t="inlineStr">
        <is>
          <t>Manansala Janine</t>
        </is>
      </c>
      <c r="H600" t="inlineStr">
        <is>
          <t>TCNz002PH:Waiting for requests</t>
        </is>
      </c>
      <c r="I600" s="1" t="n">
        <v>45944</v>
      </c>
      <c r="J600" t="n">
        <v>0.25</v>
      </c>
      <c r="K600" t="inlineStr">
        <is>
          <t>Reviewing spec</t>
        </is>
      </c>
      <c r="L600">
        <f>IFERROR(LEFT(K600,             FIND(",", K600) - 1), "-")</f>
        <v/>
      </c>
      <c r="M600">
        <f>IFERROR(MID(K600,             FIND(",", K600) + 1, LEN(K600) - FIND(",", K600)), K600)</f>
        <v/>
      </c>
      <c r="N600" t="n">
        <v>5</v>
      </c>
      <c r="P600" t="inlineStr">
        <is>
          <t>16:45</t>
        </is>
      </c>
      <c r="Q600" t="inlineStr">
        <is>
          <t>17:00</t>
        </is>
      </c>
    </row>
    <row r="601">
      <c r="A601" t="inlineStr">
        <is>
          <t>Manansala Janine</t>
        </is>
      </c>
      <c r="B601" t="inlineStr">
        <is>
          <t>TCNz002PH:Waiting for requests</t>
        </is>
      </c>
      <c r="D601">
        <f>L601</f>
        <v/>
      </c>
      <c r="E601">
        <f>SUMIFS(J:J, G:G,             A601, H:H, B601, L:L, L601)</f>
        <v/>
      </c>
      <c r="F601" t="inlineStr">
        <is>
          <t>PH0028</t>
        </is>
      </c>
      <c r="G601" t="inlineStr">
        <is>
          <t>Manansala Janine</t>
        </is>
      </c>
      <c r="H601" t="inlineStr">
        <is>
          <t>TCNz002PH:Waiting for requests</t>
        </is>
      </c>
      <c r="I601" s="1" t="n">
        <v>45946</v>
      </c>
      <c r="J601" t="n">
        <v>0.75</v>
      </c>
      <c r="K601" t="inlineStr">
        <is>
          <t>Reviewing spec</t>
        </is>
      </c>
      <c r="L601">
        <f>IFERROR(LEFT(K601,             FIND(",", K601) - 1), "-")</f>
        <v/>
      </c>
      <c r="M601">
        <f>IFERROR(MID(K601,             FIND(",", K601) + 1, LEN(K601) - FIND(",", K601)), K601)</f>
        <v/>
      </c>
      <c r="N601" t="n">
        <v>5</v>
      </c>
      <c r="P601" t="inlineStr">
        <is>
          <t>09:00</t>
        </is>
      </c>
      <c r="Q601" t="inlineStr">
        <is>
          <t>09:45</t>
        </is>
      </c>
    </row>
    <row r="602">
      <c r="A602" t="inlineStr">
        <is>
          <t>Manansala Janine</t>
        </is>
      </c>
      <c r="B602" t="inlineStr">
        <is>
          <t>TCNz002PH:Waiting for requests</t>
        </is>
      </c>
      <c r="D602">
        <f>L602</f>
        <v/>
      </c>
      <c r="E602">
        <f>SUMIFS(J:J, G:G,             A602, H:H, B602, L:L, L602)</f>
        <v/>
      </c>
      <c r="F602" t="inlineStr">
        <is>
          <t>PH0028</t>
        </is>
      </c>
      <c r="G602" t="inlineStr">
        <is>
          <t>Manansala Janine</t>
        </is>
      </c>
      <c r="H602" t="inlineStr">
        <is>
          <t>TCNz002PH:Waiting for requests</t>
        </is>
      </c>
      <c r="I602" s="1" t="n">
        <v>45952</v>
      </c>
      <c r="J602" t="n">
        <v>0.75</v>
      </c>
      <c r="K602" t="inlineStr">
        <is>
          <t>Reviewing spec</t>
        </is>
      </c>
      <c r="L602">
        <f>IFERROR(LEFT(K602,             FIND(",", K602) - 1), "-")</f>
        <v/>
      </c>
      <c r="M602">
        <f>IFERROR(MID(K602,             FIND(",", K602) + 1, LEN(K602) - FIND(",", K602)), K602)</f>
        <v/>
      </c>
      <c r="N602" t="n">
        <v>5</v>
      </c>
      <c r="P602" t="inlineStr">
        <is>
          <t>13:00</t>
        </is>
      </c>
      <c r="Q602" t="inlineStr">
        <is>
          <t>13:45</t>
        </is>
      </c>
    </row>
    <row r="603">
      <c r="A603" t="inlineStr">
        <is>
          <t>Manansala Janine</t>
        </is>
      </c>
      <c r="B603" t="inlineStr">
        <is>
          <t>TCNz002PH:Waiting for requests</t>
        </is>
      </c>
      <c r="D603">
        <f>L603</f>
        <v/>
      </c>
      <c r="E603">
        <f>SUMIFS(J:J, G:G,             A603, H:H, B603, L:L, L603)</f>
        <v/>
      </c>
      <c r="F603" t="inlineStr">
        <is>
          <t>PH0028</t>
        </is>
      </c>
      <c r="G603" t="inlineStr">
        <is>
          <t>Manansala Janine</t>
        </is>
      </c>
      <c r="H603" t="inlineStr">
        <is>
          <t>TCNz002PH:Waiting for requests</t>
        </is>
      </c>
      <c r="I603" s="1" t="n">
        <v>45952</v>
      </c>
      <c r="J603" t="n">
        <v>0.25</v>
      </c>
      <c r="K603" t="inlineStr">
        <is>
          <t>Reviewing spec</t>
        </is>
      </c>
      <c r="L603">
        <f>IFERROR(LEFT(K603,             FIND(",", K603) - 1), "-")</f>
        <v/>
      </c>
      <c r="M603">
        <f>IFERROR(MID(K603,             FIND(",", K603) + 1, LEN(K603) - FIND(",", K603)), K603)</f>
        <v/>
      </c>
      <c r="N603" t="n">
        <v>5</v>
      </c>
      <c r="P603" t="inlineStr">
        <is>
          <t>14:00</t>
        </is>
      </c>
      <c r="Q603" t="inlineStr">
        <is>
          <t>14:15</t>
        </is>
      </c>
    </row>
    <row r="604">
      <c r="A604" t="inlineStr">
        <is>
          <t>Manansala Janine</t>
        </is>
      </c>
      <c r="B604" t="inlineStr">
        <is>
          <t>TCNz002PH:Waiting for requests</t>
        </is>
      </c>
      <c r="D604">
        <f>L604</f>
        <v/>
      </c>
      <c r="E604">
        <f>SUMIFS(J:J, G:G,             A604, H:H, B604, L:L, L604)</f>
        <v/>
      </c>
      <c r="F604" t="inlineStr">
        <is>
          <t>PH0028</t>
        </is>
      </c>
      <c r="G604" t="inlineStr">
        <is>
          <t>Manansala Janine</t>
        </is>
      </c>
      <c r="H604" t="inlineStr">
        <is>
          <t>TCNz002PH:Waiting for requests</t>
        </is>
      </c>
      <c r="I604" s="1" t="n">
        <v>45952</v>
      </c>
      <c r="J604" t="n">
        <v>0.5</v>
      </c>
      <c r="K604" t="inlineStr">
        <is>
          <t>Reviewing spec</t>
        </is>
      </c>
      <c r="L604">
        <f>IFERROR(LEFT(K604,             FIND(",", K604) - 1), "-")</f>
        <v/>
      </c>
      <c r="M604">
        <f>IFERROR(MID(K604,             FIND(",", K604) + 1, LEN(K604) - FIND(",", K604)), K604)</f>
        <v/>
      </c>
      <c r="N604" t="n">
        <v>5</v>
      </c>
      <c r="P604" t="inlineStr">
        <is>
          <t>15:00</t>
        </is>
      </c>
      <c r="Q604" t="inlineStr">
        <is>
          <t>15:30</t>
        </is>
      </c>
    </row>
    <row r="605">
      <c r="A605" t="inlineStr">
        <is>
          <t>Manansala Janine</t>
        </is>
      </c>
      <c r="B605" t="inlineStr">
        <is>
          <t>TCNz002PH:Waiting for requests</t>
        </is>
      </c>
      <c r="D605">
        <f>L605</f>
        <v/>
      </c>
      <c r="E605">
        <f>SUMIFS(J:J, G:G,             A605, H:H, B605, L:L, L605)</f>
        <v/>
      </c>
      <c r="F605" t="inlineStr">
        <is>
          <t>PH0028</t>
        </is>
      </c>
      <c r="G605" t="inlineStr">
        <is>
          <t>Manansala Janine</t>
        </is>
      </c>
      <c r="H605" t="inlineStr">
        <is>
          <t>TCNz002PH:Waiting for requests</t>
        </is>
      </c>
      <c r="I605" s="1" t="n">
        <v>45952</v>
      </c>
      <c r="J605" t="n">
        <v>1.25</v>
      </c>
      <c r="K605" t="inlineStr">
        <is>
          <t>Reviewing tframe spec</t>
        </is>
      </c>
      <c r="L605">
        <f>IFERROR(LEFT(K605,             FIND(",", K605) - 1), "-")</f>
        <v/>
      </c>
      <c r="M605">
        <f>IFERROR(MID(K605,             FIND(",", K605) + 1, LEN(K605) - FIND(",", K605)), K605)</f>
        <v/>
      </c>
      <c r="N605" t="n">
        <v>5</v>
      </c>
      <c r="P605" t="inlineStr">
        <is>
          <t>08:00</t>
        </is>
      </c>
      <c r="Q605" t="inlineStr">
        <is>
          <t>09:15</t>
        </is>
      </c>
    </row>
    <row r="606">
      <c r="A606" t="inlineStr">
        <is>
          <t>Manansala Janine</t>
        </is>
      </c>
      <c r="B606" t="inlineStr">
        <is>
          <t>TCNz002PH:Waiting for requests</t>
        </is>
      </c>
      <c r="D606">
        <f>L606</f>
        <v/>
      </c>
      <c r="E606">
        <f>SUMIFS(J:J, G:G,             A606, H:H, B606, L:L, L606)</f>
        <v/>
      </c>
      <c r="F606" t="inlineStr">
        <is>
          <t>PH0028</t>
        </is>
      </c>
      <c r="G606" t="inlineStr">
        <is>
          <t>Manansala Janine</t>
        </is>
      </c>
      <c r="H606" t="inlineStr">
        <is>
          <t>TCNz002PH:Waiting for requests</t>
        </is>
      </c>
      <c r="I606" s="1" t="n">
        <v>45952</v>
      </c>
      <c r="J606" t="n">
        <v>1</v>
      </c>
      <c r="K606" t="inlineStr">
        <is>
          <t>Reviewing tframe spec</t>
        </is>
      </c>
      <c r="L606">
        <f>IFERROR(LEFT(K606,             FIND(",", K606) - 1), "-")</f>
        <v/>
      </c>
      <c r="M606">
        <f>IFERROR(MID(K606,             FIND(",", K606) + 1, LEN(K606) - FIND(",", K606)), K606)</f>
        <v/>
      </c>
      <c r="N606" t="n">
        <v>5</v>
      </c>
      <c r="P606" t="inlineStr">
        <is>
          <t>15:45</t>
        </is>
      </c>
      <c r="Q606" t="inlineStr">
        <is>
          <t>16:45</t>
        </is>
      </c>
    </row>
    <row r="607">
      <c r="A607" t="inlineStr">
        <is>
          <t>Manansala Janine</t>
        </is>
      </c>
      <c r="B607" t="inlineStr">
        <is>
          <t>TCNz002PH:Waiting for requests</t>
        </is>
      </c>
      <c r="D607">
        <f>L607</f>
        <v/>
      </c>
      <c r="E607">
        <f>SUMIFS(J:J, G:G,             A607, H:H, B607, L:L, L607)</f>
        <v/>
      </c>
      <c r="F607" t="inlineStr">
        <is>
          <t>PH0028</t>
        </is>
      </c>
      <c r="G607" t="inlineStr">
        <is>
          <t>Manansala Janine</t>
        </is>
      </c>
      <c r="H607" t="inlineStr">
        <is>
          <t>TCNz002PH:Waiting for requests</t>
        </is>
      </c>
      <c r="I607" s="1" t="n">
        <v>45953</v>
      </c>
      <c r="J607" t="n">
        <v>2.5</v>
      </c>
      <c r="K607" t="inlineStr">
        <is>
          <t>Reviewing tframe spec</t>
        </is>
      </c>
      <c r="L607">
        <f>IFERROR(LEFT(K607,             FIND(",", K607) - 1), "-")</f>
        <v/>
      </c>
      <c r="M607">
        <f>IFERROR(MID(K607,             FIND(",", K607) + 1, LEN(K607) - FIND(",", K607)), K607)</f>
        <v/>
      </c>
      <c r="N607" t="n">
        <v>5</v>
      </c>
      <c r="P607" t="inlineStr">
        <is>
          <t>08:15</t>
        </is>
      </c>
      <c r="Q607" t="inlineStr">
        <is>
          <t>10:45</t>
        </is>
      </c>
    </row>
    <row r="608">
      <c r="A608" t="inlineStr">
        <is>
          <t>Manansala Janine</t>
        </is>
      </c>
      <c r="B608" t="inlineStr">
        <is>
          <t>TCNz002PH:Waiting for requests</t>
        </is>
      </c>
      <c r="D608">
        <f>L608</f>
        <v/>
      </c>
      <c r="E608">
        <f>SUMIFS(J:J, G:G,             A608, H:H, B608, L:L, L608)</f>
        <v/>
      </c>
      <c r="F608" t="inlineStr">
        <is>
          <t>PH0028</t>
        </is>
      </c>
      <c r="G608" t="inlineStr">
        <is>
          <t>Manansala Janine</t>
        </is>
      </c>
      <c r="H608" t="inlineStr">
        <is>
          <t>TCNz002PH:Waiting for requests</t>
        </is>
      </c>
      <c r="I608" s="1" t="n">
        <v>45938</v>
      </c>
      <c r="J608" t="n">
        <v>0.25</v>
      </c>
      <c r="K608" t="inlineStr">
        <is>
          <t>TR95764 QA</t>
        </is>
      </c>
      <c r="L608">
        <f>IFERROR(LEFT(K608,             FIND(",", K608) - 1), "-")</f>
        <v/>
      </c>
      <c r="M608">
        <f>IFERROR(MID(K608,             FIND(",", K608) + 1, LEN(K608) - FIND(",", K608)), K608)</f>
        <v/>
      </c>
      <c r="N608" t="n">
        <v>5</v>
      </c>
      <c r="P608" t="inlineStr">
        <is>
          <t>15:45</t>
        </is>
      </c>
      <c r="Q608" t="inlineStr">
        <is>
          <t>16:00</t>
        </is>
      </c>
    </row>
    <row r="609">
      <c r="A609" t="inlineStr">
        <is>
          <t>Manansala Janine</t>
        </is>
      </c>
      <c r="B609" t="inlineStr">
        <is>
          <t>TCNz004PH:SMS NewDev</t>
        </is>
      </c>
      <c r="C609">
        <f>SUMIFS(J:J, G:G,             A609, H:H, B609)</f>
        <v/>
      </c>
      <c r="D609">
        <f>L609</f>
        <v/>
      </c>
      <c r="E609">
        <f>SUMIFS(J:J, G:G,             A609, H:H, B609, L:L, L609)</f>
        <v/>
      </c>
      <c r="F609" t="inlineStr">
        <is>
          <t>PH0028</t>
        </is>
      </c>
      <c r="G609" t="inlineStr">
        <is>
          <t>Manansala Janine</t>
        </is>
      </c>
      <c r="H609" t="inlineStr">
        <is>
          <t>TCNz004PH:SMS NewDev</t>
        </is>
      </c>
      <c r="I609" s="1" t="n">
        <v>45944</v>
      </c>
      <c r="J609" t="n">
        <v>0.25</v>
      </c>
      <c r="K609" t="inlineStr">
        <is>
          <t>95743</t>
        </is>
      </c>
      <c r="L609">
        <f>IFERROR(LEFT(K609,             FIND(",", K609) - 1), "-")</f>
        <v/>
      </c>
      <c r="M609">
        <f>IFERROR(MID(K609,             FIND(",", K609) + 1, LEN(K609) - FIND(",", K609)), K609)</f>
        <v/>
      </c>
      <c r="P609" t="inlineStr">
        <is>
          <t>15:00</t>
        </is>
      </c>
      <c r="Q609" t="inlineStr">
        <is>
          <t>15:15</t>
        </is>
      </c>
    </row>
    <row r="610">
      <c r="A610" t="inlineStr">
        <is>
          <t>Manansala Janine</t>
        </is>
      </c>
      <c r="B610" t="inlineStr">
        <is>
          <t>TCNz004PH:SMS NewDev</t>
        </is>
      </c>
      <c r="D610">
        <f>L610</f>
        <v/>
      </c>
      <c r="E610">
        <f>SUMIFS(J:J, G:G,             A610, H:H, B610, L:L, L610)</f>
        <v/>
      </c>
      <c r="F610" t="inlineStr">
        <is>
          <t>PH0028</t>
        </is>
      </c>
      <c r="G610" t="inlineStr">
        <is>
          <t>Manansala Janine</t>
        </is>
      </c>
      <c r="H610" t="inlineStr">
        <is>
          <t>TCNz004PH:SMS NewDev</t>
        </is>
      </c>
      <c r="I610" s="1" t="n">
        <v>45944</v>
      </c>
      <c r="J610" t="n">
        <v>0.25</v>
      </c>
      <c r="K610" t="inlineStr">
        <is>
          <t>95743</t>
        </is>
      </c>
      <c r="L610">
        <f>IFERROR(LEFT(K610,             FIND(",", K610) - 1), "-")</f>
        <v/>
      </c>
      <c r="M610">
        <f>IFERROR(MID(K610,             FIND(",", K610) + 1, LEN(K610) - FIND(",", K610)), K610)</f>
        <v/>
      </c>
      <c r="P610" t="inlineStr">
        <is>
          <t>16:30</t>
        </is>
      </c>
      <c r="Q610" t="inlineStr">
        <is>
          <t>16:45</t>
        </is>
      </c>
    </row>
    <row r="611">
      <c r="A611" t="inlineStr">
        <is>
          <t>Manansala Janine</t>
        </is>
      </c>
      <c r="B611" t="inlineStr">
        <is>
          <t>TCNz004PH:SMS NewDev</t>
        </is>
      </c>
      <c r="D611">
        <f>L611</f>
        <v/>
      </c>
      <c r="E611">
        <f>SUMIFS(J:J, G:G,             A611, H:H, B611, L:L, L611)</f>
        <v/>
      </c>
      <c r="F611" t="inlineStr">
        <is>
          <t>PH0028</t>
        </is>
      </c>
      <c r="G611" t="inlineStr">
        <is>
          <t>Manansala Janine</t>
        </is>
      </c>
      <c r="H611" t="inlineStr">
        <is>
          <t>TCNz004PH:SMS NewDev</t>
        </is>
      </c>
      <c r="I611" s="1" t="n">
        <v>45937</v>
      </c>
      <c r="J611" t="n">
        <v>0.25</v>
      </c>
      <c r="K611" t="inlineStr">
        <is>
          <t>95798</t>
        </is>
      </c>
      <c r="L611">
        <f>IFERROR(LEFT(K611,             FIND(",", K611) - 1), "-")</f>
        <v/>
      </c>
      <c r="M611">
        <f>IFERROR(MID(K611,             FIND(",", K611) + 1, LEN(K611) - FIND(",", K611)), K611)</f>
        <v/>
      </c>
      <c r="P611" t="inlineStr">
        <is>
          <t>09:45</t>
        </is>
      </c>
      <c r="Q611" t="inlineStr">
        <is>
          <t>10:00</t>
        </is>
      </c>
    </row>
    <row r="612">
      <c r="A612" t="inlineStr">
        <is>
          <t>Manansala Janine</t>
        </is>
      </c>
      <c r="B612" t="inlineStr">
        <is>
          <t>TCNz004PH:SMS NewDev</t>
        </is>
      </c>
      <c r="D612">
        <f>L612</f>
        <v/>
      </c>
      <c r="E612">
        <f>SUMIFS(J:J, G:G,             A612, H:H, B612, L:L, L612)</f>
        <v/>
      </c>
      <c r="F612" t="inlineStr">
        <is>
          <t>PH0028</t>
        </is>
      </c>
      <c r="G612" t="inlineStr">
        <is>
          <t>Manansala Janine</t>
        </is>
      </c>
      <c r="H612" t="inlineStr">
        <is>
          <t>TCNz004PH:SMS NewDev</t>
        </is>
      </c>
      <c r="I612" s="1" t="n">
        <v>45943</v>
      </c>
      <c r="J612" t="n">
        <v>0.5</v>
      </c>
      <c r="K612" t="inlineStr">
        <is>
          <t>95798</t>
        </is>
      </c>
      <c r="L612">
        <f>IFERROR(LEFT(K612,             FIND(",", K612) - 1), "-")</f>
        <v/>
      </c>
      <c r="M612">
        <f>IFERROR(MID(K612,             FIND(",", K612) + 1, LEN(K612) - FIND(",", K612)), K612)</f>
        <v/>
      </c>
      <c r="P612" t="inlineStr">
        <is>
          <t>16:30</t>
        </is>
      </c>
      <c r="Q612" t="inlineStr">
        <is>
          <t>17:00</t>
        </is>
      </c>
    </row>
    <row r="613">
      <c r="A613" t="inlineStr">
        <is>
          <t>Manansala Janine</t>
        </is>
      </c>
      <c r="B613" t="inlineStr">
        <is>
          <t>TCNz004PH:SMS NewDev</t>
        </is>
      </c>
      <c r="D613">
        <f>L613</f>
        <v/>
      </c>
      <c r="E613">
        <f>SUMIFS(J:J, G:G,             A613, H:H, B613, L:L, L613)</f>
        <v/>
      </c>
      <c r="F613" t="inlineStr">
        <is>
          <t>PH0028</t>
        </is>
      </c>
      <c r="G613" t="inlineStr">
        <is>
          <t>Manansala Janine</t>
        </is>
      </c>
      <c r="H613" t="inlineStr">
        <is>
          <t>TCNz004PH:SMS NewDev</t>
        </is>
      </c>
      <c r="I613" s="1" t="n">
        <v>45944</v>
      </c>
      <c r="J613" t="n">
        <v>1</v>
      </c>
      <c r="K613" t="inlineStr">
        <is>
          <t>95798</t>
        </is>
      </c>
      <c r="L613">
        <f>IFERROR(LEFT(K613,             FIND(",", K613) - 1), "-")</f>
        <v/>
      </c>
      <c r="M613">
        <f>IFERROR(MID(K613,             FIND(",", K613) + 1, LEN(K613) - FIND(",", K613)), K613)</f>
        <v/>
      </c>
      <c r="P613" t="inlineStr">
        <is>
          <t>08:00</t>
        </is>
      </c>
      <c r="Q613" t="inlineStr">
        <is>
          <t>09:00</t>
        </is>
      </c>
    </row>
    <row r="614">
      <c r="A614" t="inlineStr">
        <is>
          <t>Manansala Janine</t>
        </is>
      </c>
      <c r="B614" t="inlineStr">
        <is>
          <t>TCNz004PH:SMS NewDev</t>
        </is>
      </c>
      <c r="D614">
        <f>L614</f>
        <v/>
      </c>
      <c r="E614">
        <f>SUMIFS(J:J, G:G,             A614, H:H, B614, L:L, L614)</f>
        <v/>
      </c>
      <c r="F614" t="inlineStr">
        <is>
          <t>PH0028</t>
        </is>
      </c>
      <c r="G614" t="inlineStr">
        <is>
          <t>Manansala Janine</t>
        </is>
      </c>
      <c r="H614" t="inlineStr">
        <is>
          <t>TCNz004PH:SMS NewDev</t>
        </is>
      </c>
      <c r="I614" s="1" t="n">
        <v>45944</v>
      </c>
      <c r="J614" t="n">
        <v>0.25</v>
      </c>
      <c r="K614" t="inlineStr">
        <is>
          <t>95798</t>
        </is>
      </c>
      <c r="L614">
        <f>IFERROR(LEFT(K614,             FIND(",", K614) - 1), "-")</f>
        <v/>
      </c>
      <c r="M614">
        <f>IFERROR(MID(K614,             FIND(",", K614) + 1, LEN(K614) - FIND(",", K614)), K614)</f>
        <v/>
      </c>
      <c r="P614" t="inlineStr">
        <is>
          <t>13:15</t>
        </is>
      </c>
      <c r="Q614" t="inlineStr">
        <is>
          <t>13:30</t>
        </is>
      </c>
    </row>
    <row r="615">
      <c r="A615" t="inlineStr">
        <is>
          <t>Manansala Janine</t>
        </is>
      </c>
      <c r="B615" t="inlineStr">
        <is>
          <t>TCNz004PH:SMS NewDev</t>
        </is>
      </c>
      <c r="D615">
        <f>L615</f>
        <v/>
      </c>
      <c r="E615">
        <f>SUMIFS(J:J, G:G,             A615, H:H, B615, L:L, L615)</f>
        <v/>
      </c>
      <c r="F615" t="inlineStr">
        <is>
          <t>PH0028</t>
        </is>
      </c>
      <c r="G615" t="inlineStr">
        <is>
          <t>Manansala Janine</t>
        </is>
      </c>
      <c r="H615" t="inlineStr">
        <is>
          <t>TCNz004PH:SMS NewDev</t>
        </is>
      </c>
      <c r="I615" s="1" t="n">
        <v>45947</v>
      </c>
      <c r="J615" t="n">
        <v>0.25</v>
      </c>
      <c r="K615" t="inlineStr">
        <is>
          <t>95798</t>
        </is>
      </c>
      <c r="L615">
        <f>IFERROR(LEFT(K615,             FIND(",", K615) - 1), "-")</f>
        <v/>
      </c>
      <c r="M615">
        <f>IFERROR(MID(K615,             FIND(",", K615) + 1, LEN(K615) - FIND(",", K615)), K615)</f>
        <v/>
      </c>
      <c r="P615" t="inlineStr">
        <is>
          <t>08:00</t>
        </is>
      </c>
      <c r="Q615" t="inlineStr">
        <is>
          <t>08:15</t>
        </is>
      </c>
    </row>
    <row r="616">
      <c r="A616" t="inlineStr">
        <is>
          <t>Manansala Janine</t>
        </is>
      </c>
      <c r="B616" t="inlineStr">
        <is>
          <t>TCNz004PH:SMS NewDev</t>
        </is>
      </c>
      <c r="D616">
        <f>L616</f>
        <v/>
      </c>
      <c r="E616">
        <f>SUMIFS(J:J, G:G,             A616, H:H, B616, L:L, L616)</f>
        <v/>
      </c>
      <c r="F616" t="inlineStr">
        <is>
          <t>PH0028</t>
        </is>
      </c>
      <c r="G616" t="inlineStr">
        <is>
          <t>Manansala Janine</t>
        </is>
      </c>
      <c r="H616" t="inlineStr">
        <is>
          <t>TCNz004PH:SMS NewDev</t>
        </is>
      </c>
      <c r="I616" s="1" t="n">
        <v>45946</v>
      </c>
      <c r="J616" t="n">
        <v>1</v>
      </c>
      <c r="K616" t="inlineStr">
        <is>
          <t>95830</t>
        </is>
      </c>
      <c r="L616">
        <f>IFERROR(LEFT(K616,             FIND(",", K616) - 1), "-")</f>
        <v/>
      </c>
      <c r="M616">
        <f>IFERROR(MID(K616,             FIND(",", K616) + 1, LEN(K616) - FIND(",", K616)), K616)</f>
        <v/>
      </c>
      <c r="P616" t="inlineStr">
        <is>
          <t>10:00</t>
        </is>
      </c>
      <c r="Q616" t="inlineStr">
        <is>
          <t>11:00</t>
        </is>
      </c>
    </row>
    <row r="617">
      <c r="A617" t="inlineStr">
        <is>
          <t>Manansala Janine</t>
        </is>
      </c>
      <c r="B617" t="inlineStr">
        <is>
          <t>TCNz004PH:SMS NewDev</t>
        </is>
      </c>
      <c r="D617">
        <f>L617</f>
        <v/>
      </c>
      <c r="E617">
        <f>SUMIFS(J:J, G:G,             A617, H:H, B617, L:L, L617)</f>
        <v/>
      </c>
      <c r="F617" t="inlineStr">
        <is>
          <t>PH0028</t>
        </is>
      </c>
      <c r="G617" t="inlineStr">
        <is>
          <t>Manansala Janine</t>
        </is>
      </c>
      <c r="H617" t="inlineStr">
        <is>
          <t>TCNz004PH:SMS NewDev</t>
        </is>
      </c>
      <c r="I617" s="1" t="n">
        <v>45946</v>
      </c>
      <c r="J617" t="n">
        <v>4.25</v>
      </c>
      <c r="K617" t="inlineStr">
        <is>
          <t>95830</t>
        </is>
      </c>
      <c r="L617">
        <f>IFERROR(LEFT(K617,             FIND(",", K617) - 1), "-")</f>
        <v/>
      </c>
      <c r="M617">
        <f>IFERROR(MID(K617,             FIND(",", K617) + 1, LEN(K617) - FIND(",", K617)), K617)</f>
        <v/>
      </c>
      <c r="P617" t="inlineStr">
        <is>
          <t>12:00</t>
        </is>
      </c>
      <c r="Q617" t="inlineStr">
        <is>
          <t>16:15</t>
        </is>
      </c>
    </row>
    <row r="618">
      <c r="A618" t="inlineStr">
        <is>
          <t>Manansala Janine</t>
        </is>
      </c>
      <c r="B618" t="inlineStr">
        <is>
          <t>TCNz004PH:SMS NewDev</t>
        </is>
      </c>
      <c r="D618">
        <f>L618</f>
        <v/>
      </c>
      <c r="E618">
        <f>SUMIFS(J:J, G:G,             A618, H:H, B618, L:L, L618)</f>
        <v/>
      </c>
      <c r="F618" t="inlineStr">
        <is>
          <t>PH0028</t>
        </is>
      </c>
      <c r="G618" t="inlineStr">
        <is>
          <t>Manansala Janine</t>
        </is>
      </c>
      <c r="H618" t="inlineStr">
        <is>
          <t>TCNz004PH:SMS NewDev</t>
        </is>
      </c>
      <c r="I618" s="1" t="n">
        <v>45952</v>
      </c>
      <c r="J618" t="n">
        <v>0.25</v>
      </c>
      <c r="K618" t="inlineStr">
        <is>
          <t>95830</t>
        </is>
      </c>
      <c r="L618">
        <f>IFERROR(LEFT(K618,             FIND(",", K618) - 1), "-")</f>
        <v/>
      </c>
      <c r="M618">
        <f>IFERROR(MID(K618,             FIND(",", K618) + 1, LEN(K618) - FIND(",", K618)), K618)</f>
        <v/>
      </c>
      <c r="P618" t="inlineStr">
        <is>
          <t>13:45</t>
        </is>
      </c>
      <c r="Q618" t="inlineStr">
        <is>
          <t>14:00</t>
        </is>
      </c>
    </row>
    <row r="619">
      <c r="A619" t="inlineStr">
        <is>
          <t>Manansala Janine</t>
        </is>
      </c>
      <c r="B619" t="inlineStr">
        <is>
          <t>TCNz004PH:SMS NewDev</t>
        </is>
      </c>
      <c r="D619">
        <f>L619</f>
        <v/>
      </c>
      <c r="E619">
        <f>SUMIFS(J:J, G:G,             A619, H:H, B619, L:L, L619)</f>
        <v/>
      </c>
      <c r="F619" t="inlineStr">
        <is>
          <t>PH0028</t>
        </is>
      </c>
      <c r="G619" t="inlineStr">
        <is>
          <t>Manansala Janine</t>
        </is>
      </c>
      <c r="H619" t="inlineStr">
        <is>
          <t>TCNz004PH:SMS NewDev</t>
        </is>
      </c>
      <c r="I619" s="1" t="n">
        <v>45952</v>
      </c>
      <c r="J619" t="n">
        <v>0.25</v>
      </c>
      <c r="K619" t="inlineStr">
        <is>
          <t>95830</t>
        </is>
      </c>
      <c r="L619">
        <f>IFERROR(LEFT(K619,             FIND(",", K619) - 1), "-")</f>
        <v/>
      </c>
      <c r="M619">
        <f>IFERROR(MID(K619,             FIND(",", K619) + 1, LEN(K619) - FIND(",", K619)), K619)</f>
        <v/>
      </c>
      <c r="P619" t="inlineStr">
        <is>
          <t>14:45</t>
        </is>
      </c>
      <c r="Q619" t="inlineStr">
        <is>
          <t>15:00</t>
        </is>
      </c>
    </row>
    <row r="620">
      <c r="A620" t="inlineStr">
        <is>
          <t>Manansala Janine</t>
        </is>
      </c>
      <c r="B620" t="inlineStr">
        <is>
          <t>TCNz004PH:SMS NewDev</t>
        </is>
      </c>
      <c r="D620">
        <f>L620</f>
        <v/>
      </c>
      <c r="E620">
        <f>SUMIFS(J:J, G:G,             A620, H:H, B620, L:L, L620)</f>
        <v/>
      </c>
      <c r="F620" t="inlineStr">
        <is>
          <t>PH0028</t>
        </is>
      </c>
      <c r="G620" t="inlineStr">
        <is>
          <t>Manansala Janine</t>
        </is>
      </c>
      <c r="H620" t="inlineStr">
        <is>
          <t>TCNz004PH:SMS NewDev</t>
        </is>
      </c>
      <c r="I620" s="1" t="n">
        <v>45952</v>
      </c>
      <c r="J620" t="n">
        <v>0.25</v>
      </c>
      <c r="K620" t="inlineStr">
        <is>
          <t>95830</t>
        </is>
      </c>
      <c r="L620">
        <f>IFERROR(LEFT(K620,             FIND(",", K620) - 1), "-")</f>
        <v/>
      </c>
      <c r="M620">
        <f>IFERROR(MID(K620,             FIND(",", K620) + 1, LEN(K620) - FIND(",", K620)), K620)</f>
        <v/>
      </c>
      <c r="P620" t="inlineStr">
        <is>
          <t>15:30</t>
        </is>
      </c>
      <c r="Q620" t="inlineStr">
        <is>
          <t>15:45</t>
        </is>
      </c>
    </row>
    <row r="621">
      <c r="A621" t="inlineStr">
        <is>
          <t>Manansala Janine</t>
        </is>
      </c>
      <c r="B621" t="inlineStr">
        <is>
          <t>TCNz004PH:SMS NewDev</t>
        </is>
      </c>
      <c r="D621">
        <f>L621</f>
        <v/>
      </c>
      <c r="E621">
        <f>SUMIFS(J:J, G:G,             A621, H:H, B621, L:L, L621)</f>
        <v/>
      </c>
      <c r="F621" t="inlineStr">
        <is>
          <t>PH0028</t>
        </is>
      </c>
      <c r="G621" t="inlineStr">
        <is>
          <t>Manansala Janine</t>
        </is>
      </c>
      <c r="H621" t="inlineStr">
        <is>
          <t>TCNz004PH:SMS NewDev</t>
        </is>
      </c>
      <c r="I621" s="1" t="n">
        <v>45953</v>
      </c>
      <c r="J621" t="n">
        <v>1</v>
      </c>
      <c r="K621" t="inlineStr">
        <is>
          <t>95830</t>
        </is>
      </c>
      <c r="L621">
        <f>IFERROR(LEFT(K621,             FIND(",", K621) - 1), "-")</f>
        <v/>
      </c>
      <c r="M621">
        <f>IFERROR(MID(K621,             FIND(",", K621) + 1, LEN(K621) - FIND(",", K621)), K621)</f>
        <v/>
      </c>
      <c r="P621" t="inlineStr">
        <is>
          <t>13:00</t>
        </is>
      </c>
      <c r="Q621" t="inlineStr">
        <is>
          <t>14:00</t>
        </is>
      </c>
    </row>
    <row r="622">
      <c r="A622" t="inlineStr">
        <is>
          <t>Manansala Janine</t>
        </is>
      </c>
      <c r="B622" t="inlineStr">
        <is>
          <t>TCNz004PH:SMS NewDev</t>
        </is>
      </c>
      <c r="D622">
        <f>L622</f>
        <v/>
      </c>
      <c r="E622">
        <f>SUMIFS(J:J, G:G,             A622, H:H, B622, L:L, L622)</f>
        <v/>
      </c>
      <c r="F622" t="inlineStr">
        <is>
          <t>PH0028</t>
        </is>
      </c>
      <c r="G622" t="inlineStr">
        <is>
          <t>Manansala Janine</t>
        </is>
      </c>
      <c r="H622" t="inlineStr">
        <is>
          <t>TCNz004PH:SMS NewDev</t>
        </is>
      </c>
      <c r="I622" s="1" t="n">
        <v>45953</v>
      </c>
      <c r="J622" t="n">
        <v>1.25</v>
      </c>
      <c r="K622" t="inlineStr">
        <is>
          <t>95830</t>
        </is>
      </c>
      <c r="L622">
        <f>IFERROR(LEFT(K622,             FIND(",", K622) - 1), "-")</f>
        <v/>
      </c>
      <c r="M622">
        <f>IFERROR(MID(K622,             FIND(",", K622) + 1, LEN(K622) - FIND(",", K622)), K622)</f>
        <v/>
      </c>
      <c r="P622" t="inlineStr">
        <is>
          <t>15:45</t>
        </is>
      </c>
      <c r="Q622" t="inlineStr">
        <is>
          <t>17:00</t>
        </is>
      </c>
    </row>
    <row r="623">
      <c r="A623" t="inlineStr">
        <is>
          <t>Manansala Janine</t>
        </is>
      </c>
      <c r="B623" t="inlineStr">
        <is>
          <t>TCNz004PH:SMS NewDev</t>
        </is>
      </c>
      <c r="D623">
        <f>L623</f>
        <v/>
      </c>
      <c r="E623">
        <f>SUMIFS(J:J, G:G,             A623, H:H, B623, L:L, L623)</f>
        <v/>
      </c>
      <c r="F623" t="inlineStr">
        <is>
          <t>PH0028</t>
        </is>
      </c>
      <c r="G623" t="inlineStr">
        <is>
          <t>Manansala Janine</t>
        </is>
      </c>
      <c r="H623" t="inlineStr">
        <is>
          <t>TCNz004PH:SMS NewDev</t>
        </is>
      </c>
      <c r="I623" s="1" t="n">
        <v>45952</v>
      </c>
      <c r="J623" t="n">
        <v>0.5</v>
      </c>
      <c r="K623" t="inlineStr">
        <is>
          <t>95830 QA</t>
        </is>
      </c>
      <c r="L623">
        <f>IFERROR(LEFT(K623,             FIND(",", K623) - 1), "-")</f>
        <v/>
      </c>
      <c r="M623">
        <f>IFERROR(MID(K623,             FIND(",", K623) + 1, LEN(K623) - FIND(",", K623)), K623)</f>
        <v/>
      </c>
      <c r="P623" t="inlineStr">
        <is>
          <t>10:00</t>
        </is>
      </c>
      <c r="Q623" t="inlineStr">
        <is>
          <t>10:30</t>
        </is>
      </c>
    </row>
    <row r="624">
      <c r="A624" t="inlineStr">
        <is>
          <t>Manansala Janine</t>
        </is>
      </c>
      <c r="B624" t="inlineStr">
        <is>
          <t>TCNz004PH:SMS NewDev</t>
        </is>
      </c>
      <c r="D624">
        <f>L624</f>
        <v/>
      </c>
      <c r="E624">
        <f>SUMIFS(J:J, G:G,             A624, H:H, B624, L:L, L624)</f>
        <v/>
      </c>
      <c r="F624" t="inlineStr">
        <is>
          <t>PH0028</t>
        </is>
      </c>
      <c r="G624" t="inlineStr">
        <is>
          <t>Manansala Janine</t>
        </is>
      </c>
      <c r="H624" t="inlineStr">
        <is>
          <t>TCNz004PH:SMS NewDev</t>
        </is>
      </c>
      <c r="I624" s="1" t="n">
        <v>45946</v>
      </c>
      <c r="J624" t="n">
        <v>0.5</v>
      </c>
      <c r="K624" t="inlineStr">
        <is>
          <t>95831</t>
        </is>
      </c>
      <c r="L624">
        <f>IFERROR(LEFT(K624,             FIND(",", K624) - 1), "-")</f>
        <v/>
      </c>
      <c r="M624">
        <f>IFERROR(MID(K624,             FIND(",", K624) + 1, LEN(K624) - FIND(",", K624)), K624)</f>
        <v/>
      </c>
      <c r="P624" t="inlineStr">
        <is>
          <t>16:30</t>
        </is>
      </c>
      <c r="Q624" t="inlineStr">
        <is>
          <t>17:00</t>
        </is>
      </c>
    </row>
    <row r="625">
      <c r="A625" t="inlineStr">
        <is>
          <t>Manansala Janine</t>
        </is>
      </c>
      <c r="B625" t="inlineStr">
        <is>
          <t>TCNz004PH:SMS NewDev</t>
        </is>
      </c>
      <c r="D625">
        <f>L625</f>
        <v/>
      </c>
      <c r="E625">
        <f>SUMIFS(J:J, G:G,             A625, H:H, B625, L:L, L625)</f>
        <v/>
      </c>
      <c r="F625" t="inlineStr">
        <is>
          <t>PH0028</t>
        </is>
      </c>
      <c r="G625" t="inlineStr">
        <is>
          <t>Manansala Janine</t>
        </is>
      </c>
      <c r="H625" t="inlineStr">
        <is>
          <t>TCNz004PH:SMS NewDev</t>
        </is>
      </c>
      <c r="I625" s="1" t="n">
        <v>45947</v>
      </c>
      <c r="J625" t="n">
        <v>2.75</v>
      </c>
      <c r="K625" t="inlineStr">
        <is>
          <t>95831</t>
        </is>
      </c>
      <c r="L625">
        <f>IFERROR(LEFT(K625,             FIND(",", K625) - 1), "-")</f>
        <v/>
      </c>
      <c r="M625">
        <f>IFERROR(MID(K625,             FIND(",", K625) + 1, LEN(K625) - FIND(",", K625)), K625)</f>
        <v/>
      </c>
      <c r="P625" t="inlineStr">
        <is>
          <t>08:15</t>
        </is>
      </c>
      <c r="Q625" t="inlineStr">
        <is>
          <t>11:00</t>
        </is>
      </c>
    </row>
    <row r="626">
      <c r="A626" t="inlineStr">
        <is>
          <t>Manansala Janine</t>
        </is>
      </c>
      <c r="B626" t="inlineStr">
        <is>
          <t>TCNz004PH:SMS NewDev</t>
        </is>
      </c>
      <c r="D626">
        <f>L626</f>
        <v/>
      </c>
      <c r="E626">
        <f>SUMIFS(J:J, G:G,             A626, H:H, B626, L:L, L626)</f>
        <v/>
      </c>
      <c r="F626" t="inlineStr">
        <is>
          <t>PH0028</t>
        </is>
      </c>
      <c r="G626" t="inlineStr">
        <is>
          <t>Manansala Janine</t>
        </is>
      </c>
      <c r="H626" t="inlineStr">
        <is>
          <t>TCNz004PH:SMS NewDev</t>
        </is>
      </c>
      <c r="I626" s="1" t="n">
        <v>45953</v>
      </c>
      <c r="J626" t="n">
        <v>0.25</v>
      </c>
      <c r="K626" t="inlineStr">
        <is>
          <t>95831</t>
        </is>
      </c>
      <c r="L626">
        <f>IFERROR(LEFT(K626,             FIND(",", K626) - 1), "-")</f>
        <v/>
      </c>
      <c r="M626">
        <f>IFERROR(MID(K626,             FIND(",", K626) + 1, LEN(K626) - FIND(",", K626)), K626)</f>
        <v/>
      </c>
      <c r="P626" t="inlineStr">
        <is>
          <t>10:45</t>
        </is>
      </c>
      <c r="Q626" t="inlineStr">
        <is>
          <t>11:00</t>
        </is>
      </c>
    </row>
    <row r="627">
      <c r="A627" t="inlineStr">
        <is>
          <t>Manansala Janine</t>
        </is>
      </c>
      <c r="B627" t="inlineStr">
        <is>
          <t>TCNz004PH:SMS NewDev</t>
        </is>
      </c>
      <c r="D627">
        <f>L627</f>
        <v/>
      </c>
      <c r="E627">
        <f>SUMIFS(J:J, G:G,             A627, H:H, B627, L:L, L627)</f>
        <v/>
      </c>
      <c r="F627" t="inlineStr">
        <is>
          <t>PH0028</t>
        </is>
      </c>
      <c r="G627" t="inlineStr">
        <is>
          <t>Manansala Janine</t>
        </is>
      </c>
      <c r="H627" t="inlineStr">
        <is>
          <t>TCNz004PH:SMS NewDev</t>
        </is>
      </c>
      <c r="I627" s="1" t="n">
        <v>45953</v>
      </c>
      <c r="J627" t="n">
        <v>1</v>
      </c>
      <c r="K627" t="inlineStr">
        <is>
          <t>95831</t>
        </is>
      </c>
      <c r="L627">
        <f>IFERROR(LEFT(K627,             FIND(",", K627) - 1), "-")</f>
        <v/>
      </c>
      <c r="M627">
        <f>IFERROR(MID(K627,             FIND(",", K627) + 1, LEN(K627) - FIND(",", K627)), K627)</f>
        <v/>
      </c>
      <c r="P627" t="inlineStr">
        <is>
          <t>12:00</t>
        </is>
      </c>
      <c r="Q627" t="inlineStr">
        <is>
          <t>13:00</t>
        </is>
      </c>
    </row>
    <row r="628">
      <c r="A628" t="inlineStr">
        <is>
          <t>Manansala Janine</t>
        </is>
      </c>
      <c r="B628" t="inlineStr">
        <is>
          <t>TCNz004PH:SMS NewDev</t>
        </is>
      </c>
      <c r="D628">
        <f>L628</f>
        <v/>
      </c>
      <c r="E628">
        <f>SUMIFS(J:J, G:G,             A628, H:H, B628, L:L, L628)</f>
        <v/>
      </c>
      <c r="F628" t="inlineStr">
        <is>
          <t>PH0028</t>
        </is>
      </c>
      <c r="G628" t="inlineStr">
        <is>
          <t>Manansala Janine</t>
        </is>
      </c>
      <c r="H628" t="inlineStr">
        <is>
          <t>TCNz004PH:SMS NewDev</t>
        </is>
      </c>
      <c r="I628" s="1" t="n">
        <v>45953</v>
      </c>
      <c r="J628" t="n">
        <v>0.75</v>
      </c>
      <c r="K628" t="inlineStr">
        <is>
          <t>95831</t>
        </is>
      </c>
      <c r="L628">
        <f>IFERROR(LEFT(K628,             FIND(",", K628) - 1), "-")</f>
        <v/>
      </c>
      <c r="M628">
        <f>IFERROR(MID(K628,             FIND(",", K628) + 1, LEN(K628) - FIND(",", K628)), K628)</f>
        <v/>
      </c>
      <c r="P628" t="inlineStr">
        <is>
          <t>14:15</t>
        </is>
      </c>
      <c r="Q628" t="inlineStr">
        <is>
          <t>15:00</t>
        </is>
      </c>
    </row>
    <row r="629">
      <c r="A629" t="inlineStr">
        <is>
          <t>Manansala Janine</t>
        </is>
      </c>
      <c r="B629" t="inlineStr">
        <is>
          <t>TCNz004PH:SMS NewDev</t>
        </is>
      </c>
      <c r="D629">
        <f>L629</f>
        <v/>
      </c>
      <c r="E629">
        <f>SUMIFS(J:J, G:G,             A629, H:H, B629, L:L, L629)</f>
        <v/>
      </c>
      <c r="F629" t="inlineStr">
        <is>
          <t>PH0028</t>
        </is>
      </c>
      <c r="G629" t="inlineStr">
        <is>
          <t>Manansala Janine</t>
        </is>
      </c>
      <c r="H629" t="inlineStr">
        <is>
          <t>TCNz004PH:SMS NewDev</t>
        </is>
      </c>
      <c r="I629" s="1" t="n">
        <v>45953</v>
      </c>
      <c r="J629" t="n">
        <v>0.5</v>
      </c>
      <c r="K629" t="inlineStr">
        <is>
          <t>95831</t>
        </is>
      </c>
      <c r="L629">
        <f>IFERROR(LEFT(K629,             FIND(",", K629) - 1), "-")</f>
        <v/>
      </c>
      <c r="M629">
        <f>IFERROR(MID(K629,             FIND(",", K629) + 1, LEN(K629) - FIND(",", K629)), K629)</f>
        <v/>
      </c>
      <c r="P629" t="inlineStr">
        <is>
          <t>15:15</t>
        </is>
      </c>
      <c r="Q629" t="inlineStr">
        <is>
          <t>15:45</t>
        </is>
      </c>
    </row>
    <row r="630">
      <c r="A630" t="inlineStr">
        <is>
          <t>Manansala Janine</t>
        </is>
      </c>
      <c r="B630" t="inlineStr">
        <is>
          <t>TCNz004PH:SMS NewDev</t>
        </is>
      </c>
      <c r="D630">
        <f>L630</f>
        <v/>
      </c>
      <c r="E630">
        <f>SUMIFS(J:J, G:G,             A630, H:H, B630, L:L, L630)</f>
        <v/>
      </c>
      <c r="F630" t="inlineStr">
        <is>
          <t>PH0028</t>
        </is>
      </c>
      <c r="G630" t="inlineStr">
        <is>
          <t>Manansala Janine</t>
        </is>
      </c>
      <c r="H630" t="inlineStr">
        <is>
          <t>TCNz004PH:SMS NewDev</t>
        </is>
      </c>
      <c r="I630" s="1" t="n">
        <v>45952</v>
      </c>
      <c r="J630" t="n">
        <v>0.5</v>
      </c>
      <c r="K630" t="inlineStr">
        <is>
          <t>95831 QA</t>
        </is>
      </c>
      <c r="L630">
        <f>IFERROR(LEFT(K630,             FIND(",", K630) - 1), "-")</f>
        <v/>
      </c>
      <c r="M630">
        <f>IFERROR(MID(K630,             FIND(",", K630) + 1, LEN(K630) - FIND(",", K630)), K630)</f>
        <v/>
      </c>
      <c r="P630" t="inlineStr">
        <is>
          <t>12:15</t>
        </is>
      </c>
      <c r="Q630" t="inlineStr">
        <is>
          <t>12:45</t>
        </is>
      </c>
    </row>
    <row r="631">
      <c r="A631" t="inlineStr">
        <is>
          <t>Manansala Janine</t>
        </is>
      </c>
      <c r="B631" t="inlineStr">
        <is>
          <t>WSDs001PH:WASEDA Support</t>
        </is>
      </c>
      <c r="C631">
        <f>SUMIFS(J:J, G:G,             A631, H:H, B631)</f>
        <v/>
      </c>
      <c r="D631">
        <f>L631</f>
        <v/>
      </c>
      <c r="E631">
        <f>SUMIFS(J:J, G:G,             A631, H:H, B631, L:L, L631)</f>
        <v/>
      </c>
      <c r="F631" t="inlineStr">
        <is>
          <t>PH0028</t>
        </is>
      </c>
      <c r="G631" t="inlineStr">
        <is>
          <t>Manansala Janine</t>
        </is>
      </c>
      <c r="H631" t="inlineStr">
        <is>
          <t>WSDs001PH:WASEDA Support</t>
        </is>
      </c>
      <c r="I631" s="1" t="n">
        <v>45940</v>
      </c>
      <c r="J631" t="n">
        <v>0.25</v>
      </c>
      <c r="K631" t="inlineStr">
        <is>
          <t>95815</t>
        </is>
      </c>
      <c r="L631">
        <f>IFERROR(LEFT(K631,             FIND(",", K631) - 1), "-")</f>
        <v/>
      </c>
      <c r="M631">
        <f>IFERROR(MID(K631,             FIND(",", K631) + 1, LEN(K631) - FIND(",", K631)), K631)</f>
        <v/>
      </c>
      <c r="N631" t="n">
        <v>1</v>
      </c>
      <c r="P631" t="inlineStr">
        <is>
          <t>10:15</t>
        </is>
      </c>
      <c r="Q631" t="inlineStr">
        <is>
          <t>10:30</t>
        </is>
      </c>
    </row>
    <row r="632">
      <c r="A632" t="inlineStr">
        <is>
          <t>Manansala Janine</t>
        </is>
      </c>
      <c r="B632" t="inlineStr">
        <is>
          <t>WSDs001PH:WASEDA Support</t>
        </is>
      </c>
      <c r="D632">
        <f>L632</f>
        <v/>
      </c>
      <c r="E632">
        <f>SUMIFS(J:J, G:G,             A632, H:H, B632, L:L, L632)</f>
        <v/>
      </c>
      <c r="F632" t="inlineStr">
        <is>
          <t>PH0028</t>
        </is>
      </c>
      <c r="G632" t="inlineStr">
        <is>
          <t>Manansala Janine</t>
        </is>
      </c>
      <c r="H632" t="inlineStr">
        <is>
          <t>WSDs001PH:WASEDA Support</t>
        </is>
      </c>
      <c r="I632" s="1" t="n">
        <v>45940</v>
      </c>
      <c r="J632" t="n">
        <v>0.25</v>
      </c>
      <c r="K632" t="inlineStr">
        <is>
          <t>95815</t>
        </is>
      </c>
      <c r="L632">
        <f>IFERROR(LEFT(K632,             FIND(",", K632) - 1), "-")</f>
        <v/>
      </c>
      <c r="M632">
        <f>IFERROR(MID(K632,             FIND(",", K632) + 1, LEN(K632) - FIND(",", K632)), K632)</f>
        <v/>
      </c>
      <c r="N632" t="n">
        <v>1</v>
      </c>
      <c r="P632" t="inlineStr">
        <is>
          <t>13:30</t>
        </is>
      </c>
      <c r="Q632" t="inlineStr">
        <is>
          <t>13:45</t>
        </is>
      </c>
    </row>
    <row r="633">
      <c r="A633" t="inlineStr">
        <is>
          <t>Manansala Janine</t>
        </is>
      </c>
      <c r="B633" t="inlineStr">
        <is>
          <t>YMHa003PH:YAMAHA WBS:Additional request</t>
        </is>
      </c>
      <c r="C633">
        <f>SUMIFS(J:J, G:G,             A633, H:H, B633)</f>
        <v/>
      </c>
      <c r="D633">
        <f>L633</f>
        <v/>
      </c>
      <c r="E633">
        <f>SUMIFS(J:J, G:G,             A633, H:H, B633, L:L, L633)</f>
        <v/>
      </c>
      <c r="F633" t="inlineStr">
        <is>
          <t>PH0028</t>
        </is>
      </c>
      <c r="G633" t="inlineStr">
        <is>
          <t>Manansala Janine</t>
        </is>
      </c>
      <c r="H633" t="inlineStr">
        <is>
          <t>YMHa003PH:YAMAHA WBS:Additional request</t>
        </is>
      </c>
      <c r="I633" s="1" t="n">
        <v>45932</v>
      </c>
      <c r="J633" t="n">
        <v>0.5</v>
      </c>
      <c r="K633" t="inlineStr">
        <is>
          <t>95735</t>
        </is>
      </c>
      <c r="L633">
        <f>IFERROR(LEFT(K633,             FIND(",", K633) - 1), "-")</f>
        <v/>
      </c>
      <c r="M633">
        <f>IFERROR(MID(K633,             FIND(",", K633) + 1, LEN(K633) - FIND(",", K633)), K633)</f>
        <v/>
      </c>
      <c r="N633" t="n">
        <v>1</v>
      </c>
      <c r="P633" t="inlineStr">
        <is>
          <t>08:00</t>
        </is>
      </c>
      <c r="Q633" t="inlineStr">
        <is>
          <t>08:30</t>
        </is>
      </c>
    </row>
    <row r="634">
      <c r="A634" t="inlineStr">
        <is>
          <t>Manansala Janine</t>
        </is>
      </c>
      <c r="B634" t="inlineStr">
        <is>
          <t>YMHa003PH:YAMAHA WBS:Additional request</t>
        </is>
      </c>
      <c r="D634">
        <f>L634</f>
        <v/>
      </c>
      <c r="E634">
        <f>SUMIFS(J:J, G:G,             A634, H:H, B634, L:L, L634)</f>
        <v/>
      </c>
      <c r="F634" t="inlineStr">
        <is>
          <t>PH0028</t>
        </is>
      </c>
      <c r="G634" t="inlineStr">
        <is>
          <t>Manansala Janine</t>
        </is>
      </c>
      <c r="H634" t="inlineStr">
        <is>
          <t>YMHa003PH:YAMAHA WBS:Additional request</t>
        </is>
      </c>
      <c r="I634" s="1" t="n">
        <v>45932</v>
      </c>
      <c r="J634" t="n">
        <v>0.25</v>
      </c>
      <c r="K634" t="inlineStr">
        <is>
          <t>95735</t>
        </is>
      </c>
      <c r="L634">
        <f>IFERROR(LEFT(K634,             FIND(",", K634) - 1), "-")</f>
        <v/>
      </c>
      <c r="M634">
        <f>IFERROR(MID(K634,             FIND(",", K634) + 1, LEN(K634) - FIND(",", K634)), K634)</f>
        <v/>
      </c>
      <c r="N634" t="n">
        <v>1</v>
      </c>
      <c r="P634" t="inlineStr">
        <is>
          <t>10:30</t>
        </is>
      </c>
      <c r="Q634" t="inlineStr">
        <is>
          <t>10:45</t>
        </is>
      </c>
    </row>
    <row r="635">
      <c r="A635" t="inlineStr">
        <is>
          <t>Manansala Janine</t>
        </is>
      </c>
      <c r="B635" t="inlineStr">
        <is>
          <t>YMHa003PH:YAMAHA WBS:Additional request</t>
        </is>
      </c>
      <c r="D635">
        <f>L635</f>
        <v/>
      </c>
      <c r="E635">
        <f>SUMIFS(J:J, G:G,             A635, H:H, B635, L:L, L635)</f>
        <v/>
      </c>
      <c r="F635" t="inlineStr">
        <is>
          <t>PH0028</t>
        </is>
      </c>
      <c r="G635" t="inlineStr">
        <is>
          <t>Manansala Janine</t>
        </is>
      </c>
      <c r="H635" t="inlineStr">
        <is>
          <t>YMHa003PH:YAMAHA WBS:Additional request</t>
        </is>
      </c>
      <c r="I635" s="1" t="n">
        <v>45932</v>
      </c>
      <c r="J635" t="n">
        <v>0.25</v>
      </c>
      <c r="K635" t="inlineStr">
        <is>
          <t>95735</t>
        </is>
      </c>
      <c r="L635">
        <f>IFERROR(LEFT(K635,             FIND(",", K635) - 1), "-")</f>
        <v/>
      </c>
      <c r="M635">
        <f>IFERROR(MID(K635,             FIND(",", K635) + 1, LEN(K635) - FIND(",", K635)), K635)</f>
        <v/>
      </c>
      <c r="N635" t="n">
        <v>1</v>
      </c>
      <c r="P635" t="inlineStr">
        <is>
          <t>14:45</t>
        </is>
      </c>
      <c r="Q635" t="inlineStr">
        <is>
          <t>15:00</t>
        </is>
      </c>
    </row>
    <row r="636">
      <c r="A636" t="inlineStr">
        <is>
          <t>Manansala Janine</t>
        </is>
      </c>
      <c r="B636" t="inlineStr">
        <is>
          <t>YMHa003PH:YAMAHA WBS:Additional request</t>
        </is>
      </c>
      <c r="D636">
        <f>L636</f>
        <v/>
      </c>
      <c r="E636">
        <f>SUMIFS(J:J, G:G,             A636, H:H, B636, L:L, L636)</f>
        <v/>
      </c>
      <c r="F636" t="inlineStr">
        <is>
          <t>PH0028</t>
        </is>
      </c>
      <c r="G636" t="inlineStr">
        <is>
          <t>Manansala Janine</t>
        </is>
      </c>
      <c r="H636" t="inlineStr">
        <is>
          <t>YMHa003PH:YAMAHA WBS:Additional request</t>
        </is>
      </c>
      <c r="I636" s="1" t="n">
        <v>45932</v>
      </c>
      <c r="J636" t="n">
        <v>0.5</v>
      </c>
      <c r="K636" t="inlineStr">
        <is>
          <t>95735</t>
        </is>
      </c>
      <c r="L636">
        <f>IFERROR(LEFT(K636,             FIND(",", K636) - 1), "-")</f>
        <v/>
      </c>
      <c r="M636">
        <f>IFERROR(MID(K636,             FIND(",", K636) + 1, LEN(K636) - FIND(",", K636)), K636)</f>
        <v/>
      </c>
      <c r="N636" t="n">
        <v>1</v>
      </c>
      <c r="P636" t="inlineStr">
        <is>
          <t>16:00</t>
        </is>
      </c>
      <c r="Q636" t="inlineStr">
        <is>
          <t>16:30</t>
        </is>
      </c>
    </row>
    <row r="637">
      <c r="A637" t="inlineStr">
        <is>
          <t>Manansala Janine</t>
        </is>
      </c>
      <c r="B637" t="inlineStr">
        <is>
          <t>YMHa003PH:YAMAHA WBS:Additional request</t>
        </is>
      </c>
      <c r="D637">
        <f>L637</f>
        <v/>
      </c>
      <c r="E637">
        <f>SUMIFS(J:J, G:G,             A637, H:H, B637, L:L, L637)</f>
        <v/>
      </c>
      <c r="F637" t="inlineStr">
        <is>
          <t>PH0028</t>
        </is>
      </c>
      <c r="G637" t="inlineStr">
        <is>
          <t>Manansala Janine</t>
        </is>
      </c>
      <c r="H637" t="inlineStr">
        <is>
          <t>YMHa003PH:YAMAHA WBS:Additional request</t>
        </is>
      </c>
      <c r="I637" s="1" t="n">
        <v>45936</v>
      </c>
      <c r="J637" t="n">
        <v>0.25</v>
      </c>
      <c r="K637" t="inlineStr">
        <is>
          <t>95735</t>
        </is>
      </c>
      <c r="L637">
        <f>IFERROR(LEFT(K637,             FIND(",", K637) - 1), "-")</f>
        <v/>
      </c>
      <c r="M637">
        <f>IFERROR(MID(K637,             FIND(",", K637) + 1, LEN(K637) - FIND(",", K637)), K637)</f>
        <v/>
      </c>
      <c r="N637" t="n">
        <v>1</v>
      </c>
      <c r="P637" t="inlineStr">
        <is>
          <t>13:15</t>
        </is>
      </c>
      <c r="Q637" t="inlineStr">
        <is>
          <t>13:30</t>
        </is>
      </c>
    </row>
    <row r="638">
      <c r="A638" t="inlineStr">
        <is>
          <t>Manansala Janine</t>
        </is>
      </c>
      <c r="B638" t="inlineStr">
        <is>
          <t>YMHa003PH:YAMAHA WBS:Additional request</t>
        </is>
      </c>
      <c r="D638">
        <f>L638</f>
        <v/>
      </c>
      <c r="E638">
        <f>SUMIFS(J:J, G:G,             A638, H:H, B638, L:L, L638)</f>
        <v/>
      </c>
      <c r="F638" t="inlineStr">
        <is>
          <t>PH0028</t>
        </is>
      </c>
      <c r="G638" t="inlineStr">
        <is>
          <t>Manansala Janine</t>
        </is>
      </c>
      <c r="H638" t="inlineStr">
        <is>
          <t>YMHa003PH:YAMAHA WBS:Additional request</t>
        </is>
      </c>
      <c r="I638" s="1" t="n">
        <v>45937</v>
      </c>
      <c r="J638" t="n">
        <v>0.25</v>
      </c>
      <c r="K638" t="inlineStr">
        <is>
          <t>95735</t>
        </is>
      </c>
      <c r="L638">
        <f>IFERROR(LEFT(K638,             FIND(",", K638) - 1), "-")</f>
        <v/>
      </c>
      <c r="M638">
        <f>IFERROR(MID(K638,             FIND(",", K638) + 1, LEN(K638) - FIND(",", K638)), K638)</f>
        <v/>
      </c>
      <c r="N638" t="n">
        <v>1</v>
      </c>
      <c r="P638" t="inlineStr">
        <is>
          <t>12:00</t>
        </is>
      </c>
      <c r="Q638" t="inlineStr">
        <is>
          <t>12:15</t>
        </is>
      </c>
    </row>
    <row r="639">
      <c r="A639" t="inlineStr">
        <is>
          <t>Manansala Janine</t>
        </is>
      </c>
      <c r="B639" t="inlineStr">
        <is>
          <t>YMHa003PH:YAMAHA WBS:Additional request</t>
        </is>
      </c>
      <c r="D639">
        <f>L639</f>
        <v/>
      </c>
      <c r="E639">
        <f>SUMIFS(J:J, G:G,             A639, H:H, B639, L:L, L639)</f>
        <v/>
      </c>
      <c r="F639" t="inlineStr">
        <is>
          <t>PH0028</t>
        </is>
      </c>
      <c r="G639" t="inlineStr">
        <is>
          <t>Manansala Janine</t>
        </is>
      </c>
      <c r="H639" t="inlineStr">
        <is>
          <t>YMHa003PH:YAMAHA WBS:Additional request</t>
        </is>
      </c>
      <c r="I639" s="1" t="n">
        <v>45937</v>
      </c>
      <c r="J639" t="n">
        <v>0.25</v>
      </c>
      <c r="K639" t="inlineStr">
        <is>
          <t>95735</t>
        </is>
      </c>
      <c r="L639">
        <f>IFERROR(LEFT(K639,             FIND(",", K639) - 1), "-")</f>
        <v/>
      </c>
      <c r="M639">
        <f>IFERROR(MID(K639,             FIND(",", K639) + 1, LEN(K639) - FIND(",", K639)), K639)</f>
        <v/>
      </c>
      <c r="N639" t="n">
        <v>1</v>
      </c>
      <c r="P639" t="inlineStr">
        <is>
          <t>14:45</t>
        </is>
      </c>
      <c r="Q639" t="inlineStr">
        <is>
          <t>15:00</t>
        </is>
      </c>
    </row>
    <row r="640">
      <c r="A640" t="inlineStr">
        <is>
          <t>Manansala Janine</t>
        </is>
      </c>
      <c r="B640" t="inlineStr">
        <is>
          <t>YMHa003PH:YAMAHA WBS:Additional request</t>
        </is>
      </c>
      <c r="D640">
        <f>L640</f>
        <v/>
      </c>
      <c r="E640">
        <f>SUMIFS(J:J, G:G,             A640, H:H, B640, L:L, L640)</f>
        <v/>
      </c>
      <c r="F640" t="inlineStr">
        <is>
          <t>PH0028</t>
        </is>
      </c>
      <c r="G640" t="inlineStr">
        <is>
          <t>Manansala Janine</t>
        </is>
      </c>
      <c r="H640" t="inlineStr">
        <is>
          <t>YMHa003PH:YAMAHA WBS:Additional request</t>
        </is>
      </c>
      <c r="I640" s="1" t="n">
        <v>45939</v>
      </c>
      <c r="J640" t="n">
        <v>0.25</v>
      </c>
      <c r="K640" t="inlineStr">
        <is>
          <t>95735</t>
        </is>
      </c>
      <c r="L640">
        <f>IFERROR(LEFT(K640,             FIND(",", K640) - 1), "-")</f>
        <v/>
      </c>
      <c r="M640">
        <f>IFERROR(MID(K640,             FIND(",", K640) + 1, LEN(K640) - FIND(",", K640)), K640)</f>
        <v/>
      </c>
      <c r="N640" t="n">
        <v>1</v>
      </c>
      <c r="P640" t="inlineStr">
        <is>
          <t>15:00</t>
        </is>
      </c>
      <c r="Q640" t="inlineStr">
        <is>
          <t>15:15</t>
        </is>
      </c>
    </row>
    <row r="641">
      <c r="A641" t="inlineStr">
        <is>
          <t>Manansala Janine</t>
        </is>
      </c>
      <c r="B641" t="inlineStr">
        <is>
          <t>YMHa003PH:YAMAHA WBS:Additional request</t>
        </is>
      </c>
      <c r="D641">
        <f>L641</f>
        <v/>
      </c>
      <c r="E641">
        <f>SUMIFS(J:J, G:G,             A641, H:H, B641, L:L, L641)</f>
        <v/>
      </c>
      <c r="F641" t="inlineStr">
        <is>
          <t>PH0028</t>
        </is>
      </c>
      <c r="G641" t="inlineStr">
        <is>
          <t>Manansala Janine</t>
        </is>
      </c>
      <c r="H641" t="inlineStr">
        <is>
          <t>YMHa003PH:YAMAHA WBS:Additional request</t>
        </is>
      </c>
      <c r="I641" s="1" t="n">
        <v>45940</v>
      </c>
      <c r="J641" t="n">
        <v>0.25</v>
      </c>
      <c r="K641" t="inlineStr">
        <is>
          <t>95735</t>
        </is>
      </c>
      <c r="L641">
        <f>IFERROR(LEFT(K641,             FIND(",", K641) - 1), "-")</f>
        <v/>
      </c>
      <c r="M641">
        <f>IFERROR(MID(K641,             FIND(",", K641) + 1, LEN(K641) - FIND(",", K641)), K641)</f>
        <v/>
      </c>
      <c r="N641" t="n">
        <v>1</v>
      </c>
      <c r="P641" t="inlineStr">
        <is>
          <t>15:00</t>
        </is>
      </c>
      <c r="Q641" t="inlineStr">
        <is>
          <t>15:15</t>
        </is>
      </c>
    </row>
    <row r="642">
      <c r="A642" t="inlineStr">
        <is>
          <t>Manansala Janine</t>
        </is>
      </c>
      <c r="B642" t="inlineStr">
        <is>
          <t>YMHa003PH:YAMAHA WBS:Additional request</t>
        </is>
      </c>
      <c r="D642">
        <f>L642</f>
        <v/>
      </c>
      <c r="E642">
        <f>SUMIFS(J:J, G:G,             A642, H:H, B642, L:L, L642)</f>
        <v/>
      </c>
      <c r="F642" t="inlineStr">
        <is>
          <t>PH0028</t>
        </is>
      </c>
      <c r="G642" t="inlineStr">
        <is>
          <t>Manansala Janine</t>
        </is>
      </c>
      <c r="H642" t="inlineStr">
        <is>
          <t>YMHa003PH:YAMAHA WBS:Additional request</t>
        </is>
      </c>
      <c r="I642" s="1" t="n">
        <v>45936</v>
      </c>
      <c r="J642" t="n">
        <v>0.25</v>
      </c>
      <c r="K642" t="inlineStr">
        <is>
          <t>95793</t>
        </is>
      </c>
      <c r="L642">
        <f>IFERROR(LEFT(K642,             FIND(",", K642) - 1), "-")</f>
        <v/>
      </c>
      <c r="M642">
        <f>IFERROR(MID(K642,             FIND(",", K642) + 1, LEN(K642) - FIND(",", K642)), K642)</f>
        <v/>
      </c>
      <c r="N642" t="n">
        <v>1</v>
      </c>
      <c r="P642" t="inlineStr">
        <is>
          <t>12:00</t>
        </is>
      </c>
      <c r="Q642" t="inlineStr">
        <is>
          <t>12:15</t>
        </is>
      </c>
    </row>
    <row r="643">
      <c r="A643" t="inlineStr">
        <is>
          <t>Manansala Janine</t>
        </is>
      </c>
      <c r="B643" t="inlineStr">
        <is>
          <t>YMHa003PH:YAMAHA WBS:Additional request</t>
        </is>
      </c>
      <c r="D643">
        <f>L643</f>
        <v/>
      </c>
      <c r="E643">
        <f>SUMIFS(J:J, G:G,             A643, H:H, B643, L:L, L643)</f>
        <v/>
      </c>
      <c r="F643" t="inlineStr">
        <is>
          <t>PH0028</t>
        </is>
      </c>
      <c r="G643" t="inlineStr">
        <is>
          <t>Manansala Janine</t>
        </is>
      </c>
      <c r="H643" t="inlineStr">
        <is>
          <t>YMHa003PH:YAMAHA WBS:Additional request</t>
        </is>
      </c>
      <c r="I643" s="1" t="n">
        <v>45936</v>
      </c>
      <c r="J643" t="n">
        <v>0.25</v>
      </c>
      <c r="K643" t="inlineStr">
        <is>
          <t>95793</t>
        </is>
      </c>
      <c r="L643">
        <f>IFERROR(LEFT(K643,             FIND(",", K643) - 1), "-")</f>
        <v/>
      </c>
      <c r="M643">
        <f>IFERROR(MID(K643,             FIND(",", K643) + 1, LEN(K643) - FIND(",", K643)), K643)</f>
        <v/>
      </c>
      <c r="N643" t="n">
        <v>1</v>
      </c>
      <c r="P643" t="inlineStr">
        <is>
          <t>16:45</t>
        </is>
      </c>
      <c r="Q643" t="inlineStr">
        <is>
          <t>17:00</t>
        </is>
      </c>
    </row>
    <row r="644">
      <c r="A644" t="inlineStr">
        <is>
          <t>Manansala Janine</t>
        </is>
      </c>
      <c r="B644" t="inlineStr">
        <is>
          <t>YMHa003PH:YAMAHA WBS:Additional request</t>
        </is>
      </c>
      <c r="D644">
        <f>L644</f>
        <v/>
      </c>
      <c r="E644">
        <f>SUMIFS(J:J, G:G,             A644, H:H, B644, L:L, L644)</f>
        <v/>
      </c>
      <c r="F644" t="inlineStr">
        <is>
          <t>PH0028</t>
        </is>
      </c>
      <c r="G644" t="inlineStr">
        <is>
          <t>Manansala Janine</t>
        </is>
      </c>
      <c r="H644" t="inlineStr">
        <is>
          <t>YMHa003PH:YAMAHA WBS:Additional request</t>
        </is>
      </c>
      <c r="I644" s="1" t="n">
        <v>45936</v>
      </c>
      <c r="J644" t="n">
        <v>0.25</v>
      </c>
      <c r="K644" t="inlineStr">
        <is>
          <t>95795</t>
        </is>
      </c>
      <c r="L644">
        <f>IFERROR(LEFT(K644,             FIND(",", K644) - 1), "-")</f>
        <v/>
      </c>
      <c r="M644">
        <f>IFERROR(MID(K644,             FIND(",", K644) + 1, LEN(K644) - FIND(",", K644)), K644)</f>
        <v/>
      </c>
      <c r="N644" t="n">
        <v>1</v>
      </c>
      <c r="P644" t="inlineStr">
        <is>
          <t>12:30</t>
        </is>
      </c>
      <c r="Q644" t="inlineStr">
        <is>
          <t>12:45</t>
        </is>
      </c>
    </row>
    <row r="645">
      <c r="A645" t="inlineStr">
        <is>
          <t>Manansala Janine</t>
        </is>
      </c>
      <c r="B645" t="inlineStr">
        <is>
          <t>YMHa003PH:YAMAHA WBS:Additional request</t>
        </is>
      </c>
      <c r="D645">
        <f>L645</f>
        <v/>
      </c>
      <c r="E645">
        <f>SUMIFS(J:J, G:G,             A645, H:H, B645, L:L, L645)</f>
        <v/>
      </c>
      <c r="F645" t="inlineStr">
        <is>
          <t>PH0028</t>
        </is>
      </c>
      <c r="G645" t="inlineStr">
        <is>
          <t>Manansala Janine</t>
        </is>
      </c>
      <c r="H645" t="inlineStr">
        <is>
          <t>YMHa003PH:YAMAHA WBS:Additional request</t>
        </is>
      </c>
      <c r="I645" s="1" t="n">
        <v>45937</v>
      </c>
      <c r="J645" t="n">
        <v>0.25</v>
      </c>
      <c r="K645" t="inlineStr">
        <is>
          <t>95795</t>
        </is>
      </c>
      <c r="L645">
        <f>IFERROR(LEFT(K645,             FIND(",", K645) - 1), "-")</f>
        <v/>
      </c>
      <c r="M645">
        <f>IFERROR(MID(K645,             FIND(",", K645) + 1, LEN(K645) - FIND(",", K645)), K645)</f>
        <v/>
      </c>
      <c r="N645" t="n">
        <v>1</v>
      </c>
      <c r="P645" t="inlineStr">
        <is>
          <t>13:00</t>
        </is>
      </c>
      <c r="Q645" t="inlineStr">
        <is>
          <t>13:15</t>
        </is>
      </c>
    </row>
    <row r="646">
      <c r="A646" t="inlineStr">
        <is>
          <t>Manansala Janine</t>
        </is>
      </c>
      <c r="B646" t="inlineStr">
        <is>
          <t>ZZZs001PH:Support in general</t>
        </is>
      </c>
      <c r="C646">
        <f>SUMIFS(J:J, G:G,             A646, H:H, B646)</f>
        <v/>
      </c>
      <c r="D646">
        <f>L646</f>
        <v/>
      </c>
      <c r="E646">
        <f>SUMIFS(J:J, G:G,             A646, H:H, B646, L:L, L646)</f>
        <v/>
      </c>
      <c r="F646" t="inlineStr">
        <is>
          <t>PH0028</t>
        </is>
      </c>
      <c r="G646" t="inlineStr">
        <is>
          <t>Manansala Janine</t>
        </is>
      </c>
      <c r="H646" t="inlineStr">
        <is>
          <t>ZZZs001PH:Support in general</t>
        </is>
      </c>
      <c r="I646" s="1" t="n">
        <v>45937</v>
      </c>
      <c r="J646" t="n">
        <v>0.25</v>
      </c>
      <c r="K646" t="inlineStr">
        <is>
          <t>95797</t>
        </is>
      </c>
      <c r="L646">
        <f>IFERROR(LEFT(K646,             FIND(",", K646) - 1), "-")</f>
        <v/>
      </c>
      <c r="M646">
        <f>IFERROR(MID(K646,             FIND(",", K646) + 1, LEN(K646) - FIND(",", K646)), K646)</f>
        <v/>
      </c>
      <c r="N646" t="n">
        <v>1</v>
      </c>
      <c r="P646" t="inlineStr">
        <is>
          <t>08:30</t>
        </is>
      </c>
      <c r="Q646" t="inlineStr">
        <is>
          <t>08:45</t>
        </is>
      </c>
    </row>
    <row r="647">
      <c r="A647" t="inlineStr">
        <is>
          <t>Manansala Janine</t>
        </is>
      </c>
      <c r="B647" t="inlineStr">
        <is>
          <t>ZZZs001PH:Support in general</t>
        </is>
      </c>
      <c r="D647">
        <f>L647</f>
        <v/>
      </c>
      <c r="E647">
        <f>SUMIFS(J:J, G:G,             A647, H:H, B647, L:L, L647)</f>
        <v/>
      </c>
      <c r="F647" t="inlineStr">
        <is>
          <t>PH0028</t>
        </is>
      </c>
      <c r="G647" t="inlineStr">
        <is>
          <t>Manansala Janine</t>
        </is>
      </c>
      <c r="H647" t="inlineStr">
        <is>
          <t>ZZZs001PH:Support in general</t>
        </is>
      </c>
      <c r="I647" s="1" t="n">
        <v>45937</v>
      </c>
      <c r="J647" t="n">
        <v>0.25</v>
      </c>
      <c r="K647" t="inlineStr">
        <is>
          <t>95797</t>
        </is>
      </c>
      <c r="L647">
        <f>IFERROR(LEFT(K647,             FIND(",", K647) - 1), "-")</f>
        <v/>
      </c>
      <c r="M647">
        <f>IFERROR(MID(K647,             FIND(",", K647) + 1, LEN(K647) - FIND(",", K647)), K647)</f>
        <v/>
      </c>
      <c r="N647" t="n">
        <v>1</v>
      </c>
      <c r="P647" t="inlineStr">
        <is>
          <t>13:15</t>
        </is>
      </c>
      <c r="Q647" t="inlineStr">
        <is>
          <t>13:30</t>
        </is>
      </c>
    </row>
    <row r="648">
      <c r="A648" t="inlineStr">
        <is>
          <t>Manansala Janine</t>
        </is>
      </c>
      <c r="B648" t="inlineStr">
        <is>
          <t>ZZZs001PH:Support in general</t>
        </is>
      </c>
      <c r="D648">
        <f>L648</f>
        <v/>
      </c>
      <c r="E648">
        <f>SUMIFS(J:J, G:G,             A648, H:H, B648, L:L, L648)</f>
        <v/>
      </c>
      <c r="F648" t="inlineStr">
        <is>
          <t>PH0028</t>
        </is>
      </c>
      <c r="G648" t="inlineStr">
        <is>
          <t>Manansala Janine</t>
        </is>
      </c>
      <c r="H648" t="inlineStr">
        <is>
          <t>ZZZs001PH:Support in general</t>
        </is>
      </c>
      <c r="I648" s="1" t="n">
        <v>45945</v>
      </c>
      <c r="J648" t="n">
        <v>0.25</v>
      </c>
      <c r="K648" t="inlineStr">
        <is>
          <t>95829 - NBDn001PH</t>
        </is>
      </c>
      <c r="L648">
        <f>IFERROR(LEFT(K648,             FIND(",", K648) - 1), "-")</f>
        <v/>
      </c>
      <c r="M648">
        <f>IFERROR(MID(K648,             FIND(",", K648) + 1, LEN(K648) - FIND(",", K648)), K648)</f>
        <v/>
      </c>
      <c r="N648" t="n">
        <v>1</v>
      </c>
      <c r="P648" t="inlineStr">
        <is>
          <t>16:30</t>
        </is>
      </c>
      <c r="Q648" t="inlineStr">
        <is>
          <t>16:45</t>
        </is>
      </c>
    </row>
    <row r="649">
      <c r="A649" t="inlineStr">
        <is>
          <t>Manansala Janine</t>
        </is>
      </c>
      <c r="B649" t="inlineStr">
        <is>
          <t>ZZZs001PH:Support in general</t>
        </is>
      </c>
      <c r="D649">
        <f>L649</f>
        <v/>
      </c>
      <c r="E649">
        <f>SUMIFS(J:J, G:G,             A649, H:H, B649, L:L, L649)</f>
        <v/>
      </c>
      <c r="F649" t="inlineStr">
        <is>
          <t>PH0028</t>
        </is>
      </c>
      <c r="G649" t="inlineStr">
        <is>
          <t>Manansala Janine</t>
        </is>
      </c>
      <c r="H649" t="inlineStr">
        <is>
          <t>ZZZs001PH:Support in general</t>
        </is>
      </c>
      <c r="I649" s="1" t="n">
        <v>45945</v>
      </c>
      <c r="J649" t="n">
        <v>0.25</v>
      </c>
      <c r="K649" t="inlineStr">
        <is>
          <t>95829 - NBDn001PH</t>
        </is>
      </c>
      <c r="L649">
        <f>IFERROR(LEFT(K649,             FIND(",", K649) - 1), "-")</f>
        <v/>
      </c>
      <c r="M649">
        <f>IFERROR(MID(K649,             FIND(",", K649) + 1, LEN(K649) - FIND(",", K649)), K649)</f>
        <v/>
      </c>
      <c r="N649" t="n">
        <v>3</v>
      </c>
      <c r="P649" t="inlineStr">
        <is>
          <t>16:45</t>
        </is>
      </c>
      <c r="Q649" t="inlineStr">
        <is>
          <t>17:00</t>
        </is>
      </c>
    </row>
    <row r="650">
      <c r="A650" t="inlineStr">
        <is>
          <t>Manansala Janine</t>
        </is>
      </c>
      <c r="B650" t="inlineStr">
        <is>
          <t>ZZZs001PH:Support in general</t>
        </is>
      </c>
      <c r="D650">
        <f>L650</f>
        <v/>
      </c>
      <c r="E650">
        <f>SUMIFS(J:J, G:G,             A650, H:H, B650, L:L, L650)</f>
        <v/>
      </c>
      <c r="F650" t="inlineStr">
        <is>
          <t>PH0028</t>
        </is>
      </c>
      <c r="G650" t="inlineStr">
        <is>
          <t>Manansala Janine</t>
        </is>
      </c>
      <c r="H650" t="inlineStr">
        <is>
          <t>ZZZs001PH:Support in general</t>
        </is>
      </c>
      <c r="I650" s="1" t="n">
        <v>45952</v>
      </c>
      <c r="J650" t="n">
        <v>0.25</v>
      </c>
      <c r="K650" t="inlineStr">
        <is>
          <t>95855</t>
        </is>
      </c>
      <c r="L650">
        <f>IFERROR(LEFT(K650,             FIND(",", K650) - 1), "-")</f>
        <v/>
      </c>
      <c r="M650">
        <f>IFERROR(MID(K650,             FIND(",", K650) + 1, LEN(K650) - FIND(",", K650)), K650)</f>
        <v/>
      </c>
      <c r="N650" t="n">
        <v>1</v>
      </c>
      <c r="P650" t="inlineStr">
        <is>
          <t>14:30</t>
        </is>
      </c>
      <c r="Q650" t="inlineStr">
        <is>
          <t>14:45</t>
        </is>
      </c>
    </row>
    <row r="651">
      <c r="A651" t="inlineStr">
        <is>
          <t>Manansala Janine</t>
        </is>
      </c>
      <c r="B651" t="inlineStr">
        <is>
          <t>ZZZs001PH:Support in general</t>
        </is>
      </c>
      <c r="D651">
        <f>L651</f>
        <v/>
      </c>
      <c r="E651">
        <f>SUMIFS(J:J, G:G,             A651, H:H, B651, L:L, L651)</f>
        <v/>
      </c>
      <c r="F651" t="inlineStr">
        <is>
          <t>PH0028</t>
        </is>
      </c>
      <c r="G651" t="inlineStr">
        <is>
          <t>Manansala Janine</t>
        </is>
      </c>
      <c r="H651" t="inlineStr">
        <is>
          <t>ZZZs001PH:Support in general</t>
        </is>
      </c>
      <c r="I651" s="1" t="n">
        <v>45953</v>
      </c>
      <c r="J651" t="n">
        <v>0.25</v>
      </c>
      <c r="K651" t="inlineStr">
        <is>
          <t>95855</t>
        </is>
      </c>
      <c r="L651">
        <f>IFERROR(LEFT(K651,             FIND(",", K651) - 1), "-")</f>
        <v/>
      </c>
      <c r="M651">
        <f>IFERROR(MID(K651,             FIND(",", K651) + 1, LEN(K651) - FIND(",", K651)), K651)</f>
        <v/>
      </c>
      <c r="N651" t="n">
        <v>3</v>
      </c>
      <c r="P651" t="inlineStr">
        <is>
          <t>08:00</t>
        </is>
      </c>
      <c r="Q651" t="inlineStr">
        <is>
          <t>08:15</t>
        </is>
      </c>
    </row>
    <row r="652">
      <c r="A652" t="inlineStr">
        <is>
          <t>Mibato John Clark</t>
        </is>
      </c>
      <c r="B652" t="inlineStr">
        <is>
          <t>SMMs001PH:SMM Support</t>
        </is>
      </c>
      <c r="C652">
        <f>SUMIFS(J:J, G:G,             A652, H:H, B652)</f>
        <v/>
      </c>
      <c r="D652">
        <f>L652</f>
        <v/>
      </c>
      <c r="E652">
        <f>SUMIFS(J:J, G:G,             A652, H:H, B652, L:L, L652)</f>
        <v/>
      </c>
      <c r="F652" t="inlineStr">
        <is>
          <t>PH0029</t>
        </is>
      </c>
      <c r="G652" t="inlineStr">
        <is>
          <t>Mibato John Clark</t>
        </is>
      </c>
      <c r="H652" t="inlineStr">
        <is>
          <t>SMMs001PH:SMM Support</t>
        </is>
      </c>
      <c r="I652" s="1" t="n">
        <v>45938</v>
      </c>
      <c r="J652" t="n">
        <v>0.5</v>
      </c>
      <c r="K652" t="inlineStr">
        <is>
          <t>95804</t>
        </is>
      </c>
      <c r="L652">
        <f>IFERROR(LEFT(K652,             FIND(",", K652) - 1), "-")</f>
        <v/>
      </c>
      <c r="M652">
        <f>IFERROR(MID(K652,             FIND(",", K652) + 1, LEN(K652) - FIND(",", K652)), K652)</f>
        <v/>
      </c>
      <c r="N652" t="n">
        <v>4</v>
      </c>
      <c r="P652" t="inlineStr">
        <is>
          <t>10:30</t>
        </is>
      </c>
      <c r="Q652" t="inlineStr">
        <is>
          <t>11:00</t>
        </is>
      </c>
    </row>
    <row r="653">
      <c r="A653" t="inlineStr">
        <is>
          <t>Mibato John Clark</t>
        </is>
      </c>
      <c r="B653" t="inlineStr">
        <is>
          <t>SMMs001PH:SMM Support</t>
        </is>
      </c>
      <c r="D653">
        <f>L653</f>
        <v/>
      </c>
      <c r="E653">
        <f>SUMIFS(J:J, G:G,             A653, H:H, B653, L:L, L653)</f>
        <v/>
      </c>
      <c r="F653" t="inlineStr">
        <is>
          <t>PH0029</t>
        </is>
      </c>
      <c r="G653" t="inlineStr">
        <is>
          <t>Mibato John Clark</t>
        </is>
      </c>
      <c r="H653" t="inlineStr">
        <is>
          <t>SMMs001PH:SMM Support</t>
        </is>
      </c>
      <c r="I653" s="1" t="n">
        <v>45938</v>
      </c>
      <c r="J653" t="n">
        <v>0.5</v>
      </c>
      <c r="K653" t="inlineStr">
        <is>
          <t>95804</t>
        </is>
      </c>
      <c r="L653">
        <f>IFERROR(LEFT(K653,             FIND(",", K653) - 1), "-")</f>
        <v/>
      </c>
      <c r="M653">
        <f>IFERROR(MID(K653,             FIND(",", K653) + 1, LEN(K653) - FIND(",", K653)), K653)</f>
        <v/>
      </c>
      <c r="N653" t="n">
        <v>4</v>
      </c>
      <c r="P653" t="inlineStr">
        <is>
          <t>12:30</t>
        </is>
      </c>
      <c r="Q653" t="inlineStr">
        <is>
          <t>13:00</t>
        </is>
      </c>
    </row>
    <row r="654">
      <c r="A654" t="inlineStr">
        <is>
          <t>Mibato John Clark</t>
        </is>
      </c>
      <c r="B654" t="inlineStr">
        <is>
          <t>SSKs001PH:Shuruisouken support</t>
        </is>
      </c>
      <c r="C654">
        <f>SUMIFS(J:J, G:G,             A654, H:H, B654)</f>
        <v/>
      </c>
      <c r="D654">
        <f>L654</f>
        <v/>
      </c>
      <c r="E654">
        <f>SUMIFS(J:J, G:G,             A654, H:H, B654, L:L, L654)</f>
        <v/>
      </c>
      <c r="F654" t="inlineStr">
        <is>
          <t>PH0029</t>
        </is>
      </c>
      <c r="G654" t="inlineStr">
        <is>
          <t>Mibato John Clark</t>
        </is>
      </c>
      <c r="H654" t="inlineStr">
        <is>
          <t>SSKs001PH:Shuruisouken support</t>
        </is>
      </c>
      <c r="I654" s="1" t="n">
        <v>45938</v>
      </c>
      <c r="J654" t="n">
        <v>0.5</v>
      </c>
      <c r="K654" t="inlineStr">
        <is>
          <t>95805</t>
        </is>
      </c>
      <c r="L654">
        <f>IFERROR(LEFT(K654,             FIND(",", K654) - 1), "-")</f>
        <v/>
      </c>
      <c r="M654">
        <f>IFERROR(MID(K654,             FIND(",", K654) + 1, LEN(K654) - FIND(",", K654)), K654)</f>
        <v/>
      </c>
      <c r="N654" t="n">
        <v>4</v>
      </c>
      <c r="P654" t="inlineStr">
        <is>
          <t>12:00</t>
        </is>
      </c>
      <c r="Q654" t="inlineStr">
        <is>
          <t>12:30</t>
        </is>
      </c>
    </row>
    <row r="655">
      <c r="A655" t="inlineStr">
        <is>
          <t>Mibato John Clark</t>
        </is>
      </c>
      <c r="B655" t="inlineStr">
        <is>
          <t>SSKs001PH:Shuruisouken support</t>
        </is>
      </c>
      <c r="D655">
        <f>L655</f>
        <v/>
      </c>
      <c r="E655">
        <f>SUMIFS(J:J, G:G,             A655, H:H, B655, L:L, L655)</f>
        <v/>
      </c>
      <c r="F655" t="inlineStr">
        <is>
          <t>PH0029</t>
        </is>
      </c>
      <c r="G655" t="inlineStr">
        <is>
          <t>Mibato John Clark</t>
        </is>
      </c>
      <c r="H655" t="inlineStr">
        <is>
          <t>SSKs001PH:Shuruisouken support</t>
        </is>
      </c>
      <c r="I655" s="1" t="n">
        <v>45938</v>
      </c>
      <c r="J655" t="n">
        <v>0.5</v>
      </c>
      <c r="K655" t="inlineStr">
        <is>
          <t>95805</t>
        </is>
      </c>
      <c r="L655">
        <f>IFERROR(LEFT(K655,             FIND(",", K655) - 1), "-")</f>
        <v/>
      </c>
      <c r="M655">
        <f>IFERROR(MID(K655,             FIND(",", K655) + 1, LEN(K655) - FIND(",", K655)), K655)</f>
        <v/>
      </c>
      <c r="N655" t="n">
        <v>4</v>
      </c>
      <c r="P655" t="inlineStr">
        <is>
          <t>13:00</t>
        </is>
      </c>
      <c r="Q655" t="inlineStr">
        <is>
          <t>13:30</t>
        </is>
      </c>
    </row>
    <row r="656">
      <c r="A656" t="inlineStr">
        <is>
          <t>Mibato John Clark</t>
        </is>
      </c>
      <c r="B656" t="inlineStr">
        <is>
          <t>SSKs001PH:Shuruisouken support</t>
        </is>
      </c>
      <c r="D656">
        <f>L656</f>
        <v/>
      </c>
      <c r="E656">
        <f>SUMIFS(J:J, G:G,             A656, H:H, B656, L:L, L656)</f>
        <v/>
      </c>
      <c r="F656" t="inlineStr">
        <is>
          <t>PH0029</t>
        </is>
      </c>
      <c r="G656" t="inlineStr">
        <is>
          <t>Mibato John Clark</t>
        </is>
      </c>
      <c r="H656" t="inlineStr">
        <is>
          <t>SSKs001PH:Shuruisouken support</t>
        </is>
      </c>
      <c r="I656" s="1" t="n">
        <v>45938</v>
      </c>
      <c r="J656" t="n">
        <v>0.5</v>
      </c>
      <c r="K656" t="inlineStr">
        <is>
          <t>95805</t>
        </is>
      </c>
      <c r="L656">
        <f>IFERROR(LEFT(K656,             FIND(",", K656) - 1), "-")</f>
        <v/>
      </c>
      <c r="M656">
        <f>IFERROR(MID(K656,             FIND(",", K656) + 1, LEN(K656) - FIND(",", K656)), K656)</f>
        <v/>
      </c>
      <c r="N656" t="n">
        <v>8</v>
      </c>
      <c r="P656" t="inlineStr">
        <is>
          <t>15:30</t>
        </is>
      </c>
      <c r="Q656" t="inlineStr">
        <is>
          <t>16:00</t>
        </is>
      </c>
    </row>
    <row r="657">
      <c r="A657" t="inlineStr">
        <is>
          <t>Mibato John Clark</t>
        </is>
      </c>
      <c r="B657" t="inlineStr">
        <is>
          <t>TCNz001PH:Internal operations</t>
        </is>
      </c>
      <c r="C657">
        <f>SUMIFS(J:J, G:G,             A657, H:H, B657)</f>
        <v/>
      </c>
      <c r="D657">
        <f>L657</f>
        <v/>
      </c>
      <c r="E657">
        <f>SUMIFS(J:J, G:G,             A657, H:H, B657, L:L, L657)</f>
        <v/>
      </c>
      <c r="F657" t="inlineStr">
        <is>
          <t>PH0029</t>
        </is>
      </c>
      <c r="G657" t="inlineStr">
        <is>
          <t>Mibato John Clark</t>
        </is>
      </c>
      <c r="H657" t="inlineStr">
        <is>
          <t>TCNz001PH:Internal operations</t>
        </is>
      </c>
      <c r="I657" s="1" t="n">
        <v>45937</v>
      </c>
      <c r="J657" t="n">
        <v>0.75</v>
      </c>
      <c r="K657" t="inlineStr">
        <is>
          <t>Meeting</t>
        </is>
      </c>
      <c r="L657">
        <f>IFERROR(LEFT(K657,             FIND(",", K657) - 1), "-")</f>
        <v/>
      </c>
      <c r="M657">
        <f>IFERROR(MID(K657,             FIND(",", K657) + 1, LEN(K657) - FIND(",", K657)), K657)</f>
        <v/>
      </c>
      <c r="N657" t="n">
        <v>5</v>
      </c>
      <c r="P657" t="inlineStr">
        <is>
          <t>16:00</t>
        </is>
      </c>
      <c r="Q657" t="inlineStr">
        <is>
          <t>16:45</t>
        </is>
      </c>
    </row>
    <row r="658">
      <c r="A658" t="inlineStr">
        <is>
          <t>Mibato John Clark</t>
        </is>
      </c>
      <c r="B658" t="inlineStr">
        <is>
          <t>TCNz001PH:Internal operations</t>
        </is>
      </c>
      <c r="D658">
        <f>L658</f>
        <v/>
      </c>
      <c r="E658">
        <f>SUMIFS(J:J, G:G,             A658, H:H, B658, L:L, L658)</f>
        <v/>
      </c>
      <c r="F658" t="inlineStr">
        <is>
          <t>PH0029</t>
        </is>
      </c>
      <c r="G658" t="inlineStr">
        <is>
          <t>Mibato John Clark</t>
        </is>
      </c>
      <c r="H658" t="inlineStr">
        <is>
          <t>TCNz001PH:Internal operations</t>
        </is>
      </c>
      <c r="I658" s="1" t="n">
        <v>45932</v>
      </c>
      <c r="J658" t="n">
        <v>2.75</v>
      </c>
      <c r="K658" t="inlineStr">
        <is>
          <t>Reading programming materials</t>
        </is>
      </c>
      <c r="L658">
        <f>IFERROR(LEFT(K658,             FIND(",", K658) - 1), "-")</f>
        <v/>
      </c>
      <c r="M658">
        <f>IFERROR(MID(K658,             FIND(",", K658) + 1, LEN(K658) - FIND(",", K658)), K658)</f>
        <v/>
      </c>
      <c r="N658" t="n">
        <v>5</v>
      </c>
      <c r="P658" t="inlineStr">
        <is>
          <t>08:00</t>
        </is>
      </c>
      <c r="Q658" t="inlineStr">
        <is>
          <t>10:45</t>
        </is>
      </c>
    </row>
    <row r="659">
      <c r="A659" t="inlineStr">
        <is>
          <t>Mibato John Clark</t>
        </is>
      </c>
      <c r="B659" t="inlineStr">
        <is>
          <t>TCNz001PH:Internal operations</t>
        </is>
      </c>
      <c r="D659">
        <f>L659</f>
        <v/>
      </c>
      <c r="E659">
        <f>SUMIFS(J:J, G:G,             A659, H:H, B659, L:L, L659)</f>
        <v/>
      </c>
      <c r="F659" t="inlineStr">
        <is>
          <t>PH0029</t>
        </is>
      </c>
      <c r="G659" t="inlineStr">
        <is>
          <t>Mibato John Clark</t>
        </is>
      </c>
      <c r="H659" t="inlineStr">
        <is>
          <t>TCNz001PH:Internal operations</t>
        </is>
      </c>
      <c r="I659" s="1" t="n">
        <v>45937</v>
      </c>
      <c r="J659" t="n">
        <v>0.25</v>
      </c>
      <c r="K659" t="inlineStr">
        <is>
          <t>Reading programming materials</t>
        </is>
      </c>
      <c r="L659">
        <f>IFERROR(LEFT(K659,             FIND(",", K659) - 1), "-")</f>
        <v/>
      </c>
      <c r="M659">
        <f>IFERROR(MID(K659,             FIND(",", K659) + 1, LEN(K659) - FIND(",", K659)), K659)</f>
        <v/>
      </c>
      <c r="N659" t="n">
        <v>5</v>
      </c>
      <c r="P659" t="inlineStr">
        <is>
          <t>16:45</t>
        </is>
      </c>
      <c r="Q659" t="inlineStr">
        <is>
          <t>17:00</t>
        </is>
      </c>
    </row>
    <row r="660">
      <c r="A660" t="inlineStr">
        <is>
          <t>Mibato John Clark</t>
        </is>
      </c>
      <c r="B660" t="inlineStr">
        <is>
          <t>TCNz001PH:Internal operations</t>
        </is>
      </c>
      <c r="D660">
        <f>L660</f>
        <v/>
      </c>
      <c r="E660">
        <f>SUMIFS(J:J, G:G,             A660, H:H, B660, L:L, L660)</f>
        <v/>
      </c>
      <c r="F660" t="inlineStr">
        <is>
          <t>PH0029</t>
        </is>
      </c>
      <c r="G660" t="inlineStr">
        <is>
          <t>Mibato John Clark</t>
        </is>
      </c>
      <c r="H660" t="inlineStr">
        <is>
          <t>TCNz001PH:Internal operations</t>
        </is>
      </c>
      <c r="I660" s="1" t="n">
        <v>45938</v>
      </c>
      <c r="J660" t="n">
        <v>2.5</v>
      </c>
      <c r="K660" t="inlineStr">
        <is>
          <t>Reading programming materials</t>
        </is>
      </c>
      <c r="L660">
        <f>IFERROR(LEFT(K660,             FIND(",", K660) - 1), "-")</f>
        <v/>
      </c>
      <c r="M660">
        <f>IFERROR(MID(K660,             FIND(",", K660) + 1, LEN(K660) - FIND(",", K660)), K660)</f>
        <v/>
      </c>
      <c r="N660" t="n">
        <v>5</v>
      </c>
      <c r="P660" t="inlineStr">
        <is>
          <t>08:00</t>
        </is>
      </c>
      <c r="Q660" t="inlineStr">
        <is>
          <t>10:30</t>
        </is>
      </c>
    </row>
    <row r="661">
      <c r="A661" t="inlineStr">
        <is>
          <t>Mibato John Clark</t>
        </is>
      </c>
      <c r="B661" t="inlineStr">
        <is>
          <t>TCNz001PH:Internal operations</t>
        </is>
      </c>
      <c r="D661">
        <f>L661</f>
        <v/>
      </c>
      <c r="E661">
        <f>SUMIFS(J:J, G:G,             A661, H:H, B661, L:L, L661)</f>
        <v/>
      </c>
      <c r="F661" t="inlineStr">
        <is>
          <t>PH0029</t>
        </is>
      </c>
      <c r="G661" t="inlineStr">
        <is>
          <t>Mibato John Clark</t>
        </is>
      </c>
      <c r="H661" t="inlineStr">
        <is>
          <t>TCNz001PH:Internal operations</t>
        </is>
      </c>
      <c r="I661" s="1" t="n">
        <v>45938</v>
      </c>
      <c r="J661" t="n">
        <v>1</v>
      </c>
      <c r="K661" t="inlineStr">
        <is>
          <t>Reading programming materials</t>
        </is>
      </c>
      <c r="L661">
        <f>IFERROR(LEFT(K661,             FIND(",", K661) - 1), "-")</f>
        <v/>
      </c>
      <c r="M661">
        <f>IFERROR(MID(K661,             FIND(",", K661) + 1, LEN(K661) - FIND(",", K661)), K661)</f>
        <v/>
      </c>
      <c r="N661" t="n">
        <v>5</v>
      </c>
      <c r="P661" t="inlineStr">
        <is>
          <t>16:00</t>
        </is>
      </c>
      <c r="Q661" t="inlineStr">
        <is>
          <t>17:00</t>
        </is>
      </c>
    </row>
    <row r="662">
      <c r="A662" t="inlineStr">
        <is>
          <t>Mibato John Clark</t>
        </is>
      </c>
      <c r="B662" t="inlineStr">
        <is>
          <t>TCNz001PH:Internal operations</t>
        </is>
      </c>
      <c r="D662">
        <f>L662</f>
        <v/>
      </c>
      <c r="E662">
        <f>SUMIFS(J:J, G:G,             A662, H:H, B662, L:L, L662)</f>
        <v/>
      </c>
      <c r="F662" t="inlineStr">
        <is>
          <t>PH0029</t>
        </is>
      </c>
      <c r="G662" t="inlineStr">
        <is>
          <t>Mibato John Clark</t>
        </is>
      </c>
      <c r="H662" t="inlineStr">
        <is>
          <t>TCNz001PH:Internal operations</t>
        </is>
      </c>
      <c r="I662" s="1" t="n">
        <v>45939</v>
      </c>
      <c r="J662" t="n">
        <v>3</v>
      </c>
      <c r="K662" t="inlineStr">
        <is>
          <t>Reading programming materials</t>
        </is>
      </c>
      <c r="L662">
        <f>IFERROR(LEFT(K662,             FIND(",", K662) - 1), "-")</f>
        <v/>
      </c>
      <c r="M662">
        <f>IFERROR(MID(K662,             FIND(",", K662) + 1, LEN(K662) - FIND(",", K662)), K662)</f>
        <v/>
      </c>
      <c r="N662" t="n">
        <v>5</v>
      </c>
      <c r="P662" t="inlineStr">
        <is>
          <t>08:00</t>
        </is>
      </c>
      <c r="Q662" t="inlineStr">
        <is>
          <t>11:00</t>
        </is>
      </c>
    </row>
    <row r="663">
      <c r="A663" t="inlineStr">
        <is>
          <t>Mibato John Clark</t>
        </is>
      </c>
      <c r="B663" t="inlineStr">
        <is>
          <t>TCNz001PH:Internal operations</t>
        </is>
      </c>
      <c r="D663">
        <f>L663</f>
        <v/>
      </c>
      <c r="E663">
        <f>SUMIFS(J:J, G:G,             A663, H:H, B663, L:L, L663)</f>
        <v/>
      </c>
      <c r="F663" t="inlineStr">
        <is>
          <t>PH0029</t>
        </is>
      </c>
      <c r="G663" t="inlineStr">
        <is>
          <t>Mibato John Clark</t>
        </is>
      </c>
      <c r="H663" t="inlineStr">
        <is>
          <t>TCNz001PH:Internal operations</t>
        </is>
      </c>
      <c r="I663" s="1" t="n">
        <v>45939</v>
      </c>
      <c r="J663" t="n">
        <v>0.75</v>
      </c>
      <c r="K663" t="inlineStr">
        <is>
          <t>Reading programming materials</t>
        </is>
      </c>
      <c r="L663">
        <f>IFERROR(LEFT(K663,             FIND(",", K663) - 1), "-")</f>
        <v/>
      </c>
      <c r="M663">
        <f>IFERROR(MID(K663,             FIND(",", K663) + 1, LEN(K663) - FIND(",", K663)), K663)</f>
        <v/>
      </c>
      <c r="N663" t="n">
        <v>5</v>
      </c>
      <c r="P663" t="inlineStr">
        <is>
          <t>14:00</t>
        </is>
      </c>
      <c r="Q663" t="inlineStr">
        <is>
          <t>14:45</t>
        </is>
      </c>
    </row>
    <row r="664">
      <c r="A664" t="inlineStr">
        <is>
          <t>Mibato John Clark</t>
        </is>
      </c>
      <c r="B664" t="inlineStr">
        <is>
          <t>TCNz001PH:Internal operations</t>
        </is>
      </c>
      <c r="D664">
        <f>L664</f>
        <v/>
      </c>
      <c r="E664">
        <f>SUMIFS(J:J, G:G,             A664, H:H, B664, L:L, L664)</f>
        <v/>
      </c>
      <c r="F664" t="inlineStr">
        <is>
          <t>PH0029</t>
        </is>
      </c>
      <c r="G664" t="inlineStr">
        <is>
          <t>Mibato John Clark</t>
        </is>
      </c>
      <c r="H664" t="inlineStr">
        <is>
          <t>TCNz001PH:Internal operations</t>
        </is>
      </c>
      <c r="I664" s="1" t="n">
        <v>45943</v>
      </c>
      <c r="J664" t="n">
        <v>3</v>
      </c>
      <c r="K664" t="inlineStr">
        <is>
          <t>Reading programming materials</t>
        </is>
      </c>
      <c r="L664">
        <f>IFERROR(LEFT(K664,             FIND(",", K664) - 1), "-")</f>
        <v/>
      </c>
      <c r="M664">
        <f>IFERROR(MID(K664,             FIND(",", K664) + 1, LEN(K664) - FIND(",", K664)), K664)</f>
        <v/>
      </c>
      <c r="N664" t="n">
        <v>5</v>
      </c>
      <c r="P664" t="inlineStr">
        <is>
          <t>08:00</t>
        </is>
      </c>
      <c r="Q664" t="inlineStr">
        <is>
          <t>11:00</t>
        </is>
      </c>
    </row>
    <row r="665">
      <c r="A665" t="inlineStr">
        <is>
          <t>Mibato John Clark</t>
        </is>
      </c>
      <c r="B665" t="inlineStr">
        <is>
          <t>TCNz001PH:Internal operations</t>
        </is>
      </c>
      <c r="D665">
        <f>L665</f>
        <v/>
      </c>
      <c r="E665">
        <f>SUMIFS(J:J, G:G,             A665, H:H, B665, L:L, L665)</f>
        <v/>
      </c>
      <c r="F665" t="inlineStr">
        <is>
          <t>PH0029</t>
        </is>
      </c>
      <c r="G665" t="inlineStr">
        <is>
          <t>Mibato John Clark</t>
        </is>
      </c>
      <c r="H665" t="inlineStr">
        <is>
          <t>TCNz001PH:Internal operations</t>
        </is>
      </c>
      <c r="I665" s="1" t="n">
        <v>45943</v>
      </c>
      <c r="J665" t="n">
        <v>2</v>
      </c>
      <c r="K665" t="inlineStr">
        <is>
          <t>Reading programming materials</t>
        </is>
      </c>
      <c r="L665">
        <f>IFERROR(LEFT(K665,             FIND(",", K665) - 1), "-")</f>
        <v/>
      </c>
      <c r="M665">
        <f>IFERROR(MID(K665,             FIND(",", K665) + 1, LEN(K665) - FIND(",", K665)), K665)</f>
        <v/>
      </c>
      <c r="N665" t="n">
        <v>5</v>
      </c>
      <c r="P665" t="inlineStr">
        <is>
          <t>15:00</t>
        </is>
      </c>
      <c r="Q665" t="inlineStr">
        <is>
          <t>17:00</t>
        </is>
      </c>
    </row>
    <row r="666">
      <c r="A666" t="inlineStr">
        <is>
          <t>Mibato John Clark</t>
        </is>
      </c>
      <c r="B666" t="inlineStr">
        <is>
          <t>TCNz001PH:Internal operations</t>
        </is>
      </c>
      <c r="D666">
        <f>L666</f>
        <v/>
      </c>
      <c r="E666">
        <f>SUMIFS(J:J, G:G,             A666, H:H, B666, L:L, L666)</f>
        <v/>
      </c>
      <c r="F666" t="inlineStr">
        <is>
          <t>PH0029</t>
        </is>
      </c>
      <c r="G666" t="inlineStr">
        <is>
          <t>Mibato John Clark</t>
        </is>
      </c>
      <c r="H666" t="inlineStr">
        <is>
          <t>TCNz001PH:Internal operations</t>
        </is>
      </c>
      <c r="I666" s="1" t="n">
        <v>45944</v>
      </c>
      <c r="J666" t="n">
        <v>2.5</v>
      </c>
      <c r="K666" t="inlineStr">
        <is>
          <t>Reading programming materials</t>
        </is>
      </c>
      <c r="L666">
        <f>IFERROR(LEFT(K666,             FIND(",", K666) - 1), "-")</f>
        <v/>
      </c>
      <c r="M666">
        <f>IFERROR(MID(K666,             FIND(",", K666) + 1, LEN(K666) - FIND(",", K666)), K666)</f>
        <v/>
      </c>
      <c r="N666" t="n">
        <v>5</v>
      </c>
      <c r="P666" t="inlineStr">
        <is>
          <t>08:30</t>
        </is>
      </c>
      <c r="Q666" t="inlineStr">
        <is>
          <t>11:00</t>
        </is>
      </c>
    </row>
    <row r="667">
      <c r="A667" t="inlineStr">
        <is>
          <t>Mibato John Clark</t>
        </is>
      </c>
      <c r="B667" t="inlineStr">
        <is>
          <t>TCNz001PH:Internal operations</t>
        </is>
      </c>
      <c r="D667">
        <f>L667</f>
        <v/>
      </c>
      <c r="E667">
        <f>SUMIFS(J:J, G:G,             A667, H:H, B667, L:L, L667)</f>
        <v/>
      </c>
      <c r="F667" t="inlineStr">
        <is>
          <t>PH0029</t>
        </is>
      </c>
      <c r="G667" t="inlineStr">
        <is>
          <t>Mibato John Clark</t>
        </is>
      </c>
      <c r="H667" t="inlineStr">
        <is>
          <t>TCNz001PH:Internal operations</t>
        </is>
      </c>
      <c r="I667" s="1" t="n">
        <v>45944</v>
      </c>
      <c r="J667" t="n">
        <v>3.25</v>
      </c>
      <c r="K667" t="inlineStr">
        <is>
          <t>Reading programming materials</t>
        </is>
      </c>
      <c r="L667">
        <f>IFERROR(LEFT(K667,             FIND(",", K667) - 1), "-")</f>
        <v/>
      </c>
      <c r="M667">
        <f>IFERROR(MID(K667,             FIND(",", K667) + 1, LEN(K667) - FIND(",", K667)), K667)</f>
        <v/>
      </c>
      <c r="N667" t="n">
        <v>5</v>
      </c>
      <c r="P667" t="inlineStr">
        <is>
          <t>14:00</t>
        </is>
      </c>
      <c r="Q667" t="inlineStr">
        <is>
          <t>17:15</t>
        </is>
      </c>
    </row>
    <row r="668">
      <c r="A668" t="inlineStr">
        <is>
          <t>Mibato John Clark</t>
        </is>
      </c>
      <c r="B668" t="inlineStr">
        <is>
          <t>TCNz001PH:Internal operations</t>
        </is>
      </c>
      <c r="D668">
        <f>L668</f>
        <v/>
      </c>
      <c r="E668">
        <f>SUMIFS(J:J, G:G,             A668, H:H, B668, L:L, L668)</f>
        <v/>
      </c>
      <c r="F668" t="inlineStr">
        <is>
          <t>PH0029</t>
        </is>
      </c>
      <c r="G668" t="inlineStr">
        <is>
          <t>Mibato John Clark</t>
        </is>
      </c>
      <c r="H668" t="inlineStr">
        <is>
          <t>TCNz001PH:Internal operations</t>
        </is>
      </c>
      <c r="I668" s="1" t="n">
        <v>45945</v>
      </c>
      <c r="J668" t="n">
        <v>3</v>
      </c>
      <c r="K668" t="inlineStr">
        <is>
          <t>Reading programming materials</t>
        </is>
      </c>
      <c r="L668">
        <f>IFERROR(LEFT(K668,             FIND(",", K668) - 1), "-")</f>
        <v/>
      </c>
      <c r="M668">
        <f>IFERROR(MID(K668,             FIND(",", K668) + 1, LEN(K668) - FIND(",", K668)), K668)</f>
        <v/>
      </c>
      <c r="N668" t="n">
        <v>5</v>
      </c>
      <c r="P668" t="inlineStr">
        <is>
          <t>08:00</t>
        </is>
      </c>
      <c r="Q668" t="inlineStr">
        <is>
          <t>11:00</t>
        </is>
      </c>
    </row>
    <row r="669">
      <c r="A669" t="inlineStr">
        <is>
          <t>Mibato John Clark</t>
        </is>
      </c>
      <c r="B669" t="inlineStr">
        <is>
          <t>TCNz001PH:Internal operations</t>
        </is>
      </c>
      <c r="D669">
        <f>L669</f>
        <v/>
      </c>
      <c r="E669">
        <f>SUMIFS(J:J, G:G,             A669, H:H, B669, L:L, L669)</f>
        <v/>
      </c>
      <c r="F669" t="inlineStr">
        <is>
          <t>PH0029</t>
        </is>
      </c>
      <c r="G669" t="inlineStr">
        <is>
          <t>Mibato John Clark</t>
        </is>
      </c>
      <c r="H669" t="inlineStr">
        <is>
          <t>TCNz001PH:Internal operations</t>
        </is>
      </c>
      <c r="I669" s="1" t="n">
        <v>45945</v>
      </c>
      <c r="J669" t="n">
        <v>2</v>
      </c>
      <c r="K669" t="inlineStr">
        <is>
          <t>Reading programming materials</t>
        </is>
      </c>
      <c r="L669">
        <f>IFERROR(LEFT(K669,             FIND(",", K669) - 1), "-")</f>
        <v/>
      </c>
      <c r="M669">
        <f>IFERROR(MID(K669,             FIND(",", K669) + 1, LEN(K669) - FIND(",", K669)), K669)</f>
        <v/>
      </c>
      <c r="N669" t="n">
        <v>5</v>
      </c>
      <c r="P669" t="inlineStr">
        <is>
          <t>15:00</t>
        </is>
      </c>
      <c r="Q669" t="inlineStr">
        <is>
          <t>17:00</t>
        </is>
      </c>
    </row>
    <row r="670">
      <c r="A670" t="inlineStr">
        <is>
          <t>Mibato John Clark</t>
        </is>
      </c>
      <c r="B670" t="inlineStr">
        <is>
          <t>TCNz001PH:Internal operations</t>
        </is>
      </c>
      <c r="D670">
        <f>L670</f>
        <v/>
      </c>
      <c r="E670">
        <f>SUMIFS(J:J, G:G,             A670, H:H, B670, L:L, L670)</f>
        <v/>
      </c>
      <c r="F670" t="inlineStr">
        <is>
          <t>PH0029</t>
        </is>
      </c>
      <c r="G670" t="inlineStr">
        <is>
          <t>Mibato John Clark</t>
        </is>
      </c>
      <c r="H670" t="inlineStr">
        <is>
          <t>TCNz001PH:Internal operations</t>
        </is>
      </c>
      <c r="I670" s="1" t="n">
        <v>45946</v>
      </c>
      <c r="J670" t="n">
        <v>3</v>
      </c>
      <c r="K670" t="inlineStr">
        <is>
          <t>Reading programming materials</t>
        </is>
      </c>
      <c r="L670">
        <f>IFERROR(LEFT(K670,             FIND(",", K670) - 1), "-")</f>
        <v/>
      </c>
      <c r="M670">
        <f>IFERROR(MID(K670,             FIND(",", K670) + 1, LEN(K670) - FIND(",", K670)), K670)</f>
        <v/>
      </c>
      <c r="N670" t="n">
        <v>5</v>
      </c>
      <c r="P670" t="inlineStr">
        <is>
          <t>08:00</t>
        </is>
      </c>
      <c r="Q670" t="inlineStr">
        <is>
          <t>11:00</t>
        </is>
      </c>
    </row>
    <row r="671">
      <c r="A671" t="inlineStr">
        <is>
          <t>Mibato John Clark</t>
        </is>
      </c>
      <c r="B671" t="inlineStr">
        <is>
          <t>TCNz001PH:Internal operations</t>
        </is>
      </c>
      <c r="D671">
        <f>L671</f>
        <v/>
      </c>
      <c r="E671">
        <f>SUMIFS(J:J, G:G,             A671, H:H, B671, L:L, L671)</f>
        <v/>
      </c>
      <c r="F671" t="inlineStr">
        <is>
          <t>PH0029</t>
        </is>
      </c>
      <c r="G671" t="inlineStr">
        <is>
          <t>Mibato John Clark</t>
        </is>
      </c>
      <c r="H671" t="inlineStr">
        <is>
          <t>TCNz001PH:Internal operations</t>
        </is>
      </c>
      <c r="I671" s="1" t="n">
        <v>45952</v>
      </c>
      <c r="J671" t="n">
        <v>2</v>
      </c>
      <c r="K671" t="inlineStr">
        <is>
          <t>Reading programming materials</t>
        </is>
      </c>
      <c r="L671">
        <f>IFERROR(LEFT(K671,             FIND(",", K671) - 1), "-")</f>
        <v/>
      </c>
      <c r="M671">
        <f>IFERROR(MID(K671,             FIND(",", K671) + 1, LEN(K671) - FIND(",", K671)), K671)</f>
        <v/>
      </c>
      <c r="N671" t="n">
        <v>5</v>
      </c>
      <c r="P671" t="inlineStr">
        <is>
          <t>15:00</t>
        </is>
      </c>
      <c r="Q671" t="inlineStr">
        <is>
          <t>17:00</t>
        </is>
      </c>
    </row>
    <row r="672">
      <c r="A672" t="inlineStr">
        <is>
          <t>Mibato John Clark</t>
        </is>
      </c>
      <c r="B672" t="inlineStr">
        <is>
          <t>TCNz001PH:Internal operations</t>
        </is>
      </c>
      <c r="D672">
        <f>L672</f>
        <v/>
      </c>
      <c r="E672">
        <f>SUMIFS(J:J, G:G,             A672, H:H, B672, L:L, L672)</f>
        <v/>
      </c>
      <c r="F672" t="inlineStr">
        <is>
          <t>PH0029</t>
        </is>
      </c>
      <c r="G672" t="inlineStr">
        <is>
          <t>Mibato John Clark</t>
        </is>
      </c>
      <c r="H672" t="inlineStr">
        <is>
          <t>TCNz001PH:Internal operations</t>
        </is>
      </c>
      <c r="I672" s="1" t="n">
        <v>45953</v>
      </c>
      <c r="J672" t="n">
        <v>1</v>
      </c>
      <c r="K672" t="inlineStr">
        <is>
          <t>Reading programming materials</t>
        </is>
      </c>
      <c r="L672">
        <f>IFERROR(LEFT(K672,             FIND(",", K672) - 1), "-")</f>
        <v/>
      </c>
      <c r="M672">
        <f>IFERROR(MID(K672,             FIND(",", K672) + 1, LEN(K672) - FIND(",", K672)), K672)</f>
        <v/>
      </c>
      <c r="N672" t="n">
        <v>5</v>
      </c>
      <c r="P672" t="inlineStr">
        <is>
          <t>10:00</t>
        </is>
      </c>
      <c r="Q672" t="inlineStr">
        <is>
          <t>11:00</t>
        </is>
      </c>
    </row>
    <row r="673">
      <c r="A673" t="inlineStr">
        <is>
          <t>Mibato John Clark</t>
        </is>
      </c>
      <c r="B673" t="inlineStr">
        <is>
          <t>TCNz001PH:Internal operations</t>
        </is>
      </c>
      <c r="D673">
        <f>L673</f>
        <v/>
      </c>
      <c r="E673">
        <f>SUMIFS(J:J, G:G,             A673, H:H, B673, L:L, L673)</f>
        <v/>
      </c>
      <c r="F673" t="inlineStr">
        <is>
          <t>PH0029</t>
        </is>
      </c>
      <c r="G673" t="inlineStr">
        <is>
          <t>Mibato John Clark</t>
        </is>
      </c>
      <c r="H673" t="inlineStr">
        <is>
          <t>TCNz001PH:Internal operations</t>
        </is>
      </c>
      <c r="I673" s="1" t="n">
        <v>45953</v>
      </c>
      <c r="J673" t="n">
        <v>1.5</v>
      </c>
      <c r="K673" t="inlineStr">
        <is>
          <t>Reading programming materials</t>
        </is>
      </c>
      <c r="L673">
        <f>IFERROR(LEFT(K673,             FIND(",", K673) - 1), "-")</f>
        <v/>
      </c>
      <c r="M673">
        <f>IFERROR(MID(K673,             FIND(",", K673) + 1, LEN(K673) - FIND(",", K673)), K673)</f>
        <v/>
      </c>
      <c r="N673" t="n">
        <v>5</v>
      </c>
      <c r="P673" t="inlineStr">
        <is>
          <t>15:30</t>
        </is>
      </c>
      <c r="Q673" t="inlineStr">
        <is>
          <t>17:00</t>
        </is>
      </c>
    </row>
    <row r="674">
      <c r="A674" t="inlineStr">
        <is>
          <t>Mibato John Clark</t>
        </is>
      </c>
      <c r="B674" t="inlineStr">
        <is>
          <t>TCNz002PH:Waiting for requests</t>
        </is>
      </c>
      <c r="C674">
        <f>SUMIFS(J:J, G:G,             A674, H:H, B674)</f>
        <v/>
      </c>
      <c r="D674">
        <f>L674</f>
        <v/>
      </c>
      <c r="E674">
        <f>SUMIFS(J:J, G:G,             A674, H:H, B674, L:L, L674)</f>
        <v/>
      </c>
      <c r="F674" t="inlineStr">
        <is>
          <t>PH0029</t>
        </is>
      </c>
      <c r="G674" t="inlineStr">
        <is>
          <t>Mibato John Clark</t>
        </is>
      </c>
      <c r="H674" t="inlineStr">
        <is>
          <t>TCNz002PH:Waiting for requests</t>
        </is>
      </c>
      <c r="I674" s="1" t="n">
        <v>45932</v>
      </c>
      <c r="J674" t="n">
        <v>1.5</v>
      </c>
      <c r="K674" t="inlineStr">
        <is>
          <t>Code review</t>
        </is>
      </c>
      <c r="L674">
        <f>IFERROR(LEFT(K674,             FIND(",", K674) - 1), "-")</f>
        <v/>
      </c>
      <c r="M674">
        <f>IFERROR(MID(K674,             FIND(",", K674) + 1, LEN(K674) - FIND(",", K674)), K674)</f>
        <v/>
      </c>
      <c r="N674" t="n">
        <v>5</v>
      </c>
      <c r="P674" t="inlineStr">
        <is>
          <t>15:00</t>
        </is>
      </c>
      <c r="Q674" t="inlineStr">
        <is>
          <t>16:30</t>
        </is>
      </c>
    </row>
    <row r="675">
      <c r="A675" t="inlineStr">
        <is>
          <t>Mibato John Clark</t>
        </is>
      </c>
      <c r="B675" t="inlineStr">
        <is>
          <t>TCNz002PH:Waiting for requests</t>
        </is>
      </c>
      <c r="D675">
        <f>L675</f>
        <v/>
      </c>
      <c r="E675">
        <f>SUMIFS(J:J, G:G,             A675, H:H, B675, L:L, L675)</f>
        <v/>
      </c>
      <c r="F675" t="inlineStr">
        <is>
          <t>PH0029</t>
        </is>
      </c>
      <c r="G675" t="inlineStr">
        <is>
          <t>Mibato John Clark</t>
        </is>
      </c>
      <c r="H675" t="inlineStr">
        <is>
          <t>TCNz002PH:Waiting for requests</t>
        </is>
      </c>
      <c r="I675" s="1" t="n">
        <v>45937</v>
      </c>
      <c r="J675" t="n">
        <v>1.5</v>
      </c>
      <c r="K675" t="inlineStr">
        <is>
          <t>Code review</t>
        </is>
      </c>
      <c r="L675">
        <f>IFERROR(LEFT(K675,             FIND(",", K675) - 1), "-")</f>
        <v/>
      </c>
      <c r="M675">
        <f>IFERROR(MID(K675,             FIND(",", K675) + 1, LEN(K675) - FIND(",", K675)), K675)</f>
        <v/>
      </c>
      <c r="N675" t="n">
        <v>5</v>
      </c>
      <c r="P675" t="inlineStr">
        <is>
          <t>14:30</t>
        </is>
      </c>
      <c r="Q675" t="inlineStr">
        <is>
          <t>16:00</t>
        </is>
      </c>
    </row>
    <row r="676">
      <c r="A676" t="inlineStr">
        <is>
          <t>Mibato John Clark</t>
        </is>
      </c>
      <c r="B676" t="inlineStr">
        <is>
          <t>TCNz002PH:Waiting for requests</t>
        </is>
      </c>
      <c r="D676">
        <f>L676</f>
        <v/>
      </c>
      <c r="E676">
        <f>SUMIFS(J:J, G:G,             A676, H:H, B676, L:L, L676)</f>
        <v/>
      </c>
      <c r="F676" t="inlineStr">
        <is>
          <t>PH0029</t>
        </is>
      </c>
      <c r="G676" t="inlineStr">
        <is>
          <t>Mibato John Clark</t>
        </is>
      </c>
      <c r="H676" t="inlineStr">
        <is>
          <t>TCNz002PH:Waiting for requests</t>
        </is>
      </c>
      <c r="I676" s="1" t="n">
        <v>45938</v>
      </c>
      <c r="J676" t="n">
        <v>2</v>
      </c>
      <c r="K676" t="inlineStr">
        <is>
          <t>Code review</t>
        </is>
      </c>
      <c r="L676">
        <f>IFERROR(LEFT(K676,             FIND(",", K676) - 1), "-")</f>
        <v/>
      </c>
      <c r="M676">
        <f>IFERROR(MID(K676,             FIND(",", K676) + 1, LEN(K676) - FIND(",", K676)), K676)</f>
        <v/>
      </c>
      <c r="N676" t="n">
        <v>5</v>
      </c>
      <c r="P676" t="inlineStr">
        <is>
          <t>13:30</t>
        </is>
      </c>
      <c r="Q676" t="inlineStr">
        <is>
          <t>15:30</t>
        </is>
      </c>
    </row>
    <row r="677">
      <c r="A677" t="inlineStr">
        <is>
          <t>Mibato John Clark</t>
        </is>
      </c>
      <c r="B677" t="inlineStr">
        <is>
          <t>TCNz002PH:Waiting for requests</t>
        </is>
      </c>
      <c r="D677">
        <f>L677</f>
        <v/>
      </c>
      <c r="E677">
        <f>SUMIFS(J:J, G:G,             A677, H:H, B677, L:L, L677)</f>
        <v/>
      </c>
      <c r="F677" t="inlineStr">
        <is>
          <t>PH0029</t>
        </is>
      </c>
      <c r="G677" t="inlineStr">
        <is>
          <t>Mibato John Clark</t>
        </is>
      </c>
      <c r="H677" t="inlineStr">
        <is>
          <t>TCNz002PH:Waiting for requests</t>
        </is>
      </c>
      <c r="I677" s="1" t="n">
        <v>45939</v>
      </c>
      <c r="J677" t="n">
        <v>2</v>
      </c>
      <c r="K677" t="inlineStr">
        <is>
          <t>Code review</t>
        </is>
      </c>
      <c r="L677">
        <f>IFERROR(LEFT(K677,             FIND(",", K677) - 1), "-")</f>
        <v/>
      </c>
      <c r="M677">
        <f>IFERROR(MID(K677,             FIND(",", K677) + 1, LEN(K677) - FIND(",", K677)), K677)</f>
        <v/>
      </c>
      <c r="N677" t="n">
        <v>5</v>
      </c>
      <c r="P677" t="inlineStr">
        <is>
          <t>12:00</t>
        </is>
      </c>
      <c r="Q677" t="inlineStr">
        <is>
          <t>14:00</t>
        </is>
      </c>
    </row>
    <row r="678">
      <c r="A678" t="inlineStr">
        <is>
          <t>Mibato John Clark</t>
        </is>
      </c>
      <c r="B678" t="inlineStr">
        <is>
          <t>TCNz002PH:Waiting for requests</t>
        </is>
      </c>
      <c r="D678">
        <f>L678</f>
        <v/>
      </c>
      <c r="E678">
        <f>SUMIFS(J:J, G:G,             A678, H:H, B678, L:L, L678)</f>
        <v/>
      </c>
      <c r="F678" t="inlineStr">
        <is>
          <t>PH0029</t>
        </is>
      </c>
      <c r="G678" t="inlineStr">
        <is>
          <t>Mibato John Clark</t>
        </is>
      </c>
      <c r="H678" t="inlineStr">
        <is>
          <t>TCNz002PH:Waiting for requests</t>
        </is>
      </c>
      <c r="I678" s="1" t="n">
        <v>45940</v>
      </c>
      <c r="J678" t="n">
        <v>1.75</v>
      </c>
      <c r="K678" t="inlineStr">
        <is>
          <t>Code review</t>
        </is>
      </c>
      <c r="L678">
        <f>IFERROR(LEFT(K678,             FIND(",", K678) - 1), "-")</f>
        <v/>
      </c>
      <c r="M678">
        <f>IFERROR(MID(K678,             FIND(",", K678) + 1, LEN(K678) - FIND(",", K678)), K678)</f>
        <v/>
      </c>
      <c r="N678" t="n">
        <v>5</v>
      </c>
      <c r="P678" t="inlineStr">
        <is>
          <t>15:15</t>
        </is>
      </c>
      <c r="Q678" t="inlineStr">
        <is>
          <t>17:00</t>
        </is>
      </c>
    </row>
    <row r="679">
      <c r="A679" t="inlineStr">
        <is>
          <t>Mibato John Clark</t>
        </is>
      </c>
      <c r="B679" t="inlineStr">
        <is>
          <t>TCNz002PH:Waiting for requests</t>
        </is>
      </c>
      <c r="D679">
        <f>L679</f>
        <v/>
      </c>
      <c r="E679">
        <f>SUMIFS(J:J, G:G,             A679, H:H, B679, L:L, L679)</f>
        <v/>
      </c>
      <c r="F679" t="inlineStr">
        <is>
          <t>PH0029</t>
        </is>
      </c>
      <c r="G679" t="inlineStr">
        <is>
          <t>Mibato John Clark</t>
        </is>
      </c>
      <c r="H679" t="inlineStr">
        <is>
          <t>TCNz002PH:Waiting for requests</t>
        </is>
      </c>
      <c r="I679" s="1" t="n">
        <v>45943</v>
      </c>
      <c r="J679" t="n">
        <v>3</v>
      </c>
      <c r="K679" t="inlineStr">
        <is>
          <t>Code review</t>
        </is>
      </c>
      <c r="L679">
        <f>IFERROR(LEFT(K679,             FIND(",", K679) - 1), "-")</f>
        <v/>
      </c>
      <c r="M679">
        <f>IFERROR(MID(K679,             FIND(",", K679) + 1, LEN(K679) - FIND(",", K679)), K679)</f>
        <v/>
      </c>
      <c r="N679" t="n">
        <v>5</v>
      </c>
      <c r="P679" t="inlineStr">
        <is>
          <t>12:00</t>
        </is>
      </c>
      <c r="Q679" t="inlineStr">
        <is>
          <t>15:00</t>
        </is>
      </c>
    </row>
    <row r="680">
      <c r="A680" t="inlineStr">
        <is>
          <t>Mibato John Clark</t>
        </is>
      </c>
      <c r="B680" t="inlineStr">
        <is>
          <t>TCNz002PH:Waiting for requests</t>
        </is>
      </c>
      <c r="D680">
        <f>L680</f>
        <v/>
      </c>
      <c r="E680">
        <f>SUMIFS(J:J, G:G,             A680, H:H, B680, L:L, L680)</f>
        <v/>
      </c>
      <c r="F680" t="inlineStr">
        <is>
          <t>PH0029</t>
        </is>
      </c>
      <c r="G680" t="inlineStr">
        <is>
          <t>Mibato John Clark</t>
        </is>
      </c>
      <c r="H680" t="inlineStr">
        <is>
          <t>TCNz002PH:Waiting for requests</t>
        </is>
      </c>
      <c r="I680" s="1" t="n">
        <v>45944</v>
      </c>
      <c r="J680" t="n">
        <v>2</v>
      </c>
      <c r="K680" t="inlineStr">
        <is>
          <t>Code review</t>
        </is>
      </c>
      <c r="L680">
        <f>IFERROR(LEFT(K680,             FIND(",", K680) - 1), "-")</f>
        <v/>
      </c>
      <c r="M680">
        <f>IFERROR(MID(K680,             FIND(",", K680) + 1, LEN(K680) - FIND(",", K680)), K680)</f>
        <v/>
      </c>
      <c r="N680" t="n">
        <v>5</v>
      </c>
      <c r="P680" t="inlineStr">
        <is>
          <t>12:00</t>
        </is>
      </c>
      <c r="Q680" t="inlineStr">
        <is>
          <t>14:00</t>
        </is>
      </c>
    </row>
    <row r="681">
      <c r="A681" t="inlineStr">
        <is>
          <t>Mibato John Clark</t>
        </is>
      </c>
      <c r="B681" t="inlineStr">
        <is>
          <t>TCNz002PH:Waiting for requests</t>
        </is>
      </c>
      <c r="D681">
        <f>L681</f>
        <v/>
      </c>
      <c r="E681">
        <f>SUMIFS(J:J, G:G,             A681, H:H, B681, L:L, L681)</f>
        <v/>
      </c>
      <c r="F681" t="inlineStr">
        <is>
          <t>PH0029</t>
        </is>
      </c>
      <c r="G681" t="inlineStr">
        <is>
          <t>Mibato John Clark</t>
        </is>
      </c>
      <c r="H681" t="inlineStr">
        <is>
          <t>TCNz002PH:Waiting for requests</t>
        </is>
      </c>
      <c r="I681" s="1" t="n">
        <v>45945</v>
      </c>
      <c r="J681" t="n">
        <v>3</v>
      </c>
      <c r="K681" t="inlineStr">
        <is>
          <t>Code review</t>
        </is>
      </c>
      <c r="L681">
        <f>IFERROR(LEFT(K681,             FIND(",", K681) - 1), "-")</f>
        <v/>
      </c>
      <c r="M681">
        <f>IFERROR(MID(K681,             FIND(",", K681) + 1, LEN(K681) - FIND(",", K681)), K681)</f>
        <v/>
      </c>
      <c r="N681" t="n">
        <v>5</v>
      </c>
      <c r="P681" t="inlineStr">
        <is>
          <t>12:00</t>
        </is>
      </c>
      <c r="Q681" t="inlineStr">
        <is>
          <t>15:00</t>
        </is>
      </c>
    </row>
    <row r="682">
      <c r="A682" t="inlineStr">
        <is>
          <t>Mibato John Clark</t>
        </is>
      </c>
      <c r="B682" t="inlineStr">
        <is>
          <t>TCNz002PH:Waiting for requests</t>
        </is>
      </c>
      <c r="D682">
        <f>L682</f>
        <v/>
      </c>
      <c r="E682">
        <f>SUMIFS(J:J, G:G,             A682, H:H, B682, L:L, L682)</f>
        <v/>
      </c>
      <c r="F682" t="inlineStr">
        <is>
          <t>PH0029</t>
        </is>
      </c>
      <c r="G682" t="inlineStr">
        <is>
          <t>Mibato John Clark</t>
        </is>
      </c>
      <c r="H682" t="inlineStr">
        <is>
          <t>TCNz002PH:Waiting for requests</t>
        </is>
      </c>
      <c r="I682" s="1" t="n">
        <v>45946</v>
      </c>
      <c r="J682" t="n">
        <v>4</v>
      </c>
      <c r="K682" t="inlineStr">
        <is>
          <t>Code review</t>
        </is>
      </c>
      <c r="L682">
        <f>IFERROR(LEFT(K682,             FIND(",", K682) - 1), "-")</f>
        <v/>
      </c>
      <c r="M682">
        <f>IFERROR(MID(K682,             FIND(",", K682) + 1, LEN(K682) - FIND(",", K682)), K682)</f>
        <v/>
      </c>
      <c r="N682" t="n">
        <v>5</v>
      </c>
      <c r="P682" t="inlineStr">
        <is>
          <t>12:00</t>
        </is>
      </c>
      <c r="Q682" t="inlineStr">
        <is>
          <t>16:00</t>
        </is>
      </c>
    </row>
    <row r="683">
      <c r="A683" t="inlineStr">
        <is>
          <t>Mibato John Clark</t>
        </is>
      </c>
      <c r="B683" t="inlineStr">
        <is>
          <t>TCNz002PH:Waiting for requests</t>
        </is>
      </c>
      <c r="D683">
        <f>L683</f>
        <v/>
      </c>
      <c r="E683">
        <f>SUMIFS(J:J, G:G,             A683, H:H, B683, L:L, L683)</f>
        <v/>
      </c>
      <c r="F683" t="inlineStr">
        <is>
          <t>PH0029</t>
        </is>
      </c>
      <c r="G683" t="inlineStr">
        <is>
          <t>Mibato John Clark</t>
        </is>
      </c>
      <c r="H683" t="inlineStr">
        <is>
          <t>TCNz002PH:Waiting for requests</t>
        </is>
      </c>
      <c r="I683" s="1" t="n">
        <v>45952</v>
      </c>
      <c r="J683" t="n">
        <v>3</v>
      </c>
      <c r="K683" t="inlineStr">
        <is>
          <t>Code review</t>
        </is>
      </c>
      <c r="L683">
        <f>IFERROR(LEFT(K683,             FIND(",", K683) - 1), "-")</f>
        <v/>
      </c>
      <c r="M683">
        <f>IFERROR(MID(K683,             FIND(",", K683) + 1, LEN(K683) - FIND(",", K683)), K683)</f>
        <v/>
      </c>
      <c r="N683" t="n">
        <v>5</v>
      </c>
      <c r="P683" t="inlineStr">
        <is>
          <t>12:00</t>
        </is>
      </c>
      <c r="Q683" t="inlineStr">
        <is>
          <t>15:00</t>
        </is>
      </c>
    </row>
    <row r="684">
      <c r="A684" t="inlineStr">
        <is>
          <t>Mibato John Clark</t>
        </is>
      </c>
      <c r="B684" t="inlineStr">
        <is>
          <t>TCNz002PH:Waiting for requests</t>
        </is>
      </c>
      <c r="D684">
        <f>L684</f>
        <v/>
      </c>
      <c r="E684">
        <f>SUMIFS(J:J, G:G,             A684, H:H, B684, L:L, L684)</f>
        <v/>
      </c>
      <c r="F684" t="inlineStr">
        <is>
          <t>PH0029</t>
        </is>
      </c>
      <c r="G684" t="inlineStr">
        <is>
          <t>Mibato John Clark</t>
        </is>
      </c>
      <c r="H684" t="inlineStr">
        <is>
          <t>TCNz002PH:Waiting for requests</t>
        </is>
      </c>
      <c r="I684" s="1" t="n">
        <v>45953</v>
      </c>
      <c r="J684" t="n">
        <v>1.5</v>
      </c>
      <c r="K684" t="inlineStr">
        <is>
          <t>Code review</t>
        </is>
      </c>
      <c r="L684">
        <f>IFERROR(LEFT(K684,             FIND(",", K684) - 1), "-")</f>
        <v/>
      </c>
      <c r="M684">
        <f>IFERROR(MID(K684,             FIND(",", K684) + 1, LEN(K684) - FIND(",", K684)), K684)</f>
        <v/>
      </c>
      <c r="N684" t="n">
        <v>5</v>
      </c>
      <c r="P684" t="inlineStr">
        <is>
          <t>12:00</t>
        </is>
      </c>
      <c r="Q684" t="inlineStr">
        <is>
          <t>13:30</t>
        </is>
      </c>
    </row>
    <row r="685">
      <c r="A685" t="inlineStr">
        <is>
          <t>Mibato John Clark</t>
        </is>
      </c>
      <c r="B685" t="inlineStr">
        <is>
          <t>TCNz002PH:Waiting for requests</t>
        </is>
      </c>
      <c r="D685">
        <f>L685</f>
        <v/>
      </c>
      <c r="E685">
        <f>SUMIFS(J:J, G:G,             A685, H:H, B685, L:L, L685)</f>
        <v/>
      </c>
      <c r="F685" t="inlineStr">
        <is>
          <t>PH0029</t>
        </is>
      </c>
      <c r="G685" t="inlineStr">
        <is>
          <t>Mibato John Clark</t>
        </is>
      </c>
      <c r="H685" t="inlineStr">
        <is>
          <t>TCNz002PH:Waiting for requests</t>
        </is>
      </c>
      <c r="I685" s="1" t="n">
        <v>45953</v>
      </c>
      <c r="J685" t="n">
        <v>1</v>
      </c>
      <c r="K685" t="inlineStr">
        <is>
          <t>Code review</t>
        </is>
      </c>
      <c r="L685">
        <f>IFERROR(LEFT(K685,             FIND(",", K685) - 1), "-")</f>
        <v/>
      </c>
      <c r="M685">
        <f>IFERROR(MID(K685,             FIND(",", K685) + 1, LEN(K685) - FIND(",", K685)), K685)</f>
        <v/>
      </c>
      <c r="N685" t="n">
        <v>5</v>
      </c>
      <c r="P685" t="inlineStr">
        <is>
          <t>14:30</t>
        </is>
      </c>
      <c r="Q685" t="inlineStr">
        <is>
          <t>15:30</t>
        </is>
      </c>
    </row>
    <row r="686">
      <c r="A686" t="inlineStr">
        <is>
          <t>Mibato John Clark</t>
        </is>
      </c>
      <c r="B686" t="inlineStr">
        <is>
          <t>TCNz004PH:SMS NewDev</t>
        </is>
      </c>
      <c r="C686">
        <f>SUMIFS(J:J, G:G,             A686, H:H, B686)</f>
        <v/>
      </c>
      <c r="D686">
        <f>L686</f>
        <v/>
      </c>
      <c r="E686">
        <f>SUMIFS(J:J, G:G,             A686, H:H, B686, L:L, L686)</f>
        <v/>
      </c>
      <c r="F686" t="inlineStr">
        <is>
          <t>PH0029</t>
        </is>
      </c>
      <c r="G686" t="inlineStr">
        <is>
          <t>Mibato John Clark</t>
        </is>
      </c>
      <c r="H686" t="inlineStr">
        <is>
          <t>TCNz004PH:SMS NewDev</t>
        </is>
      </c>
      <c r="I686" s="1" t="n">
        <v>45940</v>
      </c>
      <c r="J686" t="n">
        <v>0.25</v>
      </c>
      <c r="K686" t="inlineStr">
        <is>
          <t>95685</t>
        </is>
      </c>
      <c r="L686">
        <f>IFERROR(LEFT(K686,             FIND(",", K686) - 1), "-")</f>
        <v/>
      </c>
      <c r="M686">
        <f>IFERROR(MID(K686,             FIND(",", K686) + 1, LEN(K686) - FIND(",", K686)), K686)</f>
        <v/>
      </c>
      <c r="P686" t="inlineStr">
        <is>
          <t>15:00</t>
        </is>
      </c>
      <c r="Q686" t="inlineStr">
        <is>
          <t>15:15</t>
        </is>
      </c>
    </row>
    <row r="687">
      <c r="A687" t="inlineStr">
        <is>
          <t>Mibato John Clark</t>
        </is>
      </c>
      <c r="B687" t="inlineStr">
        <is>
          <t>TCNz004PH:SMS NewDev</t>
        </is>
      </c>
      <c r="D687">
        <f>L687</f>
        <v/>
      </c>
      <c r="E687">
        <f>SUMIFS(J:J, G:G,             A687, H:H, B687, L:L, L687)</f>
        <v/>
      </c>
      <c r="F687" t="inlineStr">
        <is>
          <t>PH0029</t>
        </is>
      </c>
      <c r="G687" t="inlineStr">
        <is>
          <t>Mibato John Clark</t>
        </is>
      </c>
      <c r="H687" t="inlineStr">
        <is>
          <t>TCNz004PH:SMS NewDev</t>
        </is>
      </c>
      <c r="I687" s="1" t="n">
        <v>45944</v>
      </c>
      <c r="J687" t="n">
        <v>0.25</v>
      </c>
      <c r="K687" t="inlineStr">
        <is>
          <t>95685</t>
        </is>
      </c>
      <c r="L687">
        <f>IFERROR(LEFT(K687,             FIND(",", K687) - 1), "-")</f>
        <v/>
      </c>
      <c r="M687">
        <f>IFERROR(MID(K687,             FIND(",", K687) + 1, LEN(K687) - FIND(",", K687)), K687)</f>
        <v/>
      </c>
      <c r="P687" t="inlineStr">
        <is>
          <t>17:15</t>
        </is>
      </c>
      <c r="Q687" t="inlineStr">
        <is>
          <t>17:30</t>
        </is>
      </c>
    </row>
    <row r="688">
      <c r="A688" t="inlineStr">
        <is>
          <t>Mibato John Clark</t>
        </is>
      </c>
      <c r="B688" t="inlineStr">
        <is>
          <t>TCNz004PH:SMS NewDev</t>
        </is>
      </c>
      <c r="D688">
        <f>L688</f>
        <v/>
      </c>
      <c r="E688">
        <f>SUMIFS(J:J, G:G,             A688, H:H, B688, L:L, L688)</f>
        <v/>
      </c>
      <c r="F688" t="inlineStr">
        <is>
          <t>PH0029</t>
        </is>
      </c>
      <c r="G688" t="inlineStr">
        <is>
          <t>Mibato John Clark</t>
        </is>
      </c>
      <c r="H688" t="inlineStr">
        <is>
          <t>TCNz004PH:SMS NewDev</t>
        </is>
      </c>
      <c r="I688" s="1" t="n">
        <v>45933</v>
      </c>
      <c r="J688" t="n">
        <v>0.5</v>
      </c>
      <c r="K688" t="inlineStr">
        <is>
          <t>95703</t>
        </is>
      </c>
      <c r="L688">
        <f>IFERROR(LEFT(K688,             FIND(",", K688) - 1), "-")</f>
        <v/>
      </c>
      <c r="M688">
        <f>IFERROR(MID(K688,             FIND(",", K688) + 1, LEN(K688) - FIND(",", K688)), K688)</f>
        <v/>
      </c>
      <c r="P688" t="inlineStr">
        <is>
          <t>12:00</t>
        </is>
      </c>
      <c r="Q688" t="inlineStr">
        <is>
          <t>12:30</t>
        </is>
      </c>
    </row>
    <row r="689">
      <c r="A689" t="inlineStr">
        <is>
          <t>Mibato John Clark</t>
        </is>
      </c>
      <c r="B689" t="inlineStr">
        <is>
          <t>TCNz004PH:SMS NewDev</t>
        </is>
      </c>
      <c r="D689">
        <f>L689</f>
        <v/>
      </c>
      <c r="E689">
        <f>SUMIFS(J:J, G:G,             A689, H:H, B689, L:L, L689)</f>
        <v/>
      </c>
      <c r="F689" t="inlineStr">
        <is>
          <t>PH0029</t>
        </is>
      </c>
      <c r="G689" t="inlineStr">
        <is>
          <t>Mibato John Clark</t>
        </is>
      </c>
      <c r="H689" t="inlineStr">
        <is>
          <t>TCNz004PH:SMS NewDev</t>
        </is>
      </c>
      <c r="I689" s="1" t="n">
        <v>45946</v>
      </c>
      <c r="J689" t="n">
        <v>1</v>
      </c>
      <c r="K689" t="inlineStr">
        <is>
          <t>95830</t>
        </is>
      </c>
      <c r="L689">
        <f>IFERROR(LEFT(K689,             FIND(",", K689) - 1), "-")</f>
        <v/>
      </c>
      <c r="M689">
        <f>IFERROR(MID(K689,             FIND(",", K689) + 1, LEN(K689) - FIND(",", K689)), K689)</f>
        <v/>
      </c>
      <c r="P689" t="inlineStr">
        <is>
          <t>16:00</t>
        </is>
      </c>
      <c r="Q689" t="inlineStr">
        <is>
          <t>17:00</t>
        </is>
      </c>
    </row>
    <row r="690">
      <c r="A690" t="inlineStr">
        <is>
          <t>Mibato John Clark</t>
        </is>
      </c>
      <c r="B690" t="inlineStr">
        <is>
          <t>TCNz004PH:SMS NewDev</t>
        </is>
      </c>
      <c r="D690">
        <f>L690</f>
        <v/>
      </c>
      <c r="E690">
        <f>SUMIFS(J:J, G:G,             A690, H:H, B690, L:L, L690)</f>
        <v/>
      </c>
      <c r="F690" t="inlineStr">
        <is>
          <t>PH0029</t>
        </is>
      </c>
      <c r="G690" t="inlineStr">
        <is>
          <t>Mibato John Clark</t>
        </is>
      </c>
      <c r="H690" t="inlineStr">
        <is>
          <t>TCNz004PH:SMS NewDev</t>
        </is>
      </c>
      <c r="I690" s="1" t="n">
        <v>45947</v>
      </c>
      <c r="J690" t="n">
        <v>3</v>
      </c>
      <c r="K690" t="inlineStr">
        <is>
          <t>95830</t>
        </is>
      </c>
      <c r="L690">
        <f>IFERROR(LEFT(K690,             FIND(",", K690) - 1), "-")</f>
        <v/>
      </c>
      <c r="M690">
        <f>IFERROR(MID(K690,             FIND(",", K690) + 1, LEN(K690) - FIND(",", K690)), K690)</f>
        <v/>
      </c>
      <c r="P690" t="inlineStr">
        <is>
          <t>08:00</t>
        </is>
      </c>
      <c r="Q690" t="inlineStr">
        <is>
          <t>11:00</t>
        </is>
      </c>
    </row>
    <row r="691">
      <c r="A691" t="inlineStr">
        <is>
          <t>Mibato John Clark</t>
        </is>
      </c>
      <c r="B691" t="inlineStr">
        <is>
          <t>TCNz004PH:SMS NewDev</t>
        </is>
      </c>
      <c r="D691">
        <f>L691</f>
        <v/>
      </c>
      <c r="E691">
        <f>SUMIFS(J:J, G:G,             A691, H:H, B691, L:L, L691)</f>
        <v/>
      </c>
      <c r="F691" t="inlineStr">
        <is>
          <t>PH0029</t>
        </is>
      </c>
      <c r="G691" t="inlineStr">
        <is>
          <t>Mibato John Clark</t>
        </is>
      </c>
      <c r="H691" t="inlineStr">
        <is>
          <t>TCNz004PH:SMS NewDev</t>
        </is>
      </c>
      <c r="I691" s="1" t="n">
        <v>45947</v>
      </c>
      <c r="J691" t="n">
        <v>5</v>
      </c>
      <c r="K691" t="inlineStr">
        <is>
          <t>95830</t>
        </is>
      </c>
      <c r="L691">
        <f>IFERROR(LEFT(K691,             FIND(",", K691) - 1), "-")</f>
        <v/>
      </c>
      <c r="M691">
        <f>IFERROR(MID(K691,             FIND(",", K691) + 1, LEN(K691) - FIND(",", K691)), K691)</f>
        <v/>
      </c>
      <c r="P691" t="inlineStr">
        <is>
          <t>12:00</t>
        </is>
      </c>
      <c r="Q691" t="inlineStr">
        <is>
          <t>17:00</t>
        </is>
      </c>
    </row>
    <row r="692">
      <c r="A692" t="inlineStr">
        <is>
          <t>Mibato John Clark</t>
        </is>
      </c>
      <c r="B692" t="inlineStr">
        <is>
          <t>TCNz004PH:SMS NewDev</t>
        </is>
      </c>
      <c r="D692">
        <f>L692</f>
        <v/>
      </c>
      <c r="E692">
        <f>SUMIFS(J:J, G:G,             A692, H:H, B692, L:L, L692)</f>
        <v/>
      </c>
      <c r="F692" t="inlineStr">
        <is>
          <t>PH0029</t>
        </is>
      </c>
      <c r="G692" t="inlineStr">
        <is>
          <t>Mibato John Clark</t>
        </is>
      </c>
      <c r="H692" t="inlineStr">
        <is>
          <t>TCNz004PH:SMS NewDev</t>
        </is>
      </c>
      <c r="I692" s="1" t="n">
        <v>45950</v>
      </c>
      <c r="J692" t="n">
        <v>2.75</v>
      </c>
      <c r="K692" t="inlineStr">
        <is>
          <t>95830</t>
        </is>
      </c>
      <c r="L692">
        <f>IFERROR(LEFT(K692,             FIND(",", K692) - 1), "-")</f>
        <v/>
      </c>
      <c r="M692">
        <f>IFERROR(MID(K692,             FIND(",", K692) + 1, LEN(K692) - FIND(",", K692)), K692)</f>
        <v/>
      </c>
      <c r="P692" t="inlineStr">
        <is>
          <t>08:15</t>
        </is>
      </c>
      <c r="Q692" t="inlineStr">
        <is>
          <t>11:00</t>
        </is>
      </c>
    </row>
    <row r="693">
      <c r="A693" t="inlineStr">
        <is>
          <t>Mibato John Clark</t>
        </is>
      </c>
      <c r="B693" t="inlineStr">
        <is>
          <t>TCNz004PH:SMS NewDev</t>
        </is>
      </c>
      <c r="D693">
        <f>L693</f>
        <v/>
      </c>
      <c r="E693">
        <f>SUMIFS(J:J, G:G,             A693, H:H, B693, L:L, L693)</f>
        <v/>
      </c>
      <c r="F693" t="inlineStr">
        <is>
          <t>PH0029</t>
        </is>
      </c>
      <c r="G693" t="inlineStr">
        <is>
          <t>Mibato John Clark</t>
        </is>
      </c>
      <c r="H693" t="inlineStr">
        <is>
          <t>TCNz004PH:SMS NewDev</t>
        </is>
      </c>
      <c r="I693" s="1" t="n">
        <v>45950</v>
      </c>
      <c r="J693" t="n">
        <v>5.25</v>
      </c>
      <c r="K693" t="inlineStr">
        <is>
          <t>95830</t>
        </is>
      </c>
      <c r="L693">
        <f>IFERROR(LEFT(K693,             FIND(",", K693) - 1), "-")</f>
        <v/>
      </c>
      <c r="M693">
        <f>IFERROR(MID(K693,             FIND(",", K693) + 1, LEN(K693) - FIND(",", K693)), K693)</f>
        <v/>
      </c>
      <c r="P693" t="inlineStr">
        <is>
          <t>12:00</t>
        </is>
      </c>
      <c r="Q693" t="inlineStr">
        <is>
          <t>17:15</t>
        </is>
      </c>
    </row>
    <row r="694">
      <c r="A694" t="inlineStr">
        <is>
          <t>Mibato John Clark</t>
        </is>
      </c>
      <c r="B694" t="inlineStr">
        <is>
          <t>TCNz004PH:SMS NewDev</t>
        </is>
      </c>
      <c r="D694">
        <f>L694</f>
        <v/>
      </c>
      <c r="E694">
        <f>SUMIFS(J:J, G:G,             A694, H:H, B694, L:L, L694)</f>
        <v/>
      </c>
      <c r="F694" t="inlineStr">
        <is>
          <t>PH0029</t>
        </is>
      </c>
      <c r="G694" t="inlineStr">
        <is>
          <t>Mibato John Clark</t>
        </is>
      </c>
      <c r="H694" t="inlineStr">
        <is>
          <t>TCNz004PH:SMS NewDev</t>
        </is>
      </c>
      <c r="I694" s="1" t="n">
        <v>45951</v>
      </c>
      <c r="J694" t="n">
        <v>3</v>
      </c>
      <c r="K694" t="inlineStr">
        <is>
          <t>95830</t>
        </is>
      </c>
      <c r="L694">
        <f>IFERROR(LEFT(K694,             FIND(",", K694) - 1), "-")</f>
        <v/>
      </c>
      <c r="M694">
        <f>IFERROR(MID(K694,             FIND(",", K694) + 1, LEN(K694) - FIND(",", K694)), K694)</f>
        <v/>
      </c>
      <c r="P694" t="inlineStr">
        <is>
          <t>08:00</t>
        </is>
      </c>
      <c r="Q694" t="inlineStr">
        <is>
          <t>11:00</t>
        </is>
      </c>
    </row>
    <row r="695">
      <c r="A695" t="inlineStr">
        <is>
          <t>Mibato John Clark</t>
        </is>
      </c>
      <c r="B695" t="inlineStr">
        <is>
          <t>TCNz004PH:SMS NewDev</t>
        </is>
      </c>
      <c r="D695">
        <f>L695</f>
        <v/>
      </c>
      <c r="E695">
        <f>SUMIFS(J:J, G:G,             A695, H:H, B695, L:L, L695)</f>
        <v/>
      </c>
      <c r="F695" t="inlineStr">
        <is>
          <t>PH0029</t>
        </is>
      </c>
      <c r="G695" t="inlineStr">
        <is>
          <t>Mibato John Clark</t>
        </is>
      </c>
      <c r="H695" t="inlineStr">
        <is>
          <t>TCNz004PH:SMS NewDev</t>
        </is>
      </c>
      <c r="I695" s="1" t="n">
        <v>45951</v>
      </c>
      <c r="J695" t="n">
        <v>5.25</v>
      </c>
      <c r="K695" t="inlineStr">
        <is>
          <t>95830</t>
        </is>
      </c>
      <c r="L695">
        <f>IFERROR(LEFT(K695,             FIND(",", K695) - 1), "-")</f>
        <v/>
      </c>
      <c r="M695">
        <f>IFERROR(MID(K695,             FIND(",", K695) + 1, LEN(K695) - FIND(",", K695)), K695)</f>
        <v/>
      </c>
      <c r="P695" t="inlineStr">
        <is>
          <t>12:00</t>
        </is>
      </c>
      <c r="Q695" t="inlineStr">
        <is>
          <t>17:15</t>
        </is>
      </c>
    </row>
    <row r="696">
      <c r="A696" t="inlineStr">
        <is>
          <t>Mibato John Clark</t>
        </is>
      </c>
      <c r="B696" t="inlineStr">
        <is>
          <t>TCNz004PH:SMS NewDev</t>
        </is>
      </c>
      <c r="D696">
        <f>L696</f>
        <v/>
      </c>
      <c r="E696">
        <f>SUMIFS(J:J, G:G,             A696, H:H, B696, L:L, L696)</f>
        <v/>
      </c>
      <c r="F696" t="inlineStr">
        <is>
          <t>PH0029</t>
        </is>
      </c>
      <c r="G696" t="inlineStr">
        <is>
          <t>Mibato John Clark</t>
        </is>
      </c>
      <c r="H696" t="inlineStr">
        <is>
          <t>TCNz004PH:SMS NewDev</t>
        </is>
      </c>
      <c r="I696" s="1" t="n">
        <v>45952</v>
      </c>
      <c r="J696" t="n">
        <v>3</v>
      </c>
      <c r="K696" t="inlineStr">
        <is>
          <t>95830</t>
        </is>
      </c>
      <c r="L696">
        <f>IFERROR(LEFT(K696,             FIND(",", K696) - 1), "-")</f>
        <v/>
      </c>
      <c r="M696">
        <f>IFERROR(MID(K696,             FIND(",", K696) + 1, LEN(K696) - FIND(",", K696)), K696)</f>
        <v/>
      </c>
      <c r="P696" t="inlineStr">
        <is>
          <t>08:00</t>
        </is>
      </c>
      <c r="Q696" t="inlineStr">
        <is>
          <t>11:00</t>
        </is>
      </c>
    </row>
    <row r="697">
      <c r="A697" t="inlineStr">
        <is>
          <t>Mibato John Clark</t>
        </is>
      </c>
      <c r="B697" t="inlineStr">
        <is>
          <t>TCNz004PH:SMS NewDev</t>
        </is>
      </c>
      <c r="D697">
        <f>L697</f>
        <v/>
      </c>
      <c r="E697">
        <f>SUMIFS(J:J, G:G,             A697, H:H, B697, L:L, L697)</f>
        <v/>
      </c>
      <c r="F697" t="inlineStr">
        <is>
          <t>PH0029</t>
        </is>
      </c>
      <c r="G697" t="inlineStr">
        <is>
          <t>Mibato John Clark</t>
        </is>
      </c>
      <c r="H697" t="inlineStr">
        <is>
          <t>TCNz004PH:SMS NewDev</t>
        </is>
      </c>
      <c r="I697" s="1" t="n">
        <v>45953</v>
      </c>
      <c r="J697" t="n">
        <v>2</v>
      </c>
      <c r="K697" t="inlineStr">
        <is>
          <t>95830</t>
        </is>
      </c>
      <c r="L697">
        <f>IFERROR(LEFT(K697,             FIND(",", K697) - 1), "-")</f>
        <v/>
      </c>
      <c r="M697">
        <f>IFERROR(MID(K697,             FIND(",", K697) + 1, LEN(K697) - FIND(",", K697)), K697)</f>
        <v/>
      </c>
      <c r="P697" t="inlineStr">
        <is>
          <t>08:00</t>
        </is>
      </c>
      <c r="Q697" t="inlineStr">
        <is>
          <t>10:00</t>
        </is>
      </c>
    </row>
    <row r="698">
      <c r="A698" t="inlineStr">
        <is>
          <t>Mibato John Clark</t>
        </is>
      </c>
      <c r="B698" t="inlineStr">
        <is>
          <t>TCNz004PH:SMS NewDev</t>
        </is>
      </c>
      <c r="D698">
        <f>L698</f>
        <v/>
      </c>
      <c r="E698">
        <f>SUMIFS(J:J, G:G,             A698, H:H, B698, L:L, L698)</f>
        <v/>
      </c>
      <c r="F698" t="inlineStr">
        <is>
          <t>PH0029</t>
        </is>
      </c>
      <c r="G698" t="inlineStr">
        <is>
          <t>Mibato John Clark</t>
        </is>
      </c>
      <c r="H698" t="inlineStr">
        <is>
          <t>TCNz004PH:SMS NewDev</t>
        </is>
      </c>
      <c r="I698" s="1" t="n">
        <v>45953</v>
      </c>
      <c r="J698" t="n">
        <v>1</v>
      </c>
      <c r="K698" t="inlineStr">
        <is>
          <t>95830</t>
        </is>
      </c>
      <c r="L698">
        <f>IFERROR(LEFT(K698,             FIND(",", K698) - 1), "-")</f>
        <v/>
      </c>
      <c r="M698">
        <f>IFERROR(MID(K698,             FIND(",", K698) + 1, LEN(K698) - FIND(",", K698)), K698)</f>
        <v/>
      </c>
      <c r="P698" t="inlineStr">
        <is>
          <t>13:30</t>
        </is>
      </c>
      <c r="Q698" t="inlineStr">
        <is>
          <t>14:30</t>
        </is>
      </c>
    </row>
    <row r="699">
      <c r="A699" t="inlineStr">
        <is>
          <t>Mibato John Clark</t>
        </is>
      </c>
      <c r="B699" t="inlineStr">
        <is>
          <t>YMHa003PH:YAMAHA WBS:Additional request</t>
        </is>
      </c>
      <c r="C699">
        <f>SUMIFS(J:J, G:G,             A699, H:H, B699)</f>
        <v/>
      </c>
      <c r="D699">
        <f>L699</f>
        <v/>
      </c>
      <c r="E699">
        <f>SUMIFS(J:J, G:G,             A699, H:H, B699, L:L, L699)</f>
        <v/>
      </c>
      <c r="F699" t="inlineStr">
        <is>
          <t>PH0029</t>
        </is>
      </c>
      <c r="G699" t="inlineStr">
        <is>
          <t>Mibato John Clark</t>
        </is>
      </c>
      <c r="H699" t="inlineStr">
        <is>
          <t>YMHa003PH:YAMAHA WBS:Additional request</t>
        </is>
      </c>
      <c r="I699" s="1" t="n">
        <v>45931</v>
      </c>
      <c r="J699" t="n">
        <v>3</v>
      </c>
      <c r="K699" t="inlineStr">
        <is>
          <t>95735</t>
        </is>
      </c>
      <c r="L699">
        <f>IFERROR(LEFT(K699,             FIND(",", K699) - 1), "-")</f>
        <v/>
      </c>
      <c r="M699">
        <f>IFERROR(MID(K699,             FIND(",", K699) + 1, LEN(K699) - FIND(",", K699)), K699)</f>
        <v/>
      </c>
      <c r="N699" t="n">
        <v>4</v>
      </c>
      <c r="P699" t="inlineStr">
        <is>
          <t>08:00</t>
        </is>
      </c>
      <c r="Q699" t="inlineStr">
        <is>
          <t>11:00</t>
        </is>
      </c>
    </row>
    <row r="700">
      <c r="A700" t="inlineStr">
        <is>
          <t>Mibato John Clark</t>
        </is>
      </c>
      <c r="B700" t="inlineStr">
        <is>
          <t>YMHa003PH:YAMAHA WBS:Additional request</t>
        </is>
      </c>
      <c r="D700">
        <f>L700</f>
        <v/>
      </c>
      <c r="E700">
        <f>SUMIFS(J:J, G:G,             A700, H:H, B700, L:L, L700)</f>
        <v/>
      </c>
      <c r="F700" t="inlineStr">
        <is>
          <t>PH0029</t>
        </is>
      </c>
      <c r="G700" t="inlineStr">
        <is>
          <t>Mibato John Clark</t>
        </is>
      </c>
      <c r="H700" t="inlineStr">
        <is>
          <t>YMHa003PH:YAMAHA WBS:Additional request</t>
        </is>
      </c>
      <c r="I700" s="1" t="n">
        <v>45931</v>
      </c>
      <c r="J700" t="n">
        <v>5.25</v>
      </c>
      <c r="K700" t="inlineStr">
        <is>
          <t>95735</t>
        </is>
      </c>
      <c r="L700">
        <f>IFERROR(LEFT(K700,             FIND(",", K700) - 1), "-")</f>
        <v/>
      </c>
      <c r="M700">
        <f>IFERROR(MID(K700,             FIND(",", K700) + 1, LEN(K700) - FIND(",", K700)), K700)</f>
        <v/>
      </c>
      <c r="N700" t="n">
        <v>4</v>
      </c>
      <c r="P700" t="inlineStr">
        <is>
          <t>12:00</t>
        </is>
      </c>
      <c r="Q700" t="inlineStr">
        <is>
          <t>17:15</t>
        </is>
      </c>
    </row>
    <row r="701">
      <c r="A701" t="inlineStr">
        <is>
          <t>Mibato John Clark</t>
        </is>
      </c>
      <c r="B701" t="inlineStr">
        <is>
          <t>YMHa003PH:YAMAHA WBS:Additional request</t>
        </is>
      </c>
      <c r="D701">
        <f>L701</f>
        <v/>
      </c>
      <c r="E701">
        <f>SUMIFS(J:J, G:G,             A701, H:H, B701, L:L, L701)</f>
        <v/>
      </c>
      <c r="F701" t="inlineStr">
        <is>
          <t>PH0029</t>
        </is>
      </c>
      <c r="G701" t="inlineStr">
        <is>
          <t>Mibato John Clark</t>
        </is>
      </c>
      <c r="H701" t="inlineStr">
        <is>
          <t>YMHa003PH:YAMAHA WBS:Additional request</t>
        </is>
      </c>
      <c r="I701" s="1" t="n">
        <v>45932</v>
      </c>
      <c r="J701" t="n">
        <v>0.25</v>
      </c>
      <c r="K701" t="inlineStr">
        <is>
          <t>95735</t>
        </is>
      </c>
      <c r="L701">
        <f>IFERROR(LEFT(K701,             FIND(",", K701) - 1), "-")</f>
        <v/>
      </c>
      <c r="M701">
        <f>IFERROR(MID(K701,             FIND(",", K701) + 1, LEN(K701) - FIND(",", K701)), K701)</f>
        <v/>
      </c>
      <c r="N701" t="n">
        <v>4</v>
      </c>
      <c r="P701" t="inlineStr">
        <is>
          <t>10:45</t>
        </is>
      </c>
      <c r="Q701" t="inlineStr">
        <is>
          <t>11:00</t>
        </is>
      </c>
    </row>
    <row r="702">
      <c r="A702" t="inlineStr">
        <is>
          <t>Mibato John Clark</t>
        </is>
      </c>
      <c r="B702" t="inlineStr">
        <is>
          <t>YMHa003PH:YAMAHA WBS:Additional request</t>
        </is>
      </c>
      <c r="D702">
        <f>L702</f>
        <v/>
      </c>
      <c r="E702">
        <f>SUMIFS(J:J, G:G,             A702, H:H, B702, L:L, L702)</f>
        <v/>
      </c>
      <c r="F702" t="inlineStr">
        <is>
          <t>PH0029</t>
        </is>
      </c>
      <c r="G702" t="inlineStr">
        <is>
          <t>Mibato John Clark</t>
        </is>
      </c>
      <c r="H702" t="inlineStr">
        <is>
          <t>YMHa003PH:YAMAHA WBS:Additional request</t>
        </is>
      </c>
      <c r="I702" s="1" t="n">
        <v>45932</v>
      </c>
      <c r="J702" t="n">
        <v>3</v>
      </c>
      <c r="K702" t="inlineStr">
        <is>
          <t>95735</t>
        </is>
      </c>
      <c r="L702">
        <f>IFERROR(LEFT(K702,             FIND(",", K702) - 1), "-")</f>
        <v/>
      </c>
      <c r="M702">
        <f>IFERROR(MID(K702,             FIND(",", K702) + 1, LEN(K702) - FIND(",", K702)), K702)</f>
        <v/>
      </c>
      <c r="N702" t="n">
        <v>4</v>
      </c>
      <c r="P702" t="inlineStr">
        <is>
          <t>12:00</t>
        </is>
      </c>
      <c r="Q702" t="inlineStr">
        <is>
          <t>15:00</t>
        </is>
      </c>
    </row>
    <row r="703">
      <c r="A703" t="inlineStr">
        <is>
          <t>Mibato John Clark</t>
        </is>
      </c>
      <c r="B703" t="inlineStr">
        <is>
          <t>YMHa003PH:YAMAHA WBS:Additional request</t>
        </is>
      </c>
      <c r="D703">
        <f>L703</f>
        <v/>
      </c>
      <c r="E703">
        <f>SUMIFS(J:J, G:G,             A703, H:H, B703, L:L, L703)</f>
        <v/>
      </c>
      <c r="F703" t="inlineStr">
        <is>
          <t>PH0029</t>
        </is>
      </c>
      <c r="G703" t="inlineStr">
        <is>
          <t>Mibato John Clark</t>
        </is>
      </c>
      <c r="H703" t="inlineStr">
        <is>
          <t>YMHa003PH:YAMAHA WBS:Additional request</t>
        </is>
      </c>
      <c r="I703" s="1" t="n">
        <v>45932</v>
      </c>
      <c r="J703" t="n">
        <v>0.5</v>
      </c>
      <c r="K703" t="inlineStr">
        <is>
          <t>95735</t>
        </is>
      </c>
      <c r="L703">
        <f>IFERROR(LEFT(K703,             FIND(",", K703) - 1), "-")</f>
        <v/>
      </c>
      <c r="M703">
        <f>IFERROR(MID(K703,             FIND(",", K703) + 1, LEN(K703) - FIND(",", K703)), K703)</f>
        <v/>
      </c>
      <c r="N703" t="n">
        <v>4</v>
      </c>
      <c r="P703" t="inlineStr">
        <is>
          <t>16:30</t>
        </is>
      </c>
      <c r="Q703" t="inlineStr">
        <is>
          <t>17:00</t>
        </is>
      </c>
    </row>
    <row r="704">
      <c r="A704" t="inlineStr">
        <is>
          <t>Mibato John Clark</t>
        </is>
      </c>
      <c r="B704" t="inlineStr">
        <is>
          <t>YMHa003PH:YAMAHA WBS:Additional request</t>
        </is>
      </c>
      <c r="D704">
        <f>L704</f>
        <v/>
      </c>
      <c r="E704">
        <f>SUMIFS(J:J, G:G,             A704, H:H, B704, L:L, L704)</f>
        <v/>
      </c>
      <c r="F704" t="inlineStr">
        <is>
          <t>PH0029</t>
        </is>
      </c>
      <c r="G704" t="inlineStr">
        <is>
          <t>Mibato John Clark</t>
        </is>
      </c>
      <c r="H704" t="inlineStr">
        <is>
          <t>YMHa003PH:YAMAHA WBS:Additional request</t>
        </is>
      </c>
      <c r="I704" s="1" t="n">
        <v>45933</v>
      </c>
      <c r="J704" t="n">
        <v>3</v>
      </c>
      <c r="K704" t="inlineStr">
        <is>
          <t>95735</t>
        </is>
      </c>
      <c r="L704">
        <f>IFERROR(LEFT(K704,             FIND(",", K704) - 1), "-")</f>
        <v/>
      </c>
      <c r="M704">
        <f>IFERROR(MID(K704,             FIND(",", K704) + 1, LEN(K704) - FIND(",", K704)), K704)</f>
        <v/>
      </c>
      <c r="N704" t="n">
        <v>4</v>
      </c>
      <c r="P704" t="inlineStr">
        <is>
          <t>08:00</t>
        </is>
      </c>
      <c r="Q704" t="inlineStr">
        <is>
          <t>11:00</t>
        </is>
      </c>
    </row>
    <row r="705">
      <c r="A705" t="inlineStr">
        <is>
          <t>Mibato John Clark</t>
        </is>
      </c>
      <c r="B705" t="inlineStr">
        <is>
          <t>YMHa003PH:YAMAHA WBS:Additional request</t>
        </is>
      </c>
      <c r="D705">
        <f>L705</f>
        <v/>
      </c>
      <c r="E705">
        <f>SUMIFS(J:J, G:G,             A705, H:H, B705, L:L, L705)</f>
        <v/>
      </c>
      <c r="F705" t="inlineStr">
        <is>
          <t>PH0029</t>
        </is>
      </c>
      <c r="G705" t="inlineStr">
        <is>
          <t>Mibato John Clark</t>
        </is>
      </c>
      <c r="H705" t="inlineStr">
        <is>
          <t>YMHa003PH:YAMAHA WBS:Additional request</t>
        </is>
      </c>
      <c r="I705" s="1" t="n">
        <v>45933</v>
      </c>
      <c r="J705" t="n">
        <v>4.75</v>
      </c>
      <c r="K705" t="inlineStr">
        <is>
          <t>95735</t>
        </is>
      </c>
      <c r="L705">
        <f>IFERROR(LEFT(K705,             FIND(",", K705) - 1), "-")</f>
        <v/>
      </c>
      <c r="M705">
        <f>IFERROR(MID(K705,             FIND(",", K705) + 1, LEN(K705) - FIND(",", K705)), K705)</f>
        <v/>
      </c>
      <c r="N705" t="n">
        <v>4</v>
      </c>
      <c r="P705" t="inlineStr">
        <is>
          <t>12:30</t>
        </is>
      </c>
      <c r="Q705" t="inlineStr">
        <is>
          <t>17:15</t>
        </is>
      </c>
    </row>
    <row r="706">
      <c r="A706" t="inlineStr">
        <is>
          <t>Mibato John Clark</t>
        </is>
      </c>
      <c r="B706" t="inlineStr">
        <is>
          <t>YMHa003PH:YAMAHA WBS:Additional request</t>
        </is>
      </c>
      <c r="D706">
        <f>L706</f>
        <v/>
      </c>
      <c r="E706">
        <f>SUMIFS(J:J, G:G,             A706, H:H, B706, L:L, L706)</f>
        <v/>
      </c>
      <c r="F706" t="inlineStr">
        <is>
          <t>PH0029</t>
        </is>
      </c>
      <c r="G706" t="inlineStr">
        <is>
          <t>Mibato John Clark</t>
        </is>
      </c>
      <c r="H706" t="inlineStr">
        <is>
          <t>YMHa003PH:YAMAHA WBS:Additional request</t>
        </is>
      </c>
      <c r="I706" s="1" t="n">
        <v>45936</v>
      </c>
      <c r="J706" t="n">
        <v>3</v>
      </c>
      <c r="K706" t="inlineStr">
        <is>
          <t>95735</t>
        </is>
      </c>
      <c r="L706">
        <f>IFERROR(LEFT(K706,             FIND(",", K706) - 1), "-")</f>
        <v/>
      </c>
      <c r="M706">
        <f>IFERROR(MID(K706,             FIND(",", K706) + 1, LEN(K706) - FIND(",", K706)), K706)</f>
        <v/>
      </c>
      <c r="N706" t="n">
        <v>4</v>
      </c>
      <c r="P706" t="inlineStr">
        <is>
          <t>08:00</t>
        </is>
      </c>
      <c r="Q706" t="inlineStr">
        <is>
          <t>11:00</t>
        </is>
      </c>
    </row>
    <row r="707">
      <c r="A707" t="inlineStr">
        <is>
          <t>Mibato John Clark</t>
        </is>
      </c>
      <c r="B707" t="inlineStr">
        <is>
          <t>YMHa003PH:YAMAHA WBS:Additional request</t>
        </is>
      </c>
      <c r="D707">
        <f>L707</f>
        <v/>
      </c>
      <c r="E707">
        <f>SUMIFS(J:J, G:G,             A707, H:H, B707, L:L, L707)</f>
        <v/>
      </c>
      <c r="F707" t="inlineStr">
        <is>
          <t>PH0029</t>
        </is>
      </c>
      <c r="G707" t="inlineStr">
        <is>
          <t>Mibato John Clark</t>
        </is>
      </c>
      <c r="H707" t="inlineStr">
        <is>
          <t>YMHa003PH:YAMAHA WBS:Additional request</t>
        </is>
      </c>
      <c r="I707" s="1" t="n">
        <v>45936</v>
      </c>
      <c r="J707" t="n">
        <v>1.5</v>
      </c>
      <c r="K707" t="inlineStr">
        <is>
          <t>95735</t>
        </is>
      </c>
      <c r="L707">
        <f>IFERROR(LEFT(K707,             FIND(",", K707) - 1), "-")</f>
        <v/>
      </c>
      <c r="M707">
        <f>IFERROR(MID(K707,             FIND(",", K707) + 1, LEN(K707) - FIND(",", K707)), K707)</f>
        <v/>
      </c>
      <c r="N707" t="n">
        <v>4</v>
      </c>
      <c r="P707" t="inlineStr">
        <is>
          <t>12:00</t>
        </is>
      </c>
      <c r="Q707" t="inlineStr">
        <is>
          <t>13:30</t>
        </is>
      </c>
    </row>
    <row r="708">
      <c r="A708" t="inlineStr">
        <is>
          <t>Mibato John Clark</t>
        </is>
      </c>
      <c r="B708" t="inlineStr">
        <is>
          <t>YMHa003PH:YAMAHA WBS:Additional request</t>
        </is>
      </c>
      <c r="D708">
        <f>L708</f>
        <v/>
      </c>
      <c r="E708">
        <f>SUMIFS(J:J, G:G,             A708, H:H, B708, L:L, L708)</f>
        <v/>
      </c>
      <c r="F708" t="inlineStr">
        <is>
          <t>PH0029</t>
        </is>
      </c>
      <c r="G708" t="inlineStr">
        <is>
          <t>Mibato John Clark</t>
        </is>
      </c>
      <c r="H708" t="inlineStr">
        <is>
          <t>YMHa003PH:YAMAHA WBS:Additional request</t>
        </is>
      </c>
      <c r="I708" s="1" t="n">
        <v>45937</v>
      </c>
      <c r="J708" t="n">
        <v>1.75</v>
      </c>
      <c r="K708" t="inlineStr">
        <is>
          <t>95735</t>
        </is>
      </c>
      <c r="L708">
        <f>IFERROR(LEFT(K708,             FIND(",", K708) - 1), "-")</f>
        <v/>
      </c>
      <c r="M708">
        <f>IFERROR(MID(K708,             FIND(",", K708) + 1, LEN(K708) - FIND(",", K708)), K708)</f>
        <v/>
      </c>
      <c r="N708" t="n">
        <v>4</v>
      </c>
      <c r="P708" t="inlineStr">
        <is>
          <t>12:45</t>
        </is>
      </c>
      <c r="Q708" t="inlineStr">
        <is>
          <t>14:30</t>
        </is>
      </c>
    </row>
    <row r="709">
      <c r="A709" t="inlineStr">
        <is>
          <t>Mibato John Clark</t>
        </is>
      </c>
      <c r="B709" t="inlineStr">
        <is>
          <t>YMHa003PH:YAMAHA WBS:Additional request</t>
        </is>
      </c>
      <c r="D709">
        <f>L709</f>
        <v/>
      </c>
      <c r="E709">
        <f>SUMIFS(J:J, G:G,             A709, H:H, B709, L:L, L709)</f>
        <v/>
      </c>
      <c r="F709" t="inlineStr">
        <is>
          <t>PH0029</t>
        </is>
      </c>
      <c r="G709" t="inlineStr">
        <is>
          <t>Mibato John Clark</t>
        </is>
      </c>
      <c r="H709" t="inlineStr">
        <is>
          <t>YMHa003PH:YAMAHA WBS:Additional request</t>
        </is>
      </c>
      <c r="I709" s="1" t="n">
        <v>45939</v>
      </c>
      <c r="J709" t="n">
        <v>2.25</v>
      </c>
      <c r="K709" t="inlineStr">
        <is>
          <t>95735</t>
        </is>
      </c>
      <c r="L709">
        <f>IFERROR(LEFT(K709,             FIND(",", K709) - 1), "-")</f>
        <v/>
      </c>
      <c r="M709">
        <f>IFERROR(MID(K709,             FIND(",", K709) + 1, LEN(K709) - FIND(",", K709)), K709)</f>
        <v/>
      </c>
      <c r="N709" t="n">
        <v>4</v>
      </c>
      <c r="P709" t="inlineStr">
        <is>
          <t>14:45</t>
        </is>
      </c>
      <c r="Q709" t="inlineStr">
        <is>
          <t>17:00</t>
        </is>
      </c>
    </row>
    <row r="710">
      <c r="A710" t="inlineStr">
        <is>
          <t>Mibato John Clark</t>
        </is>
      </c>
      <c r="B710" t="inlineStr">
        <is>
          <t>YMHa003PH:YAMAHA WBS:Additional request</t>
        </is>
      </c>
      <c r="D710">
        <f>L710</f>
        <v/>
      </c>
      <c r="E710">
        <f>SUMIFS(J:J, G:G,             A710, H:H, B710, L:L, L710)</f>
        <v/>
      </c>
      <c r="F710" t="inlineStr">
        <is>
          <t>PH0029</t>
        </is>
      </c>
      <c r="G710" t="inlineStr">
        <is>
          <t>Mibato John Clark</t>
        </is>
      </c>
      <c r="H710" t="inlineStr">
        <is>
          <t>YMHa003PH:YAMAHA WBS:Additional request</t>
        </is>
      </c>
      <c r="I710" s="1" t="n">
        <v>45940</v>
      </c>
      <c r="J710" t="n">
        <v>3</v>
      </c>
      <c r="K710" t="inlineStr">
        <is>
          <t>95735</t>
        </is>
      </c>
      <c r="L710">
        <f>IFERROR(LEFT(K710,             FIND(",", K710) - 1), "-")</f>
        <v/>
      </c>
      <c r="M710">
        <f>IFERROR(MID(K710,             FIND(",", K710) + 1, LEN(K710) - FIND(",", K710)), K710)</f>
        <v/>
      </c>
      <c r="N710" t="n">
        <v>4</v>
      </c>
      <c r="P710" t="inlineStr">
        <is>
          <t>08:00</t>
        </is>
      </c>
      <c r="Q710" t="inlineStr">
        <is>
          <t>11:00</t>
        </is>
      </c>
    </row>
    <row r="711">
      <c r="A711" t="inlineStr">
        <is>
          <t>Mibato John Clark</t>
        </is>
      </c>
      <c r="B711" t="inlineStr">
        <is>
          <t>YMHa003PH:YAMAHA WBS:Additional request</t>
        </is>
      </c>
      <c r="D711">
        <f>L711</f>
        <v/>
      </c>
      <c r="E711">
        <f>SUMIFS(J:J, G:G,             A711, H:H, B711, L:L, L711)</f>
        <v/>
      </c>
      <c r="F711" t="inlineStr">
        <is>
          <t>PH0029</t>
        </is>
      </c>
      <c r="G711" t="inlineStr">
        <is>
          <t>Mibato John Clark</t>
        </is>
      </c>
      <c r="H711" t="inlineStr">
        <is>
          <t>YMHa003PH:YAMAHA WBS:Additional request</t>
        </is>
      </c>
      <c r="I711" s="1" t="n">
        <v>45940</v>
      </c>
      <c r="J711" t="n">
        <v>3</v>
      </c>
      <c r="K711" t="inlineStr">
        <is>
          <t>95735</t>
        </is>
      </c>
      <c r="L711">
        <f>IFERROR(LEFT(K711,             FIND(",", K711) - 1), "-")</f>
        <v/>
      </c>
      <c r="M711">
        <f>IFERROR(MID(K711,             FIND(",", K711) + 1, LEN(K711) - FIND(",", K711)), K711)</f>
        <v/>
      </c>
      <c r="N711" t="n">
        <v>4</v>
      </c>
      <c r="P711" t="inlineStr">
        <is>
          <t>12:00</t>
        </is>
      </c>
      <c r="Q711" t="inlineStr">
        <is>
          <t>15:00</t>
        </is>
      </c>
    </row>
    <row r="712">
      <c r="A712" t="inlineStr">
        <is>
          <t>Mibato John Clark</t>
        </is>
      </c>
      <c r="B712" t="inlineStr">
        <is>
          <t>YMHa003PH:YAMAHA WBS:Additional request</t>
        </is>
      </c>
      <c r="D712">
        <f>L712</f>
        <v/>
      </c>
      <c r="E712">
        <f>SUMIFS(J:J, G:G,             A712, H:H, B712, L:L, L712)</f>
        <v/>
      </c>
      <c r="F712" t="inlineStr">
        <is>
          <t>PH0029</t>
        </is>
      </c>
      <c r="G712" t="inlineStr">
        <is>
          <t>Mibato John Clark</t>
        </is>
      </c>
      <c r="H712" t="inlineStr">
        <is>
          <t>YMHa003PH:YAMAHA WBS:Additional request</t>
        </is>
      </c>
      <c r="I712" s="1" t="n">
        <v>45936</v>
      </c>
      <c r="J712" t="n">
        <v>3</v>
      </c>
      <c r="K712" t="inlineStr">
        <is>
          <t>95793</t>
        </is>
      </c>
      <c r="L712">
        <f>IFERROR(LEFT(K712,             FIND(",", K712) - 1), "-")</f>
        <v/>
      </c>
      <c r="M712">
        <f>IFERROR(MID(K712,             FIND(",", K712) + 1, LEN(K712) - FIND(",", K712)), K712)</f>
        <v/>
      </c>
      <c r="N712" t="n">
        <v>4</v>
      </c>
      <c r="P712" t="inlineStr">
        <is>
          <t>13:30</t>
        </is>
      </c>
      <c r="Q712" t="inlineStr">
        <is>
          <t>16:30</t>
        </is>
      </c>
    </row>
    <row r="713">
      <c r="A713" t="inlineStr">
        <is>
          <t>Mibato John Clark</t>
        </is>
      </c>
      <c r="B713" t="inlineStr">
        <is>
          <t>YMHa003PH:YAMAHA WBS:Additional request</t>
        </is>
      </c>
      <c r="D713">
        <f>L713</f>
        <v/>
      </c>
      <c r="E713">
        <f>SUMIFS(J:J, G:G,             A713, H:H, B713, L:L, L713)</f>
        <v/>
      </c>
      <c r="F713" t="inlineStr">
        <is>
          <t>PH0029</t>
        </is>
      </c>
      <c r="G713" t="inlineStr">
        <is>
          <t>Mibato John Clark</t>
        </is>
      </c>
      <c r="H713" t="inlineStr">
        <is>
          <t>YMHa003PH:YAMAHA WBS:Additional request</t>
        </is>
      </c>
      <c r="I713" s="1" t="n">
        <v>45936</v>
      </c>
      <c r="J713" t="n">
        <v>0.5</v>
      </c>
      <c r="K713" t="inlineStr">
        <is>
          <t>95795</t>
        </is>
      </c>
      <c r="L713">
        <f>IFERROR(LEFT(K713,             FIND(",", K713) - 1), "-")</f>
        <v/>
      </c>
      <c r="M713">
        <f>IFERROR(MID(K713,             FIND(",", K713) + 1, LEN(K713) - FIND(",", K713)), K713)</f>
        <v/>
      </c>
      <c r="N713" t="n">
        <v>4</v>
      </c>
      <c r="P713" t="inlineStr">
        <is>
          <t>16:30</t>
        </is>
      </c>
      <c r="Q713" t="inlineStr">
        <is>
          <t>17:00</t>
        </is>
      </c>
    </row>
    <row r="714">
      <c r="A714" t="inlineStr">
        <is>
          <t>Mibato John Clark</t>
        </is>
      </c>
      <c r="B714" t="inlineStr">
        <is>
          <t>YMHa003PH:YAMAHA WBS:Additional request</t>
        </is>
      </c>
      <c r="D714">
        <f>L714</f>
        <v/>
      </c>
      <c r="E714">
        <f>SUMIFS(J:J, G:G,             A714, H:H, B714, L:L, L714)</f>
        <v/>
      </c>
      <c r="F714" t="inlineStr">
        <is>
          <t>PH0029</t>
        </is>
      </c>
      <c r="G714" t="inlineStr">
        <is>
          <t>Mibato John Clark</t>
        </is>
      </c>
      <c r="H714" t="inlineStr">
        <is>
          <t>YMHa003PH:YAMAHA WBS:Additional request</t>
        </is>
      </c>
      <c r="I714" s="1" t="n">
        <v>45937</v>
      </c>
      <c r="J714" t="n">
        <v>3</v>
      </c>
      <c r="K714" t="inlineStr">
        <is>
          <t>95795</t>
        </is>
      </c>
      <c r="L714">
        <f>IFERROR(LEFT(K714,             FIND(",", K714) - 1), "-")</f>
        <v/>
      </c>
      <c r="M714">
        <f>IFERROR(MID(K714,             FIND(",", K714) + 1, LEN(K714) - FIND(",", K714)), K714)</f>
        <v/>
      </c>
      <c r="N714" t="n">
        <v>4</v>
      </c>
      <c r="P714" t="inlineStr">
        <is>
          <t>08:00</t>
        </is>
      </c>
      <c r="Q714" t="inlineStr">
        <is>
          <t>11:00</t>
        </is>
      </c>
    </row>
    <row r="715">
      <c r="A715" t="inlineStr">
        <is>
          <t>Mibato John Clark</t>
        </is>
      </c>
      <c r="B715" t="inlineStr">
        <is>
          <t>YMHa003PH:YAMAHA WBS:Additional request</t>
        </is>
      </c>
      <c r="D715">
        <f>L715</f>
        <v/>
      </c>
      <c r="E715">
        <f>SUMIFS(J:J, G:G,             A715, H:H, B715, L:L, L715)</f>
        <v/>
      </c>
      <c r="F715" t="inlineStr">
        <is>
          <t>PH0029</t>
        </is>
      </c>
      <c r="G715" t="inlineStr">
        <is>
          <t>Mibato John Clark</t>
        </is>
      </c>
      <c r="H715" t="inlineStr">
        <is>
          <t>YMHa003PH:YAMAHA WBS:Additional request</t>
        </is>
      </c>
      <c r="I715" s="1" t="n">
        <v>45937</v>
      </c>
      <c r="J715" t="n">
        <v>0.75</v>
      </c>
      <c r="K715" t="inlineStr">
        <is>
          <t>95795</t>
        </is>
      </c>
      <c r="L715">
        <f>IFERROR(LEFT(K715,             FIND(",", K715) - 1), "-")</f>
        <v/>
      </c>
      <c r="M715">
        <f>IFERROR(MID(K715,             FIND(",", K715) + 1, LEN(K715) - FIND(",", K715)), K715)</f>
        <v/>
      </c>
      <c r="N715" t="n">
        <v>4</v>
      </c>
      <c r="P715" t="inlineStr">
        <is>
          <t>12:00</t>
        </is>
      </c>
      <c r="Q715" t="inlineStr">
        <is>
          <t>12:45</t>
        </is>
      </c>
    </row>
    <row r="716">
      <c r="A716" t="inlineStr">
        <is>
          <t>Ong Jed</t>
        </is>
      </c>
      <c r="B716" t="inlineStr">
        <is>
          <t xml:space="preserve">ANAs001PH:ANASupport　　　</t>
        </is>
      </c>
      <c r="C716">
        <f>SUMIFS(J:J, G:G,             A716, H:H, B716)</f>
        <v/>
      </c>
      <c r="D716">
        <f>L716</f>
        <v/>
      </c>
      <c r="E716">
        <f>SUMIFS(J:J, G:G,             A716, H:H, B716, L:L, L716)</f>
        <v/>
      </c>
      <c r="F716" t="inlineStr">
        <is>
          <t>PH0011</t>
        </is>
      </c>
      <c r="G716" t="inlineStr">
        <is>
          <t>Ong Jed</t>
        </is>
      </c>
      <c r="H716" t="inlineStr">
        <is>
          <t xml:space="preserve">ANAs001PH:ANASupport　　　</t>
        </is>
      </c>
      <c r="I716" s="1" t="n">
        <v>45936</v>
      </c>
      <c r="J716" t="n">
        <v>5.75</v>
      </c>
      <c r="K716" t="inlineStr">
        <is>
          <t>Investigation on TR95782</t>
        </is>
      </c>
      <c r="L716">
        <f>IFERROR(LEFT(K716,             FIND(",", K716) - 1), "-")</f>
        <v/>
      </c>
      <c r="M716">
        <f>IFERROR(MID(K716,             FIND(",", K716) + 1, LEN(K716) - FIND(",", K716)), K716)</f>
        <v/>
      </c>
      <c r="N716" t="n">
        <v>4</v>
      </c>
      <c r="P716" t="inlineStr">
        <is>
          <t>12:00</t>
        </is>
      </c>
      <c r="Q716" t="inlineStr">
        <is>
          <t>17:45</t>
        </is>
      </c>
    </row>
    <row r="717">
      <c r="A717" t="inlineStr">
        <is>
          <t>Ong Jed</t>
        </is>
      </c>
      <c r="B717" t="inlineStr">
        <is>
          <t xml:space="preserve">ANAs001PH:ANASupport　　　</t>
        </is>
      </c>
      <c r="D717">
        <f>L717</f>
        <v/>
      </c>
      <c r="E717">
        <f>SUMIFS(J:J, G:G,             A717, H:H, B717, L:L, L717)</f>
        <v/>
      </c>
      <c r="F717" t="inlineStr">
        <is>
          <t>PH0011</t>
        </is>
      </c>
      <c r="G717" t="inlineStr">
        <is>
          <t>Ong Jed</t>
        </is>
      </c>
      <c r="H717" t="inlineStr">
        <is>
          <t xml:space="preserve">ANAs001PH:ANASupport　　　</t>
        </is>
      </c>
      <c r="I717" s="1" t="n">
        <v>45931</v>
      </c>
      <c r="J717" t="n">
        <v>0.75</v>
      </c>
      <c r="L717">
        <f>IFERROR(LEFT(K717,             FIND(",", K717) - 1), "-")</f>
        <v/>
      </c>
      <c r="M717">
        <f>IFERROR(MID(K717,             FIND(",", K717) + 1, LEN(K717) - FIND(",", K717)), K717)</f>
        <v/>
      </c>
      <c r="N717" t="n">
        <v>4</v>
      </c>
      <c r="P717" t="inlineStr">
        <is>
          <t>08:00</t>
        </is>
      </c>
      <c r="Q717" t="inlineStr">
        <is>
          <t>08:45</t>
        </is>
      </c>
    </row>
    <row r="718">
      <c r="A718" t="inlineStr">
        <is>
          <t>Ong Jed</t>
        </is>
      </c>
      <c r="B718" t="inlineStr">
        <is>
          <t xml:space="preserve">ANAs001PH:ANASupport　　　</t>
        </is>
      </c>
      <c r="D718">
        <f>L718</f>
        <v/>
      </c>
      <c r="E718">
        <f>SUMIFS(J:J, G:G,             A718, H:H, B718, L:L, L718)</f>
        <v/>
      </c>
      <c r="F718" t="inlineStr">
        <is>
          <t>PH0011</t>
        </is>
      </c>
      <c r="G718" t="inlineStr">
        <is>
          <t>Ong Jed</t>
        </is>
      </c>
      <c r="H718" t="inlineStr">
        <is>
          <t xml:space="preserve">ANAs001PH:ANASupport　　　</t>
        </is>
      </c>
      <c r="I718" s="1" t="n">
        <v>45931</v>
      </c>
      <c r="J718" t="n">
        <v>0.75</v>
      </c>
      <c r="L718">
        <f>IFERROR(LEFT(K718,             FIND(",", K718) - 1), "-")</f>
        <v/>
      </c>
      <c r="M718">
        <f>IFERROR(MID(K718,             FIND(",", K718) + 1, LEN(K718) - FIND(",", K718)), K718)</f>
        <v/>
      </c>
      <c r="N718" t="n">
        <v>4</v>
      </c>
      <c r="P718" t="inlineStr">
        <is>
          <t>15:00</t>
        </is>
      </c>
      <c r="Q718" t="inlineStr">
        <is>
          <t>15:45</t>
        </is>
      </c>
    </row>
    <row r="719">
      <c r="A719" t="inlineStr">
        <is>
          <t>Ong Jed</t>
        </is>
      </c>
      <c r="B719" t="inlineStr">
        <is>
          <t xml:space="preserve">ANAs001PH:ANASupport　　　</t>
        </is>
      </c>
      <c r="D719">
        <f>L719</f>
        <v/>
      </c>
      <c r="E719">
        <f>SUMIFS(J:J, G:G,             A719, H:H, B719, L:L, L719)</f>
        <v/>
      </c>
      <c r="F719" t="inlineStr">
        <is>
          <t>PH0011</t>
        </is>
      </c>
      <c r="G719" t="inlineStr">
        <is>
          <t>Ong Jed</t>
        </is>
      </c>
      <c r="H719" t="inlineStr">
        <is>
          <t xml:space="preserve">ANAs001PH:ANASupport　　　</t>
        </is>
      </c>
      <c r="I719" s="1" t="n">
        <v>45932</v>
      </c>
      <c r="J719" t="n">
        <v>3</v>
      </c>
      <c r="L719">
        <f>IFERROR(LEFT(K719,             FIND(",", K719) - 1), "-")</f>
        <v/>
      </c>
      <c r="M719">
        <f>IFERROR(MID(K719,             FIND(",", K719) + 1, LEN(K719) - FIND(",", K719)), K719)</f>
        <v/>
      </c>
      <c r="N719" t="n">
        <v>4</v>
      </c>
      <c r="P719" t="inlineStr">
        <is>
          <t>08:00</t>
        </is>
      </c>
      <c r="Q719" t="inlineStr">
        <is>
          <t>11:00</t>
        </is>
      </c>
    </row>
    <row r="720">
      <c r="A720" t="inlineStr">
        <is>
          <t>Ong Jed</t>
        </is>
      </c>
      <c r="B720" t="inlineStr">
        <is>
          <t xml:space="preserve">ANAs001PH:ANASupport　　　</t>
        </is>
      </c>
      <c r="D720">
        <f>L720</f>
        <v/>
      </c>
      <c r="E720">
        <f>SUMIFS(J:J, G:G,             A720, H:H, B720, L:L, L720)</f>
        <v/>
      </c>
      <c r="F720" t="inlineStr">
        <is>
          <t>PH0011</t>
        </is>
      </c>
      <c r="G720" t="inlineStr">
        <is>
          <t>Ong Jed</t>
        </is>
      </c>
      <c r="H720" t="inlineStr">
        <is>
          <t xml:space="preserve">ANAs001PH:ANASupport　　　</t>
        </is>
      </c>
      <c r="I720" s="1" t="n">
        <v>45936</v>
      </c>
      <c r="J720" t="n">
        <v>3</v>
      </c>
      <c r="L720">
        <f>IFERROR(LEFT(K720,             FIND(",", K720) - 1), "-")</f>
        <v/>
      </c>
      <c r="M720">
        <f>IFERROR(MID(K720,             FIND(",", K720) + 1, LEN(K720) - FIND(",", K720)), K720)</f>
        <v/>
      </c>
      <c r="N720" t="n">
        <v>4</v>
      </c>
      <c r="P720" t="inlineStr">
        <is>
          <t>08:00</t>
        </is>
      </c>
      <c r="Q720" t="inlineStr">
        <is>
          <t>11:00</t>
        </is>
      </c>
    </row>
    <row r="721">
      <c r="A721" t="inlineStr">
        <is>
          <t>Ong Jed</t>
        </is>
      </c>
      <c r="B721" t="inlineStr">
        <is>
          <t>CIAs001PH:CHEERY Support</t>
        </is>
      </c>
      <c r="C721">
        <f>SUMIFS(J:J, G:G,             A721, H:H, B721)</f>
        <v/>
      </c>
      <c r="D721">
        <f>L721</f>
        <v/>
      </c>
      <c r="E721">
        <f>SUMIFS(J:J, G:G,             A721, H:H, B721, L:L, L721)</f>
        <v/>
      </c>
      <c r="F721" t="inlineStr">
        <is>
          <t>PH0011</t>
        </is>
      </c>
      <c r="G721" t="inlineStr">
        <is>
          <t>Ong Jed</t>
        </is>
      </c>
      <c r="H721" t="inlineStr">
        <is>
          <t>CIAs001PH:CHEERY Support</t>
        </is>
      </c>
      <c r="I721" s="1" t="n">
        <v>45938</v>
      </c>
      <c r="J721" t="n">
        <v>1.25</v>
      </c>
      <c r="L721">
        <f>IFERROR(LEFT(K721,             FIND(",", K721) - 1), "-")</f>
        <v/>
      </c>
      <c r="M721">
        <f>IFERROR(MID(K721,             FIND(",", K721) + 1, LEN(K721) - FIND(",", K721)), K721)</f>
        <v/>
      </c>
      <c r="N721" t="n">
        <v>2</v>
      </c>
      <c r="P721" t="inlineStr">
        <is>
          <t>15:45</t>
        </is>
      </c>
      <c r="Q721" t="inlineStr">
        <is>
          <t>17:00</t>
        </is>
      </c>
    </row>
    <row r="722">
      <c r="A722" t="inlineStr">
        <is>
          <t>Ong Jed</t>
        </is>
      </c>
      <c r="B722" t="inlineStr">
        <is>
          <t>CIAs001PH:CHEERY Support</t>
        </is>
      </c>
      <c r="D722">
        <f>L722</f>
        <v/>
      </c>
      <c r="E722">
        <f>SUMIFS(J:J, G:G,             A722, H:H, B722, L:L, L722)</f>
        <v/>
      </c>
      <c r="F722" t="inlineStr">
        <is>
          <t>PH0011</t>
        </is>
      </c>
      <c r="G722" t="inlineStr">
        <is>
          <t>Ong Jed</t>
        </is>
      </c>
      <c r="H722" t="inlineStr">
        <is>
          <t>CIAs001PH:CHEERY Support</t>
        </is>
      </c>
      <c r="I722" s="1" t="n">
        <v>45939</v>
      </c>
      <c r="J722" t="n">
        <v>0.25</v>
      </c>
      <c r="L722">
        <f>IFERROR(LEFT(K722,             FIND(",", K722) - 1), "-")</f>
        <v/>
      </c>
      <c r="M722">
        <f>IFERROR(MID(K722,             FIND(",", K722) + 1, LEN(K722) - FIND(",", K722)), K722)</f>
        <v/>
      </c>
      <c r="N722" t="n">
        <v>8</v>
      </c>
      <c r="P722" t="inlineStr">
        <is>
          <t>08:00</t>
        </is>
      </c>
      <c r="Q722" t="inlineStr">
        <is>
          <t>08:15</t>
        </is>
      </c>
    </row>
    <row r="723">
      <c r="A723" t="inlineStr">
        <is>
          <t>Ong Jed</t>
        </is>
      </c>
      <c r="B723" t="inlineStr">
        <is>
          <t>CIAs001PH:CHEERY Support</t>
        </is>
      </c>
      <c r="D723">
        <f>L723</f>
        <v/>
      </c>
      <c r="E723">
        <f>SUMIFS(J:J, G:G,             A723, H:H, B723, L:L, L723)</f>
        <v/>
      </c>
      <c r="F723" t="inlineStr">
        <is>
          <t>PH0011</t>
        </is>
      </c>
      <c r="G723" t="inlineStr">
        <is>
          <t>Ong Jed</t>
        </is>
      </c>
      <c r="H723" t="inlineStr">
        <is>
          <t>CIAs001PH:CHEERY Support</t>
        </is>
      </c>
      <c r="I723" s="1" t="n">
        <v>45940</v>
      </c>
      <c r="J723" t="n">
        <v>1.5</v>
      </c>
      <c r="L723">
        <f>IFERROR(LEFT(K723,             FIND(",", K723) - 1), "-")</f>
        <v/>
      </c>
      <c r="M723">
        <f>IFERROR(MID(K723,             FIND(",", K723) + 1, LEN(K723) - FIND(",", K723)), K723)</f>
        <v/>
      </c>
      <c r="N723" t="n">
        <v>2</v>
      </c>
      <c r="P723" t="inlineStr">
        <is>
          <t>08:00</t>
        </is>
      </c>
      <c r="Q723" t="inlineStr">
        <is>
          <t>09:30</t>
        </is>
      </c>
    </row>
    <row r="724">
      <c r="A724" t="inlineStr">
        <is>
          <t>Ong Jed</t>
        </is>
      </c>
      <c r="B724" t="inlineStr">
        <is>
          <t>CIAs001PH:CHEERY Support</t>
        </is>
      </c>
      <c r="D724">
        <f>L724</f>
        <v/>
      </c>
      <c r="E724">
        <f>SUMIFS(J:J, G:G,             A724, H:H, B724, L:L, L724)</f>
        <v/>
      </c>
      <c r="F724" t="inlineStr">
        <is>
          <t>PH0011</t>
        </is>
      </c>
      <c r="G724" t="inlineStr">
        <is>
          <t>Ong Jed</t>
        </is>
      </c>
      <c r="H724" t="inlineStr">
        <is>
          <t>CIAs001PH:CHEERY Support</t>
        </is>
      </c>
      <c r="I724" s="1" t="n">
        <v>45944</v>
      </c>
      <c r="J724" t="n">
        <v>0.5</v>
      </c>
      <c r="L724">
        <f>IFERROR(LEFT(K724,             FIND(",", K724) - 1), "-")</f>
        <v/>
      </c>
      <c r="M724">
        <f>IFERROR(MID(K724,             FIND(",", K724) + 1, LEN(K724) - FIND(",", K724)), K724)</f>
        <v/>
      </c>
      <c r="N724" t="n">
        <v>8</v>
      </c>
      <c r="P724" t="inlineStr">
        <is>
          <t>12:00</t>
        </is>
      </c>
      <c r="Q724" t="inlineStr">
        <is>
          <t>12:30</t>
        </is>
      </c>
    </row>
    <row r="725">
      <c r="A725" t="inlineStr">
        <is>
          <t>Ong Jed</t>
        </is>
      </c>
      <c r="B725" t="inlineStr">
        <is>
          <t>SMMs001PH:SMM Support</t>
        </is>
      </c>
      <c r="C725">
        <f>SUMIFS(J:J, G:G,             A725, H:H, B725)</f>
        <v/>
      </c>
      <c r="D725">
        <f>L725</f>
        <v/>
      </c>
      <c r="E725">
        <f>SUMIFS(J:J, G:G,             A725, H:H, B725, L:L, L725)</f>
        <v/>
      </c>
      <c r="F725" t="inlineStr">
        <is>
          <t>PH0011</t>
        </is>
      </c>
      <c r="G725" t="inlineStr">
        <is>
          <t>Ong Jed</t>
        </is>
      </c>
      <c r="H725" t="inlineStr">
        <is>
          <t>SMMs001PH:SMM Support</t>
        </is>
      </c>
      <c r="I725" s="1" t="n">
        <v>45939</v>
      </c>
      <c r="J725" t="n">
        <v>2</v>
      </c>
      <c r="L725">
        <f>IFERROR(LEFT(K725,             FIND(",", K725) - 1), "-")</f>
        <v/>
      </c>
      <c r="M725">
        <f>IFERROR(MID(K725,             FIND(",", K725) + 1, LEN(K725) - FIND(",", K725)), K725)</f>
        <v/>
      </c>
      <c r="N725" t="n">
        <v>4</v>
      </c>
      <c r="P725" t="inlineStr">
        <is>
          <t>08:15</t>
        </is>
      </c>
      <c r="Q725" t="inlineStr">
        <is>
          <t>10:15</t>
        </is>
      </c>
    </row>
    <row r="726">
      <c r="A726" t="inlineStr">
        <is>
          <t>Ong Jed</t>
        </is>
      </c>
      <c r="B726" t="inlineStr">
        <is>
          <t>SMMs001PH:SMM Support</t>
        </is>
      </c>
      <c r="D726">
        <f>L726</f>
        <v/>
      </c>
      <c r="E726">
        <f>SUMIFS(J:J, G:G,             A726, H:H, B726, L:L, L726)</f>
        <v/>
      </c>
      <c r="F726" t="inlineStr">
        <is>
          <t>PH0011</t>
        </is>
      </c>
      <c r="G726" t="inlineStr">
        <is>
          <t>Ong Jed</t>
        </is>
      </c>
      <c r="H726" t="inlineStr">
        <is>
          <t>SMMs001PH:SMM Support</t>
        </is>
      </c>
      <c r="I726" s="1" t="n">
        <v>45939</v>
      </c>
      <c r="J726" t="n">
        <v>2</v>
      </c>
      <c r="L726">
        <f>IFERROR(LEFT(K726,             FIND(",", K726) - 1), "-")</f>
        <v/>
      </c>
      <c r="M726">
        <f>IFERROR(MID(K726,             FIND(",", K726) + 1, LEN(K726) - FIND(",", K726)), K726)</f>
        <v/>
      </c>
      <c r="N726" t="n">
        <v>4</v>
      </c>
      <c r="P726" t="inlineStr">
        <is>
          <t>12:00</t>
        </is>
      </c>
      <c r="Q726" t="inlineStr">
        <is>
          <t>14:00</t>
        </is>
      </c>
    </row>
    <row r="727">
      <c r="A727" t="inlineStr">
        <is>
          <t>Ong Jed</t>
        </is>
      </c>
      <c r="B727" t="inlineStr">
        <is>
          <t>SPHS001PH:Zoophonics support</t>
        </is>
      </c>
      <c r="C727">
        <f>SUMIFS(J:J, G:G,             A727, H:H, B727)</f>
        <v/>
      </c>
      <c r="D727">
        <f>L727</f>
        <v/>
      </c>
      <c r="E727">
        <f>SUMIFS(J:J, G:G,             A727, H:H, B727, L:L, L727)</f>
        <v/>
      </c>
      <c r="F727" t="inlineStr">
        <is>
          <t>PH0011</t>
        </is>
      </c>
      <c r="G727" t="inlineStr">
        <is>
          <t>Ong Jed</t>
        </is>
      </c>
      <c r="H727" t="inlineStr">
        <is>
          <t>SPHS001PH:Zoophonics support</t>
        </is>
      </c>
      <c r="I727" s="1" t="n">
        <v>45952</v>
      </c>
      <c r="J727" t="n">
        <v>0.75</v>
      </c>
      <c r="L727">
        <f>IFERROR(LEFT(K727,             FIND(",", K727) - 1), "-")</f>
        <v/>
      </c>
      <c r="M727">
        <f>IFERROR(MID(K727,             FIND(",", K727) + 1, LEN(K727) - FIND(",", K727)), K727)</f>
        <v/>
      </c>
      <c r="N727" t="n">
        <v>4</v>
      </c>
      <c r="P727" t="inlineStr">
        <is>
          <t>08:00</t>
        </is>
      </c>
      <c r="Q727" t="inlineStr">
        <is>
          <t>08:45</t>
        </is>
      </c>
    </row>
    <row r="728">
      <c r="A728" t="inlineStr">
        <is>
          <t>Ong Jed</t>
        </is>
      </c>
      <c r="B728" t="inlineStr">
        <is>
          <t>SPHS001PH:Zoophonics support</t>
        </is>
      </c>
      <c r="D728">
        <f>L728</f>
        <v/>
      </c>
      <c r="E728">
        <f>SUMIFS(J:J, G:G,             A728, H:H, B728, L:L, L728)</f>
        <v/>
      </c>
      <c r="F728" t="inlineStr">
        <is>
          <t>PH0011</t>
        </is>
      </c>
      <c r="G728" t="inlineStr">
        <is>
          <t>Ong Jed</t>
        </is>
      </c>
      <c r="H728" t="inlineStr">
        <is>
          <t>SPHS001PH:Zoophonics support</t>
        </is>
      </c>
      <c r="I728" s="1" t="n">
        <v>45953</v>
      </c>
      <c r="J728" t="n">
        <v>1</v>
      </c>
      <c r="L728">
        <f>IFERROR(LEFT(K728,             FIND(",", K728) - 1), "-")</f>
        <v/>
      </c>
      <c r="M728">
        <f>IFERROR(MID(K728,             FIND(",", K728) + 1, LEN(K728) - FIND(",", K728)), K728)</f>
        <v/>
      </c>
      <c r="N728" t="n">
        <v>4</v>
      </c>
      <c r="P728" t="inlineStr">
        <is>
          <t>08:15</t>
        </is>
      </c>
      <c r="Q728" t="inlineStr">
        <is>
          <t>09:15</t>
        </is>
      </c>
    </row>
    <row r="729">
      <c r="A729" t="inlineStr">
        <is>
          <t>Ong Jed</t>
        </is>
      </c>
      <c r="B729" t="inlineStr">
        <is>
          <t>TCNz001PH:Internal operations</t>
        </is>
      </c>
      <c r="C729">
        <f>SUMIFS(J:J, G:G,             A729, H:H, B729)</f>
        <v/>
      </c>
      <c r="D729">
        <f>L729</f>
        <v/>
      </c>
      <c r="E729">
        <f>SUMIFS(J:J, G:G,             A729, H:H, B729, L:L, L729)</f>
        <v/>
      </c>
      <c r="F729" t="inlineStr">
        <is>
          <t>PH0011</t>
        </is>
      </c>
      <c r="G729" t="inlineStr">
        <is>
          <t>Ong Jed</t>
        </is>
      </c>
      <c r="H729" t="inlineStr">
        <is>
          <t>TCNz001PH:Internal operations</t>
        </is>
      </c>
      <c r="I729" s="1" t="n">
        <v>45937</v>
      </c>
      <c r="J729" t="n">
        <v>3.25</v>
      </c>
      <c r="K729" t="inlineStr">
        <is>
          <t>Code Learning</t>
        </is>
      </c>
      <c r="L729">
        <f>IFERROR(LEFT(K729,             FIND(",", K729) - 1), "-")</f>
        <v/>
      </c>
      <c r="M729">
        <f>IFERROR(MID(K729,             FIND(",", K729) + 1, LEN(K729) - FIND(",", K729)), K729)</f>
        <v/>
      </c>
      <c r="N729" t="n">
        <v>5</v>
      </c>
      <c r="P729" t="inlineStr">
        <is>
          <t>12:45</t>
        </is>
      </c>
      <c r="Q729" t="inlineStr">
        <is>
          <t>16:00</t>
        </is>
      </c>
    </row>
    <row r="730">
      <c r="A730" t="inlineStr">
        <is>
          <t>Ong Jed</t>
        </is>
      </c>
      <c r="B730" t="inlineStr">
        <is>
          <t>TCNz001PH:Internal operations</t>
        </is>
      </c>
      <c r="D730">
        <f>L730</f>
        <v/>
      </c>
      <c r="E730">
        <f>SUMIFS(J:J, G:G,             A730, H:H, B730, L:L, L730)</f>
        <v/>
      </c>
      <c r="F730" t="inlineStr">
        <is>
          <t>PH0011</t>
        </is>
      </c>
      <c r="G730" t="inlineStr">
        <is>
          <t>Ong Jed</t>
        </is>
      </c>
      <c r="H730" t="inlineStr">
        <is>
          <t>TCNz001PH:Internal operations</t>
        </is>
      </c>
      <c r="I730" s="1" t="n">
        <v>45938</v>
      </c>
      <c r="J730" t="n">
        <v>3.25</v>
      </c>
      <c r="K730" t="inlineStr">
        <is>
          <t>Code Learning</t>
        </is>
      </c>
      <c r="L730">
        <f>IFERROR(LEFT(K730,             FIND(",", K730) - 1), "-")</f>
        <v/>
      </c>
      <c r="M730">
        <f>IFERROR(MID(K730,             FIND(",", K730) + 1, LEN(K730) - FIND(",", K730)), K730)</f>
        <v/>
      </c>
      <c r="N730" t="n">
        <v>5</v>
      </c>
      <c r="P730" t="inlineStr">
        <is>
          <t>12:30</t>
        </is>
      </c>
      <c r="Q730" t="inlineStr">
        <is>
          <t>15:45</t>
        </is>
      </c>
    </row>
    <row r="731">
      <c r="A731" t="inlineStr">
        <is>
          <t>Ong Jed</t>
        </is>
      </c>
      <c r="B731" t="inlineStr">
        <is>
          <t>TCNz001PH:Internal operations</t>
        </is>
      </c>
      <c r="D731">
        <f>L731</f>
        <v/>
      </c>
      <c r="E731">
        <f>SUMIFS(J:J, G:G,             A731, H:H, B731, L:L, L731)</f>
        <v/>
      </c>
      <c r="F731" t="inlineStr">
        <is>
          <t>PH0011</t>
        </is>
      </c>
      <c r="G731" t="inlineStr">
        <is>
          <t>Ong Jed</t>
        </is>
      </c>
      <c r="H731" t="inlineStr">
        <is>
          <t>TCNz001PH:Internal operations</t>
        </is>
      </c>
      <c r="I731" s="1" t="n">
        <v>45939</v>
      </c>
      <c r="J731" t="n">
        <v>3</v>
      </c>
      <c r="K731" t="inlineStr">
        <is>
          <t>Code Learning</t>
        </is>
      </c>
      <c r="L731">
        <f>IFERROR(LEFT(K731,             FIND(",", K731) - 1), "-")</f>
        <v/>
      </c>
      <c r="M731">
        <f>IFERROR(MID(K731,             FIND(",", K731) + 1, LEN(K731) - FIND(",", K731)), K731)</f>
        <v/>
      </c>
      <c r="N731" t="n">
        <v>5</v>
      </c>
      <c r="P731" t="inlineStr">
        <is>
          <t>14:00</t>
        </is>
      </c>
      <c r="Q731" t="inlineStr">
        <is>
          <t>17:00</t>
        </is>
      </c>
    </row>
    <row r="732">
      <c r="A732" t="inlineStr">
        <is>
          <t>Ong Jed</t>
        </is>
      </c>
      <c r="B732" t="inlineStr">
        <is>
          <t>TCNz001PH:Internal operations</t>
        </is>
      </c>
      <c r="D732">
        <f>L732</f>
        <v/>
      </c>
      <c r="E732">
        <f>SUMIFS(J:J, G:G,             A732, H:H, B732, L:L, L732)</f>
        <v/>
      </c>
      <c r="F732" t="inlineStr">
        <is>
          <t>PH0011</t>
        </is>
      </c>
      <c r="G732" t="inlineStr">
        <is>
          <t>Ong Jed</t>
        </is>
      </c>
      <c r="H732" t="inlineStr">
        <is>
          <t>TCNz001PH:Internal operations</t>
        </is>
      </c>
      <c r="I732" s="1" t="n">
        <v>45940</v>
      </c>
      <c r="J732" t="n">
        <v>2.5</v>
      </c>
      <c r="K732" t="inlineStr">
        <is>
          <t>Code Learning</t>
        </is>
      </c>
      <c r="L732">
        <f>IFERROR(LEFT(K732,             FIND(",", K732) - 1), "-")</f>
        <v/>
      </c>
      <c r="M732">
        <f>IFERROR(MID(K732,             FIND(",", K732) + 1, LEN(K732) - FIND(",", K732)), K732)</f>
        <v/>
      </c>
      <c r="N732" t="n">
        <v>5</v>
      </c>
      <c r="P732" t="inlineStr">
        <is>
          <t>14:30</t>
        </is>
      </c>
      <c r="Q732" t="inlineStr">
        <is>
          <t>17:00</t>
        </is>
      </c>
    </row>
    <row r="733">
      <c r="A733" t="inlineStr">
        <is>
          <t>Ong Jed</t>
        </is>
      </c>
      <c r="B733" t="inlineStr">
        <is>
          <t>TCNz001PH:Internal operations</t>
        </is>
      </c>
      <c r="D733">
        <f>L733</f>
        <v/>
      </c>
      <c r="E733">
        <f>SUMIFS(J:J, G:G,             A733, H:H, B733, L:L, L733)</f>
        <v/>
      </c>
      <c r="F733" t="inlineStr">
        <is>
          <t>PH0011</t>
        </is>
      </c>
      <c r="G733" t="inlineStr">
        <is>
          <t>Ong Jed</t>
        </is>
      </c>
      <c r="H733" t="inlineStr">
        <is>
          <t>TCNz001PH:Internal operations</t>
        </is>
      </c>
      <c r="I733" s="1" t="n">
        <v>45931</v>
      </c>
      <c r="J733" t="n">
        <v>2.25</v>
      </c>
      <c r="K733" t="inlineStr">
        <is>
          <t>Code Review</t>
        </is>
      </c>
      <c r="L733">
        <f>IFERROR(LEFT(K733,             FIND(",", K733) - 1), "-")</f>
        <v/>
      </c>
      <c r="M733">
        <f>IFERROR(MID(K733,             FIND(",", K733) + 1, LEN(K733) - FIND(",", K733)), K733)</f>
        <v/>
      </c>
      <c r="N733" t="n">
        <v>5</v>
      </c>
      <c r="P733" t="inlineStr">
        <is>
          <t>08:45</t>
        </is>
      </c>
      <c r="Q733" t="inlineStr">
        <is>
          <t>11:00</t>
        </is>
      </c>
    </row>
    <row r="734">
      <c r="A734" t="inlineStr">
        <is>
          <t>Ong Jed</t>
        </is>
      </c>
      <c r="B734" t="inlineStr">
        <is>
          <t>TCNz001PH:Internal operations</t>
        </is>
      </c>
      <c r="D734">
        <f>L734</f>
        <v/>
      </c>
      <c r="E734">
        <f>SUMIFS(J:J, G:G,             A734, H:H, B734, L:L, L734)</f>
        <v/>
      </c>
      <c r="F734" t="inlineStr">
        <is>
          <t>PH0011</t>
        </is>
      </c>
      <c r="G734" t="inlineStr">
        <is>
          <t>Ong Jed</t>
        </is>
      </c>
      <c r="H734" t="inlineStr">
        <is>
          <t>TCNz001PH:Internal operations</t>
        </is>
      </c>
      <c r="I734" s="1" t="n">
        <v>45931</v>
      </c>
      <c r="J734" t="n">
        <v>2.25</v>
      </c>
      <c r="K734" t="inlineStr">
        <is>
          <t>Code Review</t>
        </is>
      </c>
      <c r="L734">
        <f>IFERROR(LEFT(K734,             FIND(",", K734) - 1), "-")</f>
        <v/>
      </c>
      <c r="M734">
        <f>IFERROR(MID(K734,             FIND(",", K734) + 1, LEN(K734) - FIND(",", K734)), K734)</f>
        <v/>
      </c>
      <c r="N734" t="n">
        <v>5</v>
      </c>
      <c r="P734" t="inlineStr">
        <is>
          <t>12:45</t>
        </is>
      </c>
      <c r="Q734" t="inlineStr">
        <is>
          <t>15:00</t>
        </is>
      </c>
    </row>
    <row r="735">
      <c r="A735" t="inlineStr">
        <is>
          <t>Ong Jed</t>
        </is>
      </c>
      <c r="B735" t="inlineStr">
        <is>
          <t>TCNz001PH:Internal operations</t>
        </is>
      </c>
      <c r="D735">
        <f>L735</f>
        <v/>
      </c>
      <c r="E735">
        <f>SUMIFS(J:J, G:G,             A735, H:H, B735, L:L, L735)</f>
        <v/>
      </c>
      <c r="F735" t="inlineStr">
        <is>
          <t>PH0011</t>
        </is>
      </c>
      <c r="G735" t="inlineStr">
        <is>
          <t>Ong Jed</t>
        </is>
      </c>
      <c r="H735" t="inlineStr">
        <is>
          <t>TCNz001PH:Internal operations</t>
        </is>
      </c>
      <c r="I735" s="1" t="n">
        <v>45932</v>
      </c>
      <c r="J735" t="n">
        <v>3.25</v>
      </c>
      <c r="K735" t="inlineStr">
        <is>
          <t>Code Review</t>
        </is>
      </c>
      <c r="L735">
        <f>IFERROR(LEFT(K735,             FIND(",", K735) - 1), "-")</f>
        <v/>
      </c>
      <c r="M735">
        <f>IFERROR(MID(K735,             FIND(",", K735) + 1, LEN(K735) - FIND(",", K735)), K735)</f>
        <v/>
      </c>
      <c r="N735" t="n">
        <v>5</v>
      </c>
      <c r="P735" t="inlineStr">
        <is>
          <t>12:00</t>
        </is>
      </c>
      <c r="Q735" t="inlineStr">
        <is>
          <t>15:15</t>
        </is>
      </c>
    </row>
    <row r="736">
      <c r="A736" t="inlineStr">
        <is>
          <t>Ong Jed</t>
        </is>
      </c>
      <c r="B736" t="inlineStr">
        <is>
          <t>TCNz001PH:Internal operations</t>
        </is>
      </c>
      <c r="D736">
        <f>L736</f>
        <v/>
      </c>
      <c r="E736">
        <f>SUMIFS(J:J, G:G,             A736, H:H, B736, L:L, L736)</f>
        <v/>
      </c>
      <c r="F736" t="inlineStr">
        <is>
          <t>PH0011</t>
        </is>
      </c>
      <c r="G736" t="inlineStr">
        <is>
          <t>Ong Jed</t>
        </is>
      </c>
      <c r="H736" t="inlineStr">
        <is>
          <t>TCNz001PH:Internal operations</t>
        </is>
      </c>
      <c r="I736" s="1" t="n">
        <v>45932</v>
      </c>
      <c r="J736" t="n">
        <v>1</v>
      </c>
      <c r="K736" t="inlineStr">
        <is>
          <t>Code Review</t>
        </is>
      </c>
      <c r="L736">
        <f>IFERROR(LEFT(K736,             FIND(",", K736) - 1), "-")</f>
        <v/>
      </c>
      <c r="M736">
        <f>IFERROR(MID(K736,             FIND(",", K736) + 1, LEN(K736) - FIND(",", K736)), K736)</f>
        <v/>
      </c>
      <c r="N736" t="n">
        <v>5</v>
      </c>
      <c r="P736" t="inlineStr">
        <is>
          <t>16:00</t>
        </is>
      </c>
      <c r="Q736" t="inlineStr">
        <is>
          <t>17:00</t>
        </is>
      </c>
    </row>
    <row r="737">
      <c r="A737" t="inlineStr">
        <is>
          <t>Ong Jed</t>
        </is>
      </c>
      <c r="B737" t="inlineStr">
        <is>
          <t>TCNz001PH:Internal operations</t>
        </is>
      </c>
      <c r="D737">
        <f>L737</f>
        <v/>
      </c>
      <c r="E737">
        <f>SUMIFS(J:J, G:G,             A737, H:H, B737, L:L, L737)</f>
        <v/>
      </c>
      <c r="F737" t="inlineStr">
        <is>
          <t>PH0011</t>
        </is>
      </c>
      <c r="G737" t="inlineStr">
        <is>
          <t>Ong Jed</t>
        </is>
      </c>
      <c r="H737" t="inlineStr">
        <is>
          <t>TCNz001PH:Internal operations</t>
        </is>
      </c>
      <c r="I737" s="1" t="n">
        <v>45933</v>
      </c>
      <c r="J737" t="n">
        <v>3</v>
      </c>
      <c r="K737" t="inlineStr">
        <is>
          <t>Code Review</t>
        </is>
      </c>
      <c r="L737">
        <f>IFERROR(LEFT(K737,             FIND(",", K737) - 1), "-")</f>
        <v/>
      </c>
      <c r="M737">
        <f>IFERROR(MID(K737,             FIND(",", K737) + 1, LEN(K737) - FIND(",", K737)), K737)</f>
        <v/>
      </c>
      <c r="N737" t="n">
        <v>5</v>
      </c>
      <c r="P737" t="inlineStr">
        <is>
          <t>08:00</t>
        </is>
      </c>
      <c r="Q737" t="inlineStr">
        <is>
          <t>11:00</t>
        </is>
      </c>
    </row>
    <row r="738">
      <c r="A738" t="inlineStr">
        <is>
          <t>Ong Jed</t>
        </is>
      </c>
      <c r="B738" t="inlineStr">
        <is>
          <t>TCNz001PH:Internal operations</t>
        </is>
      </c>
      <c r="D738">
        <f>L738</f>
        <v/>
      </c>
      <c r="E738">
        <f>SUMIFS(J:J, G:G,             A738, H:H, B738, L:L, L738)</f>
        <v/>
      </c>
      <c r="F738" t="inlineStr">
        <is>
          <t>PH0011</t>
        </is>
      </c>
      <c r="G738" t="inlineStr">
        <is>
          <t>Ong Jed</t>
        </is>
      </c>
      <c r="H738" t="inlineStr">
        <is>
          <t>TCNz001PH:Internal operations</t>
        </is>
      </c>
      <c r="I738" s="1" t="n">
        <v>45933</v>
      </c>
      <c r="J738" t="n">
        <v>3</v>
      </c>
      <c r="K738" t="inlineStr">
        <is>
          <t>Code Review</t>
        </is>
      </c>
      <c r="L738">
        <f>IFERROR(LEFT(K738,             FIND(",", K738) - 1), "-")</f>
        <v/>
      </c>
      <c r="M738">
        <f>IFERROR(MID(K738,             FIND(",", K738) + 1, LEN(K738) - FIND(",", K738)), K738)</f>
        <v/>
      </c>
      <c r="N738" t="n">
        <v>5</v>
      </c>
      <c r="P738" t="inlineStr">
        <is>
          <t>12:00</t>
        </is>
      </c>
      <c r="Q738" t="inlineStr">
        <is>
          <t>15:00</t>
        </is>
      </c>
    </row>
    <row r="739">
      <c r="A739" t="inlineStr">
        <is>
          <t>Ong Jed</t>
        </is>
      </c>
      <c r="B739" t="inlineStr">
        <is>
          <t>TCNz001PH:Internal operations</t>
        </is>
      </c>
      <c r="D739">
        <f>L739</f>
        <v/>
      </c>
      <c r="E739">
        <f>SUMIFS(J:J, G:G,             A739, H:H, B739, L:L, L739)</f>
        <v/>
      </c>
      <c r="F739" t="inlineStr">
        <is>
          <t>PH0011</t>
        </is>
      </c>
      <c r="G739" t="inlineStr">
        <is>
          <t>Ong Jed</t>
        </is>
      </c>
      <c r="H739" t="inlineStr">
        <is>
          <t>TCNz001PH:Internal operations</t>
        </is>
      </c>
      <c r="I739" s="1" t="n">
        <v>45933</v>
      </c>
      <c r="J739" t="n">
        <v>1.5</v>
      </c>
      <c r="K739" t="inlineStr">
        <is>
          <t>Code Review</t>
        </is>
      </c>
      <c r="L739">
        <f>IFERROR(LEFT(K739,             FIND(",", K739) - 1), "-")</f>
        <v/>
      </c>
      <c r="M739">
        <f>IFERROR(MID(K739,             FIND(",", K739) + 1, LEN(K739) - FIND(",", K739)), K739)</f>
        <v/>
      </c>
      <c r="N739" t="n">
        <v>5</v>
      </c>
      <c r="P739" t="inlineStr">
        <is>
          <t>15:45</t>
        </is>
      </c>
      <c r="Q739" t="inlineStr">
        <is>
          <t>17:15</t>
        </is>
      </c>
    </row>
    <row r="740">
      <c r="A740" t="inlineStr">
        <is>
          <t>Ong Jed</t>
        </is>
      </c>
      <c r="B740" t="inlineStr">
        <is>
          <t>TCNz001PH:Internal operations</t>
        </is>
      </c>
      <c r="D740">
        <f>L740</f>
        <v/>
      </c>
      <c r="E740">
        <f>SUMIFS(J:J, G:G,             A740, H:H, B740, L:L, L740)</f>
        <v/>
      </c>
      <c r="F740" t="inlineStr">
        <is>
          <t>PH0011</t>
        </is>
      </c>
      <c r="G740" t="inlineStr">
        <is>
          <t>Ong Jed</t>
        </is>
      </c>
      <c r="H740" t="inlineStr">
        <is>
          <t>TCNz001PH:Internal operations</t>
        </is>
      </c>
      <c r="I740" s="1" t="n">
        <v>45943</v>
      </c>
      <c r="J740" t="n">
        <v>3</v>
      </c>
      <c r="K740" t="inlineStr">
        <is>
          <t>Code Review</t>
        </is>
      </c>
      <c r="L740">
        <f>IFERROR(LEFT(K740,             FIND(",", K740) - 1), "-")</f>
        <v/>
      </c>
      <c r="M740">
        <f>IFERROR(MID(K740,             FIND(",", K740) + 1, LEN(K740) - FIND(",", K740)), K740)</f>
        <v/>
      </c>
      <c r="N740" t="n">
        <v>5</v>
      </c>
      <c r="P740" t="inlineStr">
        <is>
          <t>08:00</t>
        </is>
      </c>
      <c r="Q740" t="inlineStr">
        <is>
          <t>11:00</t>
        </is>
      </c>
    </row>
    <row r="741">
      <c r="A741" t="inlineStr">
        <is>
          <t>Ong Jed</t>
        </is>
      </c>
      <c r="B741" t="inlineStr">
        <is>
          <t>TCNz001PH:Internal operations</t>
        </is>
      </c>
      <c r="D741">
        <f>L741</f>
        <v/>
      </c>
      <c r="E741">
        <f>SUMIFS(J:J, G:G,             A741, H:H, B741, L:L, L741)</f>
        <v/>
      </c>
      <c r="F741" t="inlineStr">
        <is>
          <t>PH0011</t>
        </is>
      </c>
      <c r="G741" t="inlineStr">
        <is>
          <t>Ong Jed</t>
        </is>
      </c>
      <c r="H741" t="inlineStr">
        <is>
          <t>TCNz001PH:Internal operations</t>
        </is>
      </c>
      <c r="I741" s="1" t="n">
        <v>45943</v>
      </c>
      <c r="J741" t="n">
        <v>3</v>
      </c>
      <c r="K741" t="inlineStr">
        <is>
          <t>Code Review</t>
        </is>
      </c>
      <c r="L741">
        <f>IFERROR(LEFT(K741,             FIND(",", K741) - 1), "-")</f>
        <v/>
      </c>
      <c r="M741">
        <f>IFERROR(MID(K741,             FIND(",", K741) + 1, LEN(K741) - FIND(",", K741)), K741)</f>
        <v/>
      </c>
      <c r="N741" t="n">
        <v>5</v>
      </c>
      <c r="P741" t="inlineStr">
        <is>
          <t>13:00</t>
        </is>
      </c>
      <c r="Q741" t="inlineStr">
        <is>
          <t>16:00</t>
        </is>
      </c>
    </row>
    <row r="742">
      <c r="A742" t="inlineStr">
        <is>
          <t>Ong Jed</t>
        </is>
      </c>
      <c r="B742" t="inlineStr">
        <is>
          <t>TCNz001PH:Internal operations</t>
        </is>
      </c>
      <c r="D742">
        <f>L742</f>
        <v/>
      </c>
      <c r="E742">
        <f>SUMIFS(J:J, G:G,             A742, H:H, B742, L:L, L742)</f>
        <v/>
      </c>
      <c r="F742" t="inlineStr">
        <is>
          <t>PH0011</t>
        </is>
      </c>
      <c r="G742" t="inlineStr">
        <is>
          <t>Ong Jed</t>
        </is>
      </c>
      <c r="H742" t="inlineStr">
        <is>
          <t>TCNz001PH:Internal operations</t>
        </is>
      </c>
      <c r="I742" s="1" t="n">
        <v>45944</v>
      </c>
      <c r="J742" t="n">
        <v>3</v>
      </c>
      <c r="K742" t="inlineStr">
        <is>
          <t>Code Review</t>
        </is>
      </c>
      <c r="L742">
        <f>IFERROR(LEFT(K742,             FIND(",", K742) - 1), "-")</f>
        <v/>
      </c>
      <c r="M742">
        <f>IFERROR(MID(K742,             FIND(",", K742) + 1, LEN(K742) - FIND(",", K742)), K742)</f>
        <v/>
      </c>
      <c r="N742" t="n">
        <v>5</v>
      </c>
      <c r="P742" t="inlineStr">
        <is>
          <t>08:00</t>
        </is>
      </c>
      <c r="Q742" t="inlineStr">
        <is>
          <t>11:00</t>
        </is>
      </c>
    </row>
    <row r="743">
      <c r="A743" t="inlineStr">
        <is>
          <t>Ong Jed</t>
        </is>
      </c>
      <c r="B743" t="inlineStr">
        <is>
          <t>TCNz001PH:Internal operations</t>
        </is>
      </c>
      <c r="D743">
        <f>L743</f>
        <v/>
      </c>
      <c r="E743">
        <f>SUMIFS(J:J, G:G,             A743, H:H, B743, L:L, L743)</f>
        <v/>
      </c>
      <c r="F743" t="inlineStr">
        <is>
          <t>PH0011</t>
        </is>
      </c>
      <c r="G743" t="inlineStr">
        <is>
          <t>Ong Jed</t>
        </is>
      </c>
      <c r="H743" t="inlineStr">
        <is>
          <t>TCNz001PH:Internal operations</t>
        </is>
      </c>
      <c r="I743" s="1" t="n">
        <v>45944</v>
      </c>
      <c r="J743" t="n">
        <v>3.5</v>
      </c>
      <c r="K743" t="inlineStr">
        <is>
          <t>Code Review</t>
        </is>
      </c>
      <c r="L743">
        <f>IFERROR(LEFT(K743,             FIND(",", K743) - 1), "-")</f>
        <v/>
      </c>
      <c r="M743">
        <f>IFERROR(MID(K743,             FIND(",", K743) + 1, LEN(K743) - FIND(",", K743)), K743)</f>
        <v/>
      </c>
      <c r="N743" t="n">
        <v>5</v>
      </c>
      <c r="P743" t="inlineStr">
        <is>
          <t>13:30</t>
        </is>
      </c>
      <c r="Q743" t="inlineStr">
        <is>
          <t>17:00</t>
        </is>
      </c>
    </row>
    <row r="744">
      <c r="A744" t="inlineStr">
        <is>
          <t>Ong Jed</t>
        </is>
      </c>
      <c r="B744" t="inlineStr">
        <is>
          <t>TCNz001PH:Internal operations</t>
        </is>
      </c>
      <c r="D744">
        <f>L744</f>
        <v/>
      </c>
      <c r="E744">
        <f>SUMIFS(J:J, G:G,             A744, H:H, B744, L:L, L744)</f>
        <v/>
      </c>
      <c r="F744" t="inlineStr">
        <is>
          <t>PH0011</t>
        </is>
      </c>
      <c r="G744" t="inlineStr">
        <is>
          <t>Ong Jed</t>
        </is>
      </c>
      <c r="H744" t="inlineStr">
        <is>
          <t>TCNz001PH:Internal operations</t>
        </is>
      </c>
      <c r="I744" s="1" t="n">
        <v>45945</v>
      </c>
      <c r="J744" t="n">
        <v>3</v>
      </c>
      <c r="K744" t="inlineStr">
        <is>
          <t>Code Review</t>
        </is>
      </c>
      <c r="L744">
        <f>IFERROR(LEFT(K744,             FIND(",", K744) - 1), "-")</f>
        <v/>
      </c>
      <c r="M744">
        <f>IFERROR(MID(K744,             FIND(",", K744) + 1, LEN(K744) - FIND(",", K744)), K744)</f>
        <v/>
      </c>
      <c r="N744" t="n">
        <v>5</v>
      </c>
      <c r="P744" t="inlineStr">
        <is>
          <t>08:00</t>
        </is>
      </c>
      <c r="Q744" t="inlineStr">
        <is>
          <t>11:00</t>
        </is>
      </c>
    </row>
    <row r="745">
      <c r="A745" t="inlineStr">
        <is>
          <t>Ong Jed</t>
        </is>
      </c>
      <c r="B745" t="inlineStr">
        <is>
          <t>TCNz001PH:Internal operations</t>
        </is>
      </c>
      <c r="D745">
        <f>L745</f>
        <v/>
      </c>
      <c r="E745">
        <f>SUMIFS(J:J, G:G,             A745, H:H, B745, L:L, L745)</f>
        <v/>
      </c>
      <c r="F745" t="inlineStr">
        <is>
          <t>PH0011</t>
        </is>
      </c>
      <c r="G745" t="inlineStr">
        <is>
          <t>Ong Jed</t>
        </is>
      </c>
      <c r="H745" t="inlineStr">
        <is>
          <t>TCNz001PH:Internal operations</t>
        </is>
      </c>
      <c r="I745" s="1" t="n">
        <v>45945</v>
      </c>
      <c r="J745" t="n">
        <v>3.5</v>
      </c>
      <c r="K745" t="inlineStr">
        <is>
          <t>Code Review</t>
        </is>
      </c>
      <c r="L745">
        <f>IFERROR(LEFT(K745,             FIND(",", K745) - 1), "-")</f>
        <v/>
      </c>
      <c r="M745">
        <f>IFERROR(MID(K745,             FIND(",", K745) + 1, LEN(K745) - FIND(",", K745)), K745)</f>
        <v/>
      </c>
      <c r="N745" t="n">
        <v>5</v>
      </c>
      <c r="P745" t="inlineStr">
        <is>
          <t>12:00</t>
        </is>
      </c>
      <c r="Q745" t="inlineStr">
        <is>
          <t>15:30</t>
        </is>
      </c>
    </row>
    <row r="746">
      <c r="A746" t="inlineStr">
        <is>
          <t>Ong Jed</t>
        </is>
      </c>
      <c r="B746" t="inlineStr">
        <is>
          <t>TCNz001PH:Internal operations</t>
        </is>
      </c>
      <c r="D746">
        <f>L746</f>
        <v/>
      </c>
      <c r="E746">
        <f>SUMIFS(J:J, G:G,             A746, H:H, B746, L:L, L746)</f>
        <v/>
      </c>
      <c r="F746" t="inlineStr">
        <is>
          <t>PH0011</t>
        </is>
      </c>
      <c r="G746" t="inlineStr">
        <is>
          <t>Ong Jed</t>
        </is>
      </c>
      <c r="H746" t="inlineStr">
        <is>
          <t>TCNz001PH:Internal operations</t>
        </is>
      </c>
      <c r="I746" s="1" t="n">
        <v>45951</v>
      </c>
      <c r="J746" t="n">
        <v>3</v>
      </c>
      <c r="K746" t="inlineStr">
        <is>
          <t>Code Review</t>
        </is>
      </c>
      <c r="L746">
        <f>IFERROR(LEFT(K746,             FIND(",", K746) - 1), "-")</f>
        <v/>
      </c>
      <c r="M746">
        <f>IFERROR(MID(K746,             FIND(",", K746) + 1, LEN(K746) - FIND(",", K746)), K746)</f>
        <v/>
      </c>
      <c r="N746" t="n">
        <v>5</v>
      </c>
      <c r="P746" t="inlineStr">
        <is>
          <t>08:00</t>
        </is>
      </c>
      <c r="Q746" t="inlineStr">
        <is>
          <t>11:00</t>
        </is>
      </c>
    </row>
    <row r="747">
      <c r="A747" t="inlineStr">
        <is>
          <t>Ong Jed</t>
        </is>
      </c>
      <c r="B747" t="inlineStr">
        <is>
          <t>TCNz001PH:Internal operations</t>
        </is>
      </c>
      <c r="D747">
        <f>L747</f>
        <v/>
      </c>
      <c r="E747">
        <f>SUMIFS(J:J, G:G,             A747, H:H, B747, L:L, L747)</f>
        <v/>
      </c>
      <c r="F747" t="inlineStr">
        <is>
          <t>PH0011</t>
        </is>
      </c>
      <c r="G747" t="inlineStr">
        <is>
          <t>Ong Jed</t>
        </is>
      </c>
      <c r="H747" t="inlineStr">
        <is>
          <t>TCNz001PH:Internal operations</t>
        </is>
      </c>
      <c r="I747" s="1" t="n">
        <v>45951</v>
      </c>
      <c r="J747" t="n">
        <v>3</v>
      </c>
      <c r="K747" t="inlineStr">
        <is>
          <t>Code Review</t>
        </is>
      </c>
      <c r="L747">
        <f>IFERROR(LEFT(K747,             FIND(",", K747) - 1), "-")</f>
        <v/>
      </c>
      <c r="M747">
        <f>IFERROR(MID(K747,             FIND(",", K747) + 1, LEN(K747) - FIND(",", K747)), K747)</f>
        <v/>
      </c>
      <c r="N747" t="n">
        <v>5</v>
      </c>
      <c r="P747" t="inlineStr">
        <is>
          <t>12:00</t>
        </is>
      </c>
      <c r="Q747" t="inlineStr">
        <is>
          <t>15:00</t>
        </is>
      </c>
    </row>
    <row r="748">
      <c r="A748" t="inlineStr">
        <is>
          <t>Ong Jed</t>
        </is>
      </c>
      <c r="B748" t="inlineStr">
        <is>
          <t>TCNz001PH:Internal operations</t>
        </is>
      </c>
      <c r="D748">
        <f>L748</f>
        <v/>
      </c>
      <c r="E748">
        <f>SUMIFS(J:J, G:G,             A748, H:H, B748, L:L, L748)</f>
        <v/>
      </c>
      <c r="F748" t="inlineStr">
        <is>
          <t>PH0011</t>
        </is>
      </c>
      <c r="G748" t="inlineStr">
        <is>
          <t>Ong Jed</t>
        </is>
      </c>
      <c r="H748" t="inlineStr">
        <is>
          <t>TCNz001PH:Internal operations</t>
        </is>
      </c>
      <c r="I748" s="1" t="n">
        <v>45951</v>
      </c>
      <c r="J748" t="n">
        <v>1.25</v>
      </c>
      <c r="K748" t="inlineStr">
        <is>
          <t>Code Review</t>
        </is>
      </c>
      <c r="L748">
        <f>IFERROR(LEFT(K748,             FIND(",", K748) - 1), "-")</f>
        <v/>
      </c>
      <c r="M748">
        <f>IFERROR(MID(K748,             FIND(",", K748) + 1, LEN(K748) - FIND(",", K748)), K748)</f>
        <v/>
      </c>
      <c r="N748" t="n">
        <v>5</v>
      </c>
      <c r="P748" t="inlineStr">
        <is>
          <t>15:45</t>
        </is>
      </c>
      <c r="Q748" t="inlineStr">
        <is>
          <t>17:00</t>
        </is>
      </c>
    </row>
    <row r="749">
      <c r="A749" t="inlineStr">
        <is>
          <t>Ong Jed</t>
        </is>
      </c>
      <c r="B749" t="inlineStr">
        <is>
          <t>TCNz001PH:Internal operations</t>
        </is>
      </c>
      <c r="D749">
        <f>L749</f>
        <v/>
      </c>
      <c r="E749">
        <f>SUMIFS(J:J, G:G,             A749, H:H, B749, L:L, L749)</f>
        <v/>
      </c>
      <c r="F749" t="inlineStr">
        <is>
          <t>PH0011</t>
        </is>
      </c>
      <c r="G749" t="inlineStr">
        <is>
          <t>Ong Jed</t>
        </is>
      </c>
      <c r="H749" t="inlineStr">
        <is>
          <t>TCNz001PH:Internal operations</t>
        </is>
      </c>
      <c r="I749" s="1" t="n">
        <v>45952</v>
      </c>
      <c r="J749" t="n">
        <v>2.25</v>
      </c>
      <c r="K749" t="inlineStr">
        <is>
          <t>Code Review</t>
        </is>
      </c>
      <c r="L749">
        <f>IFERROR(LEFT(K749,             FIND(",", K749) - 1), "-")</f>
        <v/>
      </c>
      <c r="M749">
        <f>IFERROR(MID(K749,             FIND(",", K749) + 1, LEN(K749) - FIND(",", K749)), K749)</f>
        <v/>
      </c>
      <c r="N749" t="n">
        <v>5</v>
      </c>
      <c r="P749" t="inlineStr">
        <is>
          <t>08:45</t>
        </is>
      </c>
      <c r="Q749" t="inlineStr">
        <is>
          <t>11:00</t>
        </is>
      </c>
    </row>
    <row r="750">
      <c r="A750" t="inlineStr">
        <is>
          <t>Ong Jed</t>
        </is>
      </c>
      <c r="B750" t="inlineStr">
        <is>
          <t>TCNz001PH:Internal operations</t>
        </is>
      </c>
      <c r="D750">
        <f>L750</f>
        <v/>
      </c>
      <c r="E750">
        <f>SUMIFS(J:J, G:G,             A750, H:H, B750, L:L, L750)</f>
        <v/>
      </c>
      <c r="F750" t="inlineStr">
        <is>
          <t>PH0011</t>
        </is>
      </c>
      <c r="G750" t="inlineStr">
        <is>
          <t>Ong Jed</t>
        </is>
      </c>
      <c r="H750" t="inlineStr">
        <is>
          <t>TCNz001PH:Internal operations</t>
        </is>
      </c>
      <c r="I750" s="1" t="n">
        <v>45952</v>
      </c>
      <c r="J750" t="n">
        <v>2.25</v>
      </c>
      <c r="K750" t="inlineStr">
        <is>
          <t>Code Review</t>
        </is>
      </c>
      <c r="L750">
        <f>IFERROR(LEFT(K750,             FIND(",", K750) - 1), "-")</f>
        <v/>
      </c>
      <c r="M750">
        <f>IFERROR(MID(K750,             FIND(",", K750) + 1, LEN(K750) - FIND(",", K750)), K750)</f>
        <v/>
      </c>
      <c r="N750" t="n">
        <v>5</v>
      </c>
      <c r="P750" t="inlineStr">
        <is>
          <t>12:00</t>
        </is>
      </c>
      <c r="Q750" t="inlineStr">
        <is>
          <t>14:15</t>
        </is>
      </c>
    </row>
    <row r="751">
      <c r="A751" t="inlineStr">
        <is>
          <t>Ong Jed</t>
        </is>
      </c>
      <c r="B751" t="inlineStr">
        <is>
          <t>TCNz001PH:Internal operations</t>
        </is>
      </c>
      <c r="D751">
        <f>L751</f>
        <v/>
      </c>
      <c r="E751">
        <f>SUMIFS(J:J, G:G,             A751, H:H, B751, L:L, L751)</f>
        <v/>
      </c>
      <c r="F751" t="inlineStr">
        <is>
          <t>PH0011</t>
        </is>
      </c>
      <c r="G751" t="inlineStr">
        <is>
          <t>Ong Jed</t>
        </is>
      </c>
      <c r="H751" t="inlineStr">
        <is>
          <t>TCNz001PH:Internal operations</t>
        </is>
      </c>
      <c r="I751" s="1" t="n">
        <v>45952</v>
      </c>
      <c r="J751" t="n">
        <v>1.25</v>
      </c>
      <c r="K751" t="inlineStr">
        <is>
          <t>Code Review</t>
        </is>
      </c>
      <c r="L751">
        <f>IFERROR(LEFT(K751,             FIND(",", K751) - 1), "-")</f>
        <v/>
      </c>
      <c r="M751">
        <f>IFERROR(MID(K751,             FIND(",", K751) + 1, LEN(K751) - FIND(",", K751)), K751)</f>
        <v/>
      </c>
      <c r="N751" t="n">
        <v>5</v>
      </c>
      <c r="P751" t="inlineStr">
        <is>
          <t>14:45</t>
        </is>
      </c>
      <c r="Q751" t="inlineStr">
        <is>
          <t>16:00</t>
        </is>
      </c>
    </row>
    <row r="752">
      <c r="A752" t="inlineStr">
        <is>
          <t>Ong Jed</t>
        </is>
      </c>
      <c r="B752" t="inlineStr">
        <is>
          <t>TCNz001PH:Internal operations</t>
        </is>
      </c>
      <c r="D752">
        <f>L752</f>
        <v/>
      </c>
      <c r="E752">
        <f>SUMIFS(J:J, G:G,             A752, H:H, B752, L:L, L752)</f>
        <v/>
      </c>
      <c r="F752" t="inlineStr">
        <is>
          <t>PH0011</t>
        </is>
      </c>
      <c r="G752" t="inlineStr">
        <is>
          <t>Ong Jed</t>
        </is>
      </c>
      <c r="H752" t="inlineStr">
        <is>
          <t>TCNz001PH:Internal operations</t>
        </is>
      </c>
      <c r="I752" s="1" t="n">
        <v>45953</v>
      </c>
      <c r="J752" t="n">
        <v>1.75</v>
      </c>
      <c r="K752" t="inlineStr">
        <is>
          <t>Code Review</t>
        </is>
      </c>
      <c r="L752">
        <f>IFERROR(LEFT(K752,             FIND(",", K752) - 1), "-")</f>
        <v/>
      </c>
      <c r="M752">
        <f>IFERROR(MID(K752,             FIND(",", K752) + 1, LEN(K752) - FIND(",", K752)), K752)</f>
        <v/>
      </c>
      <c r="N752" t="n">
        <v>5</v>
      </c>
      <c r="P752" t="inlineStr">
        <is>
          <t>09:15</t>
        </is>
      </c>
      <c r="Q752" t="inlineStr">
        <is>
          <t>11:00</t>
        </is>
      </c>
    </row>
    <row r="753">
      <c r="A753" t="inlineStr">
        <is>
          <t>Ong Jed</t>
        </is>
      </c>
      <c r="B753" t="inlineStr">
        <is>
          <t>TCNz001PH:Internal operations</t>
        </is>
      </c>
      <c r="D753">
        <f>L753</f>
        <v/>
      </c>
      <c r="E753">
        <f>SUMIFS(J:J, G:G,             A753, H:H, B753, L:L, L753)</f>
        <v/>
      </c>
      <c r="F753" t="inlineStr">
        <is>
          <t>PH0011</t>
        </is>
      </c>
      <c r="G753" t="inlineStr">
        <is>
          <t>Ong Jed</t>
        </is>
      </c>
      <c r="H753" t="inlineStr">
        <is>
          <t>TCNz001PH:Internal operations</t>
        </is>
      </c>
      <c r="I753" s="1" t="n">
        <v>45953</v>
      </c>
      <c r="J753" t="n">
        <v>3.5</v>
      </c>
      <c r="K753" t="inlineStr">
        <is>
          <t>Code Review</t>
        </is>
      </c>
      <c r="L753">
        <f>IFERROR(LEFT(K753,             FIND(",", K753) - 1), "-")</f>
        <v/>
      </c>
      <c r="M753">
        <f>IFERROR(MID(K753,             FIND(",", K753) + 1, LEN(K753) - FIND(",", K753)), K753)</f>
        <v/>
      </c>
      <c r="N753" t="n">
        <v>5</v>
      </c>
      <c r="P753" t="inlineStr">
        <is>
          <t>12:00</t>
        </is>
      </c>
      <c r="Q753" t="inlineStr">
        <is>
          <t>15:30</t>
        </is>
      </c>
    </row>
    <row r="754">
      <c r="A754" t="inlineStr">
        <is>
          <t>Ong Jed</t>
        </is>
      </c>
      <c r="B754" t="inlineStr">
        <is>
          <t>TCNz001PH:Internal operations</t>
        </is>
      </c>
      <c r="D754">
        <f>L754</f>
        <v/>
      </c>
      <c r="E754">
        <f>SUMIFS(J:J, G:G,             A754, H:H, B754, L:L, L754)</f>
        <v/>
      </c>
      <c r="F754" t="inlineStr">
        <is>
          <t>PH0011</t>
        </is>
      </c>
      <c r="G754" t="inlineStr">
        <is>
          <t>Ong Jed</t>
        </is>
      </c>
      <c r="H754" t="inlineStr">
        <is>
          <t>TCNz001PH:Internal operations</t>
        </is>
      </c>
      <c r="I754" s="1" t="n">
        <v>45937</v>
      </c>
      <c r="J754" t="n">
        <v>1</v>
      </c>
      <c r="K754" t="inlineStr">
        <is>
          <t>Meeting</t>
        </is>
      </c>
      <c r="L754">
        <f>IFERROR(LEFT(K754,             FIND(",", K754) - 1), "-")</f>
        <v/>
      </c>
      <c r="M754">
        <f>IFERROR(MID(K754,             FIND(",", K754) + 1, LEN(K754) - FIND(",", K754)), K754)</f>
        <v/>
      </c>
      <c r="N754" t="n">
        <v>5</v>
      </c>
      <c r="P754" t="inlineStr">
        <is>
          <t>16:00</t>
        </is>
      </c>
      <c r="Q754" t="inlineStr">
        <is>
          <t>17:00</t>
        </is>
      </c>
    </row>
    <row r="755">
      <c r="A755" t="inlineStr">
        <is>
          <t>Ong Jed</t>
        </is>
      </c>
      <c r="B755" t="inlineStr">
        <is>
          <t>TCNz002PH:Waiting for requests</t>
        </is>
      </c>
      <c r="C755">
        <f>SUMIFS(J:J, G:G,             A755, H:H, B755)</f>
        <v/>
      </c>
      <c r="D755">
        <f>L755</f>
        <v/>
      </c>
      <c r="E755">
        <f>SUMIFS(J:J, G:G,             A755, H:H, B755, L:L, L755)</f>
        <v/>
      </c>
      <c r="F755" t="inlineStr">
        <is>
          <t>PH0011</t>
        </is>
      </c>
      <c r="G755" t="inlineStr">
        <is>
          <t>Ong Jed</t>
        </is>
      </c>
      <c r="H755" t="inlineStr">
        <is>
          <t>TCNz002PH:Waiting for requests</t>
        </is>
      </c>
      <c r="I755" s="1" t="n">
        <v>45931</v>
      </c>
      <c r="J755" t="n">
        <v>0.75</v>
      </c>
      <c r="L755">
        <f>IFERROR(LEFT(K755,             FIND(",", K755) - 1), "-")</f>
        <v/>
      </c>
      <c r="M755">
        <f>IFERROR(MID(K755,             FIND(",", K755) + 1, LEN(K755) - FIND(",", K755)), K755)</f>
        <v/>
      </c>
      <c r="N755" t="n">
        <v>5</v>
      </c>
      <c r="P755" t="inlineStr">
        <is>
          <t>12:00</t>
        </is>
      </c>
      <c r="Q755" t="inlineStr">
        <is>
          <t>12:45</t>
        </is>
      </c>
    </row>
    <row r="756">
      <c r="A756" t="inlineStr">
        <is>
          <t>Ong Jed</t>
        </is>
      </c>
      <c r="B756" t="inlineStr">
        <is>
          <t>TCNz002PH:Waiting for requests</t>
        </is>
      </c>
      <c r="D756">
        <f>L756</f>
        <v/>
      </c>
      <c r="E756">
        <f>SUMIFS(J:J, G:G,             A756, H:H, B756, L:L, L756)</f>
        <v/>
      </c>
      <c r="F756" t="inlineStr">
        <is>
          <t>PH0011</t>
        </is>
      </c>
      <c r="G756" t="inlineStr">
        <is>
          <t>Ong Jed</t>
        </is>
      </c>
      <c r="H756" t="inlineStr">
        <is>
          <t>TCNz002PH:Waiting for requests</t>
        </is>
      </c>
      <c r="I756" s="1" t="n">
        <v>45931</v>
      </c>
      <c r="J756" t="n">
        <v>1.25</v>
      </c>
      <c r="L756">
        <f>IFERROR(LEFT(K756,             FIND(",", K756) - 1), "-")</f>
        <v/>
      </c>
      <c r="M756">
        <f>IFERROR(MID(K756,             FIND(",", K756) + 1, LEN(K756) - FIND(",", K756)), K756)</f>
        <v/>
      </c>
      <c r="N756" t="n">
        <v>5</v>
      </c>
      <c r="P756" t="inlineStr">
        <is>
          <t>15:45</t>
        </is>
      </c>
      <c r="Q756" t="inlineStr">
        <is>
          <t>17:00</t>
        </is>
      </c>
    </row>
    <row r="757">
      <c r="A757" t="inlineStr">
        <is>
          <t>Ong Jed</t>
        </is>
      </c>
      <c r="B757" t="inlineStr">
        <is>
          <t>TCNz002PH:Waiting for requests</t>
        </is>
      </c>
      <c r="D757">
        <f>L757</f>
        <v/>
      </c>
      <c r="E757">
        <f>SUMIFS(J:J, G:G,             A757, H:H, B757, L:L, L757)</f>
        <v/>
      </c>
      <c r="F757" t="inlineStr">
        <is>
          <t>PH0011</t>
        </is>
      </c>
      <c r="G757" t="inlineStr">
        <is>
          <t>Ong Jed</t>
        </is>
      </c>
      <c r="H757" t="inlineStr">
        <is>
          <t>TCNz002PH:Waiting for requests</t>
        </is>
      </c>
      <c r="I757" s="1" t="n">
        <v>45932</v>
      </c>
      <c r="J757" t="n">
        <v>0.75</v>
      </c>
      <c r="L757">
        <f>IFERROR(LEFT(K757,             FIND(",", K757) - 1), "-")</f>
        <v/>
      </c>
      <c r="M757">
        <f>IFERROR(MID(K757,             FIND(",", K757) + 1, LEN(K757) - FIND(",", K757)), K757)</f>
        <v/>
      </c>
      <c r="N757" t="n">
        <v>5</v>
      </c>
      <c r="P757" t="inlineStr">
        <is>
          <t>15:15</t>
        </is>
      </c>
      <c r="Q757" t="inlineStr">
        <is>
          <t>16:00</t>
        </is>
      </c>
    </row>
    <row r="758">
      <c r="A758" t="inlineStr">
        <is>
          <t>Ong Jed</t>
        </is>
      </c>
      <c r="B758" t="inlineStr">
        <is>
          <t>TCNz002PH:Waiting for requests</t>
        </is>
      </c>
      <c r="D758">
        <f>L758</f>
        <v/>
      </c>
      <c r="E758">
        <f>SUMIFS(J:J, G:G,             A758, H:H, B758, L:L, L758)</f>
        <v/>
      </c>
      <c r="F758" t="inlineStr">
        <is>
          <t>PH0011</t>
        </is>
      </c>
      <c r="G758" t="inlineStr">
        <is>
          <t>Ong Jed</t>
        </is>
      </c>
      <c r="H758" t="inlineStr">
        <is>
          <t>TCNz002PH:Waiting for requests</t>
        </is>
      </c>
      <c r="I758" s="1" t="n">
        <v>45933</v>
      </c>
      <c r="J758" t="n">
        <v>0.75</v>
      </c>
      <c r="L758">
        <f>IFERROR(LEFT(K758,             FIND(",", K758) - 1), "-")</f>
        <v/>
      </c>
      <c r="M758">
        <f>IFERROR(MID(K758,             FIND(",", K758) + 1, LEN(K758) - FIND(",", K758)), K758)</f>
        <v/>
      </c>
      <c r="N758" t="n">
        <v>5</v>
      </c>
      <c r="P758" t="inlineStr">
        <is>
          <t>15:00</t>
        </is>
      </c>
      <c r="Q758" t="inlineStr">
        <is>
          <t>15:45</t>
        </is>
      </c>
    </row>
    <row r="759">
      <c r="A759" t="inlineStr">
        <is>
          <t>Ong Jed</t>
        </is>
      </c>
      <c r="B759" t="inlineStr">
        <is>
          <t>TCNz002PH:Waiting for requests</t>
        </is>
      </c>
      <c r="D759">
        <f>L759</f>
        <v/>
      </c>
      <c r="E759">
        <f>SUMIFS(J:J, G:G,             A759, H:H, B759, L:L, L759)</f>
        <v/>
      </c>
      <c r="F759" t="inlineStr">
        <is>
          <t>PH0011</t>
        </is>
      </c>
      <c r="G759" t="inlineStr">
        <is>
          <t>Ong Jed</t>
        </is>
      </c>
      <c r="H759" t="inlineStr">
        <is>
          <t>TCNz002PH:Waiting for requests</t>
        </is>
      </c>
      <c r="I759" s="1" t="n">
        <v>45937</v>
      </c>
      <c r="J759" t="n">
        <v>0.75</v>
      </c>
      <c r="L759">
        <f>IFERROR(LEFT(K759,             FIND(",", K759) - 1), "-")</f>
        <v/>
      </c>
      <c r="M759">
        <f>IFERROR(MID(K759,             FIND(",", K759) + 1, LEN(K759) - FIND(",", K759)), K759)</f>
        <v/>
      </c>
      <c r="N759" t="n">
        <v>5</v>
      </c>
      <c r="P759" t="inlineStr">
        <is>
          <t>12:00</t>
        </is>
      </c>
      <c r="Q759" t="inlineStr">
        <is>
          <t>12:45</t>
        </is>
      </c>
    </row>
    <row r="760">
      <c r="A760" t="inlineStr">
        <is>
          <t>Ong Jed</t>
        </is>
      </c>
      <c r="B760" t="inlineStr">
        <is>
          <t>TCNz002PH:Waiting for requests</t>
        </is>
      </c>
      <c r="D760">
        <f>L760</f>
        <v/>
      </c>
      <c r="E760">
        <f>SUMIFS(J:J, G:G,             A760, H:H, B760, L:L, L760)</f>
        <v/>
      </c>
      <c r="F760" t="inlineStr">
        <is>
          <t>PH0011</t>
        </is>
      </c>
      <c r="G760" t="inlineStr">
        <is>
          <t>Ong Jed</t>
        </is>
      </c>
      <c r="H760" t="inlineStr">
        <is>
          <t>TCNz002PH:Waiting for requests</t>
        </is>
      </c>
      <c r="I760" s="1" t="n">
        <v>45938</v>
      </c>
      <c r="J760" t="n">
        <v>0.5</v>
      </c>
      <c r="L760">
        <f>IFERROR(LEFT(K760,             FIND(",", K760) - 1), "-")</f>
        <v/>
      </c>
      <c r="M760">
        <f>IFERROR(MID(K760,             FIND(",", K760) + 1, LEN(K760) - FIND(",", K760)), K760)</f>
        <v/>
      </c>
      <c r="N760" t="n">
        <v>5</v>
      </c>
      <c r="P760" t="inlineStr">
        <is>
          <t>12:00</t>
        </is>
      </c>
      <c r="Q760" t="inlineStr">
        <is>
          <t>12:30</t>
        </is>
      </c>
    </row>
    <row r="761">
      <c r="A761" t="inlineStr">
        <is>
          <t>Ong Jed</t>
        </is>
      </c>
      <c r="B761" t="inlineStr">
        <is>
          <t>TCNz002PH:Waiting for requests</t>
        </is>
      </c>
      <c r="D761">
        <f>L761</f>
        <v/>
      </c>
      <c r="E761">
        <f>SUMIFS(J:J, G:G,             A761, H:H, B761, L:L, L761)</f>
        <v/>
      </c>
      <c r="F761" t="inlineStr">
        <is>
          <t>PH0011</t>
        </is>
      </c>
      <c r="G761" t="inlineStr">
        <is>
          <t>Ong Jed</t>
        </is>
      </c>
      <c r="H761" t="inlineStr">
        <is>
          <t>TCNz002PH:Waiting for requests</t>
        </is>
      </c>
      <c r="I761" s="1" t="n">
        <v>45939</v>
      </c>
      <c r="J761" t="n">
        <v>0.75</v>
      </c>
      <c r="L761">
        <f>IFERROR(LEFT(K761,             FIND(",", K761) - 1), "-")</f>
        <v/>
      </c>
      <c r="M761">
        <f>IFERROR(MID(K761,             FIND(",", K761) + 1, LEN(K761) - FIND(",", K761)), K761)</f>
        <v/>
      </c>
      <c r="N761" t="n">
        <v>5</v>
      </c>
      <c r="P761" t="inlineStr">
        <is>
          <t>10:15</t>
        </is>
      </c>
      <c r="Q761" t="inlineStr">
        <is>
          <t>11:00</t>
        </is>
      </c>
    </row>
    <row r="762">
      <c r="A762" t="inlineStr">
        <is>
          <t>Ong Jed</t>
        </is>
      </c>
      <c r="B762" t="inlineStr">
        <is>
          <t>TCNz002PH:Waiting for requests</t>
        </is>
      </c>
      <c r="D762">
        <f>L762</f>
        <v/>
      </c>
      <c r="E762">
        <f>SUMIFS(J:J, G:G,             A762, H:H, B762, L:L, L762)</f>
        <v/>
      </c>
      <c r="F762" t="inlineStr">
        <is>
          <t>PH0011</t>
        </is>
      </c>
      <c r="G762" t="inlineStr">
        <is>
          <t>Ong Jed</t>
        </is>
      </c>
      <c r="H762" t="inlineStr">
        <is>
          <t>TCNz002PH:Waiting for requests</t>
        </is>
      </c>
      <c r="I762" s="1" t="n">
        <v>45943</v>
      </c>
      <c r="J762" t="n">
        <v>1</v>
      </c>
      <c r="L762">
        <f>IFERROR(LEFT(K762,             FIND(",", K762) - 1), "-")</f>
        <v/>
      </c>
      <c r="M762">
        <f>IFERROR(MID(K762,             FIND(",", K762) + 1, LEN(K762) - FIND(",", K762)), K762)</f>
        <v/>
      </c>
      <c r="N762" t="n">
        <v>5</v>
      </c>
      <c r="P762" t="inlineStr">
        <is>
          <t>12:00</t>
        </is>
      </c>
      <c r="Q762" t="inlineStr">
        <is>
          <t>13:00</t>
        </is>
      </c>
    </row>
    <row r="763">
      <c r="A763" t="inlineStr">
        <is>
          <t>Ong Jed</t>
        </is>
      </c>
      <c r="B763" t="inlineStr">
        <is>
          <t>TCNz002PH:Waiting for requests</t>
        </is>
      </c>
      <c r="D763">
        <f>L763</f>
        <v/>
      </c>
      <c r="E763">
        <f>SUMIFS(J:J, G:G,             A763, H:H, B763, L:L, L763)</f>
        <v/>
      </c>
      <c r="F763" t="inlineStr">
        <is>
          <t>PH0011</t>
        </is>
      </c>
      <c r="G763" t="inlineStr">
        <is>
          <t>Ong Jed</t>
        </is>
      </c>
      <c r="H763" t="inlineStr">
        <is>
          <t>TCNz002PH:Waiting for requests</t>
        </is>
      </c>
      <c r="I763" s="1" t="n">
        <v>45943</v>
      </c>
      <c r="J763" t="n">
        <v>1</v>
      </c>
      <c r="L763">
        <f>IFERROR(LEFT(K763,             FIND(",", K763) - 1), "-")</f>
        <v/>
      </c>
      <c r="M763">
        <f>IFERROR(MID(K763,             FIND(",", K763) + 1, LEN(K763) - FIND(",", K763)), K763)</f>
        <v/>
      </c>
      <c r="N763" t="n">
        <v>5</v>
      </c>
      <c r="P763" t="inlineStr">
        <is>
          <t>16:00</t>
        </is>
      </c>
      <c r="Q763" t="inlineStr">
        <is>
          <t>17:00</t>
        </is>
      </c>
    </row>
    <row r="764">
      <c r="A764" t="inlineStr">
        <is>
          <t>Ong Jed</t>
        </is>
      </c>
      <c r="B764" t="inlineStr">
        <is>
          <t>TCNz002PH:Waiting for requests</t>
        </is>
      </c>
      <c r="D764">
        <f>L764</f>
        <v/>
      </c>
      <c r="E764">
        <f>SUMIFS(J:J, G:G,             A764, H:H, B764, L:L, L764)</f>
        <v/>
      </c>
      <c r="F764" t="inlineStr">
        <is>
          <t>PH0011</t>
        </is>
      </c>
      <c r="G764" t="inlineStr">
        <is>
          <t>Ong Jed</t>
        </is>
      </c>
      <c r="H764" t="inlineStr">
        <is>
          <t>TCNz002PH:Waiting for requests</t>
        </is>
      </c>
      <c r="I764" s="1" t="n">
        <v>45944</v>
      </c>
      <c r="J764" t="n">
        <v>1</v>
      </c>
      <c r="L764">
        <f>IFERROR(LEFT(K764,             FIND(",", K764) - 1), "-")</f>
        <v/>
      </c>
      <c r="M764">
        <f>IFERROR(MID(K764,             FIND(",", K764) + 1, LEN(K764) - FIND(",", K764)), K764)</f>
        <v/>
      </c>
      <c r="N764" t="n">
        <v>5</v>
      </c>
      <c r="P764" t="inlineStr">
        <is>
          <t>12:30</t>
        </is>
      </c>
      <c r="Q764" t="inlineStr">
        <is>
          <t>13:30</t>
        </is>
      </c>
    </row>
    <row r="765">
      <c r="A765" t="inlineStr">
        <is>
          <t>Ong Jed</t>
        </is>
      </c>
      <c r="B765" t="inlineStr">
        <is>
          <t>TCNz002PH:Waiting for requests</t>
        </is>
      </c>
      <c r="D765">
        <f>L765</f>
        <v/>
      </c>
      <c r="E765">
        <f>SUMIFS(J:J, G:G,             A765, H:H, B765, L:L, L765)</f>
        <v/>
      </c>
      <c r="F765" t="inlineStr">
        <is>
          <t>PH0011</t>
        </is>
      </c>
      <c r="G765" t="inlineStr">
        <is>
          <t>Ong Jed</t>
        </is>
      </c>
      <c r="H765" t="inlineStr">
        <is>
          <t>TCNz002PH:Waiting for requests</t>
        </is>
      </c>
      <c r="I765" s="1" t="n">
        <v>45945</v>
      </c>
      <c r="J765" t="n">
        <v>0.5</v>
      </c>
      <c r="L765">
        <f>IFERROR(LEFT(K765,             FIND(",", K765) - 1), "-")</f>
        <v/>
      </c>
      <c r="M765">
        <f>IFERROR(MID(K765,             FIND(",", K765) + 1, LEN(K765) - FIND(",", K765)), K765)</f>
        <v/>
      </c>
      <c r="N765" t="n">
        <v>5</v>
      </c>
      <c r="P765" t="inlineStr">
        <is>
          <t>15:30</t>
        </is>
      </c>
      <c r="Q765" t="inlineStr">
        <is>
          <t>16:00</t>
        </is>
      </c>
    </row>
    <row r="766">
      <c r="A766" t="inlineStr">
        <is>
          <t>Ong Jed</t>
        </is>
      </c>
      <c r="B766" t="inlineStr">
        <is>
          <t>TCNz002PH:Waiting for requests</t>
        </is>
      </c>
      <c r="D766">
        <f>L766</f>
        <v/>
      </c>
      <c r="E766">
        <f>SUMIFS(J:J, G:G,             A766, H:H, B766, L:L, L766)</f>
        <v/>
      </c>
      <c r="F766" t="inlineStr">
        <is>
          <t>PH0011</t>
        </is>
      </c>
      <c r="G766" t="inlineStr">
        <is>
          <t>Ong Jed</t>
        </is>
      </c>
      <c r="H766" t="inlineStr">
        <is>
          <t>TCNz002PH:Waiting for requests</t>
        </is>
      </c>
      <c r="I766" s="1" t="n">
        <v>45951</v>
      </c>
      <c r="J766" t="n">
        <v>0.75</v>
      </c>
      <c r="L766">
        <f>IFERROR(LEFT(K766,             FIND(",", K766) - 1), "-")</f>
        <v/>
      </c>
      <c r="M766">
        <f>IFERROR(MID(K766,             FIND(",", K766) + 1, LEN(K766) - FIND(",", K766)), K766)</f>
        <v/>
      </c>
      <c r="N766" t="n">
        <v>5</v>
      </c>
      <c r="P766" t="inlineStr">
        <is>
          <t>15:00</t>
        </is>
      </c>
      <c r="Q766" t="inlineStr">
        <is>
          <t>15:45</t>
        </is>
      </c>
    </row>
    <row r="767">
      <c r="A767" t="inlineStr">
        <is>
          <t>Ong Jed</t>
        </is>
      </c>
      <c r="B767" t="inlineStr">
        <is>
          <t>TCNz002PH:Waiting for requests</t>
        </is>
      </c>
      <c r="D767">
        <f>L767</f>
        <v/>
      </c>
      <c r="E767">
        <f>SUMIFS(J:J, G:G,             A767, H:H, B767, L:L, L767)</f>
        <v/>
      </c>
      <c r="F767" t="inlineStr">
        <is>
          <t>PH0011</t>
        </is>
      </c>
      <c r="G767" t="inlineStr">
        <is>
          <t>Ong Jed</t>
        </is>
      </c>
      <c r="H767" t="inlineStr">
        <is>
          <t>TCNz002PH:Waiting for requests</t>
        </is>
      </c>
      <c r="I767" s="1" t="n">
        <v>45952</v>
      </c>
      <c r="J767" t="n">
        <v>0.5</v>
      </c>
      <c r="L767">
        <f>IFERROR(LEFT(K767,             FIND(",", K767) - 1), "-")</f>
        <v/>
      </c>
      <c r="M767">
        <f>IFERROR(MID(K767,             FIND(",", K767) + 1, LEN(K767) - FIND(",", K767)), K767)</f>
        <v/>
      </c>
      <c r="N767" t="n">
        <v>5</v>
      </c>
      <c r="P767" t="inlineStr">
        <is>
          <t>14:15</t>
        </is>
      </c>
      <c r="Q767" t="inlineStr">
        <is>
          <t>14:45</t>
        </is>
      </c>
    </row>
    <row r="768">
      <c r="A768" t="inlineStr">
        <is>
          <t>Ong Jed</t>
        </is>
      </c>
      <c r="B768" t="inlineStr">
        <is>
          <t>TCNz002PH:Waiting for requests</t>
        </is>
      </c>
      <c r="D768">
        <f>L768</f>
        <v/>
      </c>
      <c r="E768">
        <f>SUMIFS(J:J, G:G,             A768, H:H, B768, L:L, L768)</f>
        <v/>
      </c>
      <c r="F768" t="inlineStr">
        <is>
          <t>PH0011</t>
        </is>
      </c>
      <c r="G768" t="inlineStr">
        <is>
          <t>Ong Jed</t>
        </is>
      </c>
      <c r="H768" t="inlineStr">
        <is>
          <t>TCNz002PH:Waiting for requests</t>
        </is>
      </c>
      <c r="I768" s="1" t="n">
        <v>45953</v>
      </c>
      <c r="J768" t="n">
        <v>0.5</v>
      </c>
      <c r="L768">
        <f>IFERROR(LEFT(K768,             FIND(",", K768) - 1), "-")</f>
        <v/>
      </c>
      <c r="M768">
        <f>IFERROR(MID(K768,             FIND(",", K768) + 1, LEN(K768) - FIND(",", K768)), K768)</f>
        <v/>
      </c>
      <c r="N768" t="n">
        <v>5</v>
      </c>
      <c r="P768" t="inlineStr">
        <is>
          <t>15:30</t>
        </is>
      </c>
      <c r="Q768" t="inlineStr">
        <is>
          <t>16:00</t>
        </is>
      </c>
    </row>
    <row r="769">
      <c r="A769" t="inlineStr">
        <is>
          <t>Ong Jed</t>
        </is>
      </c>
      <c r="B769" t="inlineStr">
        <is>
          <t>WSDs001PH:WASEDA Support</t>
        </is>
      </c>
      <c r="C769">
        <f>SUMIFS(J:J, G:G,             A769, H:H, B769)</f>
        <v/>
      </c>
      <c r="D769">
        <f>L769</f>
        <v/>
      </c>
      <c r="E769">
        <f>SUMIFS(J:J, G:G,             A769, H:H, B769, L:L, L769)</f>
        <v/>
      </c>
      <c r="F769" t="inlineStr">
        <is>
          <t>PH0011</t>
        </is>
      </c>
      <c r="G769" t="inlineStr">
        <is>
          <t>Ong Jed</t>
        </is>
      </c>
      <c r="H769" t="inlineStr">
        <is>
          <t>WSDs001PH:WASEDA Support</t>
        </is>
      </c>
      <c r="I769" s="1" t="n">
        <v>45940</v>
      </c>
      <c r="J769" t="n">
        <v>1.5</v>
      </c>
      <c r="L769">
        <f>IFERROR(LEFT(K769,             FIND(",", K769) - 1), "-")</f>
        <v/>
      </c>
      <c r="M769">
        <f>IFERROR(MID(K769,             FIND(",", K769) + 1, LEN(K769) - FIND(",", K769)), K769)</f>
        <v/>
      </c>
      <c r="N769" t="n">
        <v>4</v>
      </c>
      <c r="P769" t="inlineStr">
        <is>
          <t>09:30</t>
        </is>
      </c>
      <c r="Q769" t="inlineStr">
        <is>
          <t>11:00</t>
        </is>
      </c>
    </row>
    <row r="770">
      <c r="A770" t="inlineStr">
        <is>
          <t>Ong Jed</t>
        </is>
      </c>
      <c r="B770" t="inlineStr">
        <is>
          <t>WSDs001PH:WASEDA Support</t>
        </is>
      </c>
      <c r="D770">
        <f>L770</f>
        <v/>
      </c>
      <c r="E770">
        <f>SUMIFS(J:J, G:G,             A770, H:H, B770, L:L, L770)</f>
        <v/>
      </c>
      <c r="F770" t="inlineStr">
        <is>
          <t>PH0011</t>
        </is>
      </c>
      <c r="G770" t="inlineStr">
        <is>
          <t>Ong Jed</t>
        </is>
      </c>
      <c r="H770" t="inlineStr">
        <is>
          <t>WSDs001PH:WASEDA Support</t>
        </is>
      </c>
      <c r="I770" s="1" t="n">
        <v>45940</v>
      </c>
      <c r="J770" t="n">
        <v>2.5</v>
      </c>
      <c r="L770">
        <f>IFERROR(LEFT(K770,             FIND(",", K770) - 1), "-")</f>
        <v/>
      </c>
      <c r="M770">
        <f>IFERROR(MID(K770,             FIND(",", K770) + 1, LEN(K770) - FIND(",", K770)), K770)</f>
        <v/>
      </c>
      <c r="N770" t="n">
        <v>4</v>
      </c>
      <c r="P770" t="inlineStr">
        <is>
          <t>12:00</t>
        </is>
      </c>
      <c r="Q770" t="inlineStr">
        <is>
          <t>14:30</t>
        </is>
      </c>
    </row>
    <row r="771">
      <c r="A771" t="inlineStr">
        <is>
          <t>Ong Jed</t>
        </is>
      </c>
      <c r="B771" t="inlineStr">
        <is>
          <t>ZZZa001PH:ModDev in general</t>
        </is>
      </c>
      <c r="C771">
        <f>SUMIFS(J:J, G:G,             A771, H:H, B771)</f>
        <v/>
      </c>
      <c r="D771">
        <f>L771</f>
        <v/>
      </c>
      <c r="E771">
        <f>SUMIFS(J:J, G:G,             A771, H:H, B771, L:L, L771)</f>
        <v/>
      </c>
      <c r="F771" t="inlineStr">
        <is>
          <t>PH0011</t>
        </is>
      </c>
      <c r="G771" t="inlineStr">
        <is>
          <t>Ong Jed</t>
        </is>
      </c>
      <c r="H771" t="inlineStr">
        <is>
          <t>ZZZa001PH:ModDev in general</t>
        </is>
      </c>
      <c r="I771" s="1" t="n">
        <v>45945</v>
      </c>
      <c r="J771" t="n">
        <v>1.25</v>
      </c>
      <c r="K771" t="inlineStr">
        <is>
          <t>95829</t>
        </is>
      </c>
      <c r="L771">
        <f>IFERROR(LEFT(K771,             FIND(",", K771) - 1), "-")</f>
        <v/>
      </c>
      <c r="M771">
        <f>IFERROR(MID(K771,             FIND(",", K771) + 1, LEN(K771) - FIND(",", K771)), K771)</f>
        <v/>
      </c>
      <c r="N771" t="n">
        <v>2</v>
      </c>
      <c r="P771" t="inlineStr">
        <is>
          <t>16:00</t>
        </is>
      </c>
      <c r="Q771" t="inlineStr">
        <is>
          <t>17:15</t>
        </is>
      </c>
    </row>
    <row r="772">
      <c r="A772" t="inlineStr">
        <is>
          <t>Ong Jed</t>
        </is>
      </c>
      <c r="B772" t="inlineStr">
        <is>
          <t>ZZZs001PH:Support in general</t>
        </is>
      </c>
      <c r="C772">
        <f>SUMIFS(J:J, G:G,             A772, H:H, B772)</f>
        <v/>
      </c>
      <c r="D772">
        <f>L772</f>
        <v/>
      </c>
      <c r="E772">
        <f>SUMIFS(J:J, G:G,             A772, H:H, B772, L:L, L772)</f>
        <v/>
      </c>
      <c r="F772" t="inlineStr">
        <is>
          <t>PH0011</t>
        </is>
      </c>
      <c r="G772" t="inlineStr">
        <is>
          <t>Ong Jed</t>
        </is>
      </c>
      <c r="H772" t="inlineStr">
        <is>
          <t>ZZZs001PH:Support in general</t>
        </is>
      </c>
      <c r="I772" s="1" t="n">
        <v>45937</v>
      </c>
      <c r="J772" t="n">
        <v>3</v>
      </c>
      <c r="L772">
        <f>IFERROR(LEFT(K772,             FIND(",", K772) - 1), "-")</f>
        <v/>
      </c>
      <c r="M772">
        <f>IFERROR(MID(K772,             FIND(",", K772) + 1, LEN(K772) - FIND(",", K772)), K772)</f>
        <v/>
      </c>
      <c r="N772" t="n">
        <v>2</v>
      </c>
      <c r="P772" t="inlineStr">
        <is>
          <t>08:00</t>
        </is>
      </c>
      <c r="Q772" t="inlineStr">
        <is>
          <t>11:00</t>
        </is>
      </c>
    </row>
    <row r="773">
      <c r="A773" t="inlineStr">
        <is>
          <t>Ong Jed</t>
        </is>
      </c>
      <c r="B773" t="inlineStr">
        <is>
          <t>ZZZs001PH:Support in general</t>
        </is>
      </c>
      <c r="D773">
        <f>L773</f>
        <v/>
      </c>
      <c r="E773">
        <f>SUMIFS(J:J, G:G,             A773, H:H, B773, L:L, L773)</f>
        <v/>
      </c>
      <c r="F773" t="inlineStr">
        <is>
          <t>PH0011</t>
        </is>
      </c>
      <c r="G773" t="inlineStr">
        <is>
          <t>Ong Jed</t>
        </is>
      </c>
      <c r="H773" t="inlineStr">
        <is>
          <t>ZZZs001PH:Support in general</t>
        </is>
      </c>
      <c r="I773" s="1" t="n">
        <v>45938</v>
      </c>
      <c r="J773" t="n">
        <v>3</v>
      </c>
      <c r="L773">
        <f>IFERROR(LEFT(K773,             FIND(",", K773) - 1), "-")</f>
        <v/>
      </c>
      <c r="M773">
        <f>IFERROR(MID(K773,             FIND(",", K773) + 1, LEN(K773) - FIND(",", K773)), K773)</f>
        <v/>
      </c>
      <c r="N773" t="n">
        <v>2</v>
      </c>
      <c r="P773" t="inlineStr">
        <is>
          <t>08:00</t>
        </is>
      </c>
      <c r="Q773" t="inlineStr">
        <is>
          <t>11:00</t>
        </is>
      </c>
    </row>
    <row r="774">
      <c r="A774" t="inlineStr">
        <is>
          <t>Ong Jed</t>
        </is>
      </c>
      <c r="B774" t="inlineStr">
        <is>
          <t>ZZZs001PH:Support in general</t>
        </is>
      </c>
      <c r="D774">
        <f>L774</f>
        <v/>
      </c>
      <c r="E774">
        <f>SUMIFS(J:J, G:G,             A774, H:H, B774, L:L, L774)</f>
        <v/>
      </c>
      <c r="F774" t="inlineStr">
        <is>
          <t>PH0011</t>
        </is>
      </c>
      <c r="G774" t="inlineStr">
        <is>
          <t>Ong Jed</t>
        </is>
      </c>
      <c r="H774" t="inlineStr">
        <is>
          <t>ZZZs001PH:Support in general</t>
        </is>
      </c>
      <c r="I774" s="1" t="n">
        <v>45952</v>
      </c>
      <c r="J774" t="n">
        <v>1</v>
      </c>
      <c r="L774">
        <f>IFERROR(LEFT(K774,             FIND(",", K774) - 1), "-")</f>
        <v/>
      </c>
      <c r="M774">
        <f>IFERROR(MID(K774,             FIND(",", K774) + 1, LEN(K774) - FIND(",", K774)), K774)</f>
        <v/>
      </c>
      <c r="N774" t="n">
        <v>2</v>
      </c>
      <c r="P774" t="inlineStr">
        <is>
          <t>16:00</t>
        </is>
      </c>
      <c r="Q774" t="inlineStr">
        <is>
          <t>17:00</t>
        </is>
      </c>
    </row>
    <row r="775">
      <c r="A775" t="inlineStr">
        <is>
          <t>Ong Jed</t>
        </is>
      </c>
      <c r="B775" t="inlineStr">
        <is>
          <t>ZZZs001PH:Support in general</t>
        </is>
      </c>
      <c r="D775">
        <f>L775</f>
        <v/>
      </c>
      <c r="E775">
        <f>SUMIFS(J:J, G:G,             A775, H:H, B775, L:L, L775)</f>
        <v/>
      </c>
      <c r="F775" t="inlineStr">
        <is>
          <t>PH0011</t>
        </is>
      </c>
      <c r="G775" t="inlineStr">
        <is>
          <t>Ong Jed</t>
        </is>
      </c>
      <c r="H775" t="inlineStr">
        <is>
          <t>ZZZs001PH:Support in general</t>
        </is>
      </c>
      <c r="I775" s="1" t="n">
        <v>45953</v>
      </c>
      <c r="J775" t="n">
        <v>0.25</v>
      </c>
      <c r="L775">
        <f>IFERROR(LEFT(K775,             FIND(",", K775) - 1), "-")</f>
        <v/>
      </c>
      <c r="M775">
        <f>IFERROR(MID(K775,             FIND(",", K775) + 1, LEN(K775) - FIND(",", K775)), K775)</f>
        <v/>
      </c>
      <c r="N775" t="n">
        <v>8</v>
      </c>
      <c r="P775" t="inlineStr">
        <is>
          <t>08:00</t>
        </is>
      </c>
      <c r="Q775" t="inlineStr">
        <is>
          <t>08:15</t>
        </is>
      </c>
    </row>
    <row r="776">
      <c r="A776" t="inlineStr">
        <is>
          <t>Ong Jed</t>
        </is>
      </c>
      <c r="B776" t="inlineStr">
        <is>
          <t>ZZZs001PH:Support in general</t>
        </is>
      </c>
      <c r="D776">
        <f>L776</f>
        <v/>
      </c>
      <c r="E776">
        <f>SUMIFS(J:J, G:G,             A776, H:H, B776, L:L, L776)</f>
        <v/>
      </c>
      <c r="F776" t="inlineStr">
        <is>
          <t>PH0011</t>
        </is>
      </c>
      <c r="G776" t="inlineStr">
        <is>
          <t>Ong Jed</t>
        </is>
      </c>
      <c r="H776" t="inlineStr">
        <is>
          <t>ZZZs001PH:Support in general</t>
        </is>
      </c>
      <c r="I776" s="1" t="n">
        <v>45953</v>
      </c>
      <c r="J776" t="n">
        <v>1.5</v>
      </c>
      <c r="L776">
        <f>IFERROR(LEFT(K776,             FIND(",", K776) - 1), "-")</f>
        <v/>
      </c>
      <c r="M776">
        <f>IFERROR(MID(K776,             FIND(",", K776) + 1, LEN(K776) - FIND(",", K776)), K776)</f>
        <v/>
      </c>
      <c r="N776" t="n">
        <v>2</v>
      </c>
      <c r="P776" t="inlineStr">
        <is>
          <t>16:00</t>
        </is>
      </c>
      <c r="Q776" t="inlineStr">
        <is>
          <t>17:30</t>
        </is>
      </c>
    </row>
    <row r="777">
      <c r="A777" t="inlineStr">
        <is>
          <t>Santos Rio</t>
        </is>
      </c>
      <c r="B777" t="inlineStr">
        <is>
          <t>SSKs001PH:Shuruisouken support</t>
        </is>
      </c>
      <c r="C777">
        <f>SUMIFS(J:J, G:G,             A777, H:H, B777)</f>
        <v/>
      </c>
      <c r="D777">
        <f>L777</f>
        <v/>
      </c>
      <c r="E777">
        <f>SUMIFS(J:J, G:G,             A777, H:H, B777, L:L, L777)</f>
        <v/>
      </c>
      <c r="F777" t="inlineStr">
        <is>
          <t>PH0008</t>
        </is>
      </c>
      <c r="G777" t="inlineStr">
        <is>
          <t>Santos Rio</t>
        </is>
      </c>
      <c r="H777" t="inlineStr">
        <is>
          <t>SSKs001PH:Shuruisouken support</t>
        </is>
      </c>
      <c r="I777" s="1" t="n">
        <v>45950</v>
      </c>
      <c r="J777" t="n">
        <v>0.5</v>
      </c>
      <c r="L777">
        <f>IFERROR(LEFT(K777,             FIND(",", K777) - 1), "-")</f>
        <v/>
      </c>
      <c r="M777">
        <f>IFERROR(MID(K777,             FIND(",", K777) + 1, LEN(K777) - FIND(",", K777)), K777)</f>
        <v/>
      </c>
      <c r="N777" t="n">
        <v>2</v>
      </c>
      <c r="P777" t="inlineStr">
        <is>
          <t>10:30</t>
        </is>
      </c>
      <c r="Q777" t="inlineStr">
        <is>
          <t>11:00</t>
        </is>
      </c>
    </row>
    <row r="778">
      <c r="A778" t="inlineStr">
        <is>
          <t>Santos Rio</t>
        </is>
      </c>
      <c r="B778" t="inlineStr">
        <is>
          <t>SSKs001PH:Shuruisouken support</t>
        </is>
      </c>
      <c r="D778">
        <f>L778</f>
        <v/>
      </c>
      <c r="E778">
        <f>SUMIFS(J:J, G:G,             A778, H:H, B778, L:L, L778)</f>
        <v/>
      </c>
      <c r="F778" t="inlineStr">
        <is>
          <t>PH0008</t>
        </is>
      </c>
      <c r="G778" t="inlineStr">
        <is>
          <t>Santos Rio</t>
        </is>
      </c>
      <c r="H778" t="inlineStr">
        <is>
          <t>SSKs001PH:Shuruisouken support</t>
        </is>
      </c>
      <c r="I778" s="1" t="n">
        <v>45950</v>
      </c>
      <c r="J778" t="n">
        <v>1.25</v>
      </c>
      <c r="L778">
        <f>IFERROR(LEFT(K778,             FIND(",", K778) - 1), "-")</f>
        <v/>
      </c>
      <c r="M778">
        <f>IFERROR(MID(K778,             FIND(",", K778) + 1, LEN(K778) - FIND(",", K778)), K778)</f>
        <v/>
      </c>
      <c r="N778" t="n">
        <v>2</v>
      </c>
      <c r="P778" t="inlineStr">
        <is>
          <t>12:00</t>
        </is>
      </c>
      <c r="Q778" t="inlineStr">
        <is>
          <t>13:15</t>
        </is>
      </c>
    </row>
    <row r="779">
      <c r="A779" t="inlineStr">
        <is>
          <t>Santos Rio</t>
        </is>
      </c>
      <c r="B779" t="inlineStr">
        <is>
          <t>TCNz002PH:Waiting for requests</t>
        </is>
      </c>
      <c r="C779">
        <f>SUMIFS(J:J, G:G,             A779, H:H, B779)</f>
        <v/>
      </c>
      <c r="D779">
        <f>L779</f>
        <v/>
      </c>
      <c r="E779">
        <f>SUMIFS(J:J, G:G,             A779, H:H, B779, L:L, L779)</f>
        <v/>
      </c>
      <c r="F779" t="inlineStr">
        <is>
          <t>PH0008</t>
        </is>
      </c>
      <c r="G779" t="inlineStr">
        <is>
          <t>Santos Rio</t>
        </is>
      </c>
      <c r="H779" t="inlineStr">
        <is>
          <t>TCNz002PH:Waiting for requests</t>
        </is>
      </c>
      <c r="I779" s="1" t="n">
        <v>45950</v>
      </c>
      <c r="J779" t="n">
        <v>2.75</v>
      </c>
      <c r="L779">
        <f>IFERROR(LEFT(K779,             FIND(",", K779) - 1), "-")</f>
        <v/>
      </c>
      <c r="M779">
        <f>IFERROR(MID(K779,             FIND(",", K779) + 1, LEN(K779) - FIND(",", K779)), K779)</f>
        <v/>
      </c>
      <c r="N779" t="n">
        <v>5</v>
      </c>
      <c r="P779" t="inlineStr">
        <is>
          <t>13:15</t>
        </is>
      </c>
      <c r="Q779" t="inlineStr">
        <is>
          <t>16:00</t>
        </is>
      </c>
    </row>
    <row r="780">
      <c r="A780" t="inlineStr">
        <is>
          <t>Santos Rio</t>
        </is>
      </c>
      <c r="B780" t="inlineStr">
        <is>
          <t>TCNz002PH:Waiting for requests</t>
        </is>
      </c>
      <c r="D780">
        <f>L780</f>
        <v/>
      </c>
      <c r="E780">
        <f>SUMIFS(J:J, G:G,             A780, H:H, B780, L:L, L780)</f>
        <v/>
      </c>
      <c r="F780" t="inlineStr">
        <is>
          <t>PH0008</t>
        </is>
      </c>
      <c r="G780" t="inlineStr">
        <is>
          <t>Santos Rio</t>
        </is>
      </c>
      <c r="H780" t="inlineStr">
        <is>
          <t>TCNz002PH:Waiting for requests</t>
        </is>
      </c>
      <c r="I780" s="1" t="n">
        <v>45951</v>
      </c>
      <c r="J780" t="n">
        <v>2.25</v>
      </c>
      <c r="L780">
        <f>IFERROR(LEFT(K780,             FIND(",", K780) - 1), "-")</f>
        <v/>
      </c>
      <c r="M780">
        <f>IFERROR(MID(K780,             FIND(",", K780) + 1, LEN(K780) - FIND(",", K780)), K780)</f>
        <v/>
      </c>
      <c r="N780" t="n">
        <v>5</v>
      </c>
      <c r="P780" t="inlineStr">
        <is>
          <t>15:00</t>
        </is>
      </c>
      <c r="Q780" t="inlineStr">
        <is>
          <t>17:15</t>
        </is>
      </c>
    </row>
    <row r="781">
      <c r="A781" t="inlineStr">
        <is>
          <t>Santos Rio</t>
        </is>
      </c>
      <c r="B781" t="inlineStr">
        <is>
          <t>TCNz002PH:Waiting for requests</t>
        </is>
      </c>
      <c r="D781">
        <f>L781</f>
        <v/>
      </c>
      <c r="E781">
        <f>SUMIFS(J:J, G:G,             A781, H:H, B781, L:L, L781)</f>
        <v/>
      </c>
      <c r="F781" t="inlineStr">
        <is>
          <t>PH0008</t>
        </is>
      </c>
      <c r="G781" t="inlineStr">
        <is>
          <t>Santos Rio</t>
        </is>
      </c>
      <c r="H781" t="inlineStr">
        <is>
          <t>TCNz002PH:Waiting for requests</t>
        </is>
      </c>
      <c r="I781" s="1" t="n">
        <v>45952</v>
      </c>
      <c r="J781" t="n">
        <v>2.75</v>
      </c>
      <c r="L781">
        <f>IFERROR(LEFT(K781,             FIND(",", K781) - 1), "-")</f>
        <v/>
      </c>
      <c r="M781">
        <f>IFERROR(MID(K781,             FIND(",", K781) + 1, LEN(K781) - FIND(",", K781)), K781)</f>
        <v/>
      </c>
      <c r="N781" t="n">
        <v>5</v>
      </c>
      <c r="P781" t="inlineStr">
        <is>
          <t>08:00</t>
        </is>
      </c>
      <c r="Q781" t="inlineStr">
        <is>
          <t>10:45</t>
        </is>
      </c>
    </row>
    <row r="782">
      <c r="A782" t="inlineStr">
        <is>
          <t>Santos Rio</t>
        </is>
      </c>
      <c r="B782" t="inlineStr">
        <is>
          <t>TCNz002PH:Waiting for requests</t>
        </is>
      </c>
      <c r="D782">
        <f>L782</f>
        <v/>
      </c>
      <c r="E782">
        <f>SUMIFS(J:J, G:G,             A782, H:H, B782, L:L, L782)</f>
        <v/>
      </c>
      <c r="F782" t="inlineStr">
        <is>
          <t>PH0008</t>
        </is>
      </c>
      <c r="G782" t="inlineStr">
        <is>
          <t>Santos Rio</t>
        </is>
      </c>
      <c r="H782" t="inlineStr">
        <is>
          <t>TCNz002PH:Waiting for requests</t>
        </is>
      </c>
      <c r="I782" s="1" t="n">
        <v>45952</v>
      </c>
      <c r="J782" t="n">
        <v>3</v>
      </c>
      <c r="L782">
        <f>IFERROR(LEFT(K782,             FIND(",", K782) - 1), "-")</f>
        <v/>
      </c>
      <c r="M782">
        <f>IFERROR(MID(K782,             FIND(",", K782) + 1, LEN(K782) - FIND(",", K782)), K782)</f>
        <v/>
      </c>
      <c r="N782" t="n">
        <v>5</v>
      </c>
      <c r="P782" t="inlineStr">
        <is>
          <t>13:15</t>
        </is>
      </c>
      <c r="Q782" t="inlineStr">
        <is>
          <t>16:15</t>
        </is>
      </c>
    </row>
    <row r="783">
      <c r="A783" t="inlineStr">
        <is>
          <t>Santos Rio</t>
        </is>
      </c>
      <c r="B783" t="inlineStr">
        <is>
          <t>TCNz002PH:Waiting for requests</t>
        </is>
      </c>
      <c r="D783">
        <f>L783</f>
        <v/>
      </c>
      <c r="E783">
        <f>SUMIFS(J:J, G:G,             A783, H:H, B783, L:L, L783)</f>
        <v/>
      </c>
      <c r="F783" t="inlineStr">
        <is>
          <t>PH0008</t>
        </is>
      </c>
      <c r="G783" t="inlineStr">
        <is>
          <t>Santos Rio</t>
        </is>
      </c>
      <c r="H783" t="inlineStr">
        <is>
          <t>TCNz002PH:Waiting for requests</t>
        </is>
      </c>
      <c r="I783" s="1" t="n">
        <v>45953</v>
      </c>
      <c r="J783" t="n">
        <v>3</v>
      </c>
      <c r="L783">
        <f>IFERROR(LEFT(K783,             FIND(",", K783) - 1), "-")</f>
        <v/>
      </c>
      <c r="M783">
        <f>IFERROR(MID(K783,             FIND(",", K783) + 1, LEN(K783) - FIND(",", K783)), K783)</f>
        <v/>
      </c>
      <c r="N783" t="n">
        <v>5</v>
      </c>
      <c r="P783" t="inlineStr">
        <is>
          <t>08:00</t>
        </is>
      </c>
      <c r="Q783" t="inlineStr">
        <is>
          <t>11:00</t>
        </is>
      </c>
    </row>
    <row r="784">
      <c r="A784" t="inlineStr">
        <is>
          <t>Santos Rio</t>
        </is>
      </c>
      <c r="B784" t="inlineStr">
        <is>
          <t>TCNz002PH:Waiting for requests</t>
        </is>
      </c>
      <c r="D784">
        <f>L784</f>
        <v/>
      </c>
      <c r="E784">
        <f>SUMIFS(J:J, G:G,             A784, H:H, B784, L:L, L784)</f>
        <v/>
      </c>
      <c r="F784" t="inlineStr">
        <is>
          <t>PH0008</t>
        </is>
      </c>
      <c r="G784" t="inlineStr">
        <is>
          <t>Santos Rio</t>
        </is>
      </c>
      <c r="H784" t="inlineStr">
        <is>
          <t>TCNz002PH:Waiting for requests</t>
        </is>
      </c>
      <c r="I784" s="1" t="n">
        <v>45953</v>
      </c>
      <c r="J784" t="n">
        <v>5.25</v>
      </c>
      <c r="L784">
        <f>IFERROR(LEFT(K784,             FIND(",", K784) - 1), "-")</f>
        <v/>
      </c>
      <c r="M784">
        <f>IFERROR(MID(K784,             FIND(",", K784) + 1, LEN(K784) - FIND(",", K784)), K784)</f>
        <v/>
      </c>
      <c r="N784" t="n">
        <v>5</v>
      </c>
      <c r="P784" t="inlineStr">
        <is>
          <t>12:00</t>
        </is>
      </c>
      <c r="Q784" t="inlineStr">
        <is>
          <t>17:15</t>
        </is>
      </c>
    </row>
    <row r="785">
      <c r="A785" t="inlineStr">
        <is>
          <t>Santos Rio</t>
        </is>
      </c>
      <c r="B785" t="inlineStr">
        <is>
          <t>TCNz004PH:SMS NewDev</t>
        </is>
      </c>
      <c r="C785">
        <f>SUMIFS(J:J, G:G,             A785, H:H, B785)</f>
        <v/>
      </c>
      <c r="D785">
        <f>L785</f>
        <v/>
      </c>
      <c r="E785">
        <f>SUMIFS(J:J, G:G,             A785, H:H, B785, L:L, L785)</f>
        <v/>
      </c>
      <c r="F785" t="inlineStr">
        <is>
          <t>PH0008</t>
        </is>
      </c>
      <c r="G785" t="inlineStr">
        <is>
          <t>Santos Rio</t>
        </is>
      </c>
      <c r="H785" t="inlineStr">
        <is>
          <t>TCNz004PH:SMS NewDev</t>
        </is>
      </c>
      <c r="I785" s="1" t="n">
        <v>45931</v>
      </c>
      <c r="J785" t="n">
        <v>3</v>
      </c>
      <c r="L785">
        <f>IFERROR(LEFT(K785,             FIND(",", K785) - 1), "-")</f>
        <v/>
      </c>
      <c r="M785">
        <f>IFERROR(MID(K785,             FIND(",", K785) + 1, LEN(K785) - FIND(",", K785)), K785)</f>
        <v/>
      </c>
      <c r="P785" t="inlineStr">
        <is>
          <t>08:00</t>
        </is>
      </c>
      <c r="Q785" t="inlineStr">
        <is>
          <t>11:00</t>
        </is>
      </c>
    </row>
    <row r="786">
      <c r="A786" t="inlineStr">
        <is>
          <t>Santos Rio</t>
        </is>
      </c>
      <c r="B786" t="inlineStr">
        <is>
          <t>TCNz004PH:SMS NewDev</t>
        </is>
      </c>
      <c r="D786">
        <f>L786</f>
        <v/>
      </c>
      <c r="E786">
        <f>SUMIFS(J:J, G:G,             A786, H:H, B786, L:L, L786)</f>
        <v/>
      </c>
      <c r="F786" t="inlineStr">
        <is>
          <t>PH0008</t>
        </is>
      </c>
      <c r="G786" t="inlineStr">
        <is>
          <t>Santos Rio</t>
        </is>
      </c>
      <c r="H786" t="inlineStr">
        <is>
          <t>TCNz004PH:SMS NewDev</t>
        </is>
      </c>
      <c r="I786" s="1" t="n">
        <v>45931</v>
      </c>
      <c r="J786" t="n">
        <v>5.5</v>
      </c>
      <c r="L786">
        <f>IFERROR(LEFT(K786,             FIND(",", K786) - 1), "-")</f>
        <v/>
      </c>
      <c r="M786">
        <f>IFERROR(MID(K786,             FIND(",", K786) + 1, LEN(K786) - FIND(",", K786)), K786)</f>
        <v/>
      </c>
      <c r="P786" t="inlineStr">
        <is>
          <t>12:00</t>
        </is>
      </c>
      <c r="Q786" t="inlineStr">
        <is>
          <t>17:30</t>
        </is>
      </c>
    </row>
    <row r="787">
      <c r="A787" t="inlineStr">
        <is>
          <t>Santos Rio</t>
        </is>
      </c>
      <c r="B787" t="inlineStr">
        <is>
          <t>TCNz004PH:SMS NewDev</t>
        </is>
      </c>
      <c r="D787">
        <f>L787</f>
        <v/>
      </c>
      <c r="E787">
        <f>SUMIFS(J:J, G:G,             A787, H:H, B787, L:L, L787)</f>
        <v/>
      </c>
      <c r="F787" t="inlineStr">
        <is>
          <t>PH0008</t>
        </is>
      </c>
      <c r="G787" t="inlineStr">
        <is>
          <t>Santos Rio</t>
        </is>
      </c>
      <c r="H787" t="inlineStr">
        <is>
          <t>TCNz004PH:SMS NewDev</t>
        </is>
      </c>
      <c r="I787" s="1" t="n">
        <v>45932</v>
      </c>
      <c r="J787" t="n">
        <v>3</v>
      </c>
      <c r="L787">
        <f>IFERROR(LEFT(K787,             FIND(",", K787) - 1), "-")</f>
        <v/>
      </c>
      <c r="M787">
        <f>IFERROR(MID(K787,             FIND(",", K787) + 1, LEN(K787) - FIND(",", K787)), K787)</f>
        <v/>
      </c>
      <c r="P787" t="inlineStr">
        <is>
          <t>08:00</t>
        </is>
      </c>
      <c r="Q787" t="inlineStr">
        <is>
          <t>11:00</t>
        </is>
      </c>
    </row>
    <row r="788">
      <c r="A788" t="inlineStr">
        <is>
          <t>Santos Rio</t>
        </is>
      </c>
      <c r="B788" t="inlineStr">
        <is>
          <t>TCNz004PH:SMS NewDev</t>
        </is>
      </c>
      <c r="D788">
        <f>L788</f>
        <v/>
      </c>
      <c r="E788">
        <f>SUMIFS(J:J, G:G,             A788, H:H, B788, L:L, L788)</f>
        <v/>
      </c>
      <c r="F788" t="inlineStr">
        <is>
          <t>PH0008</t>
        </is>
      </c>
      <c r="G788" t="inlineStr">
        <is>
          <t>Santos Rio</t>
        </is>
      </c>
      <c r="H788" t="inlineStr">
        <is>
          <t>TCNz004PH:SMS NewDev</t>
        </is>
      </c>
      <c r="I788" s="1" t="n">
        <v>45932</v>
      </c>
      <c r="J788" t="n">
        <v>5.25</v>
      </c>
      <c r="L788">
        <f>IFERROR(LEFT(K788,             FIND(",", K788) - 1), "-")</f>
        <v/>
      </c>
      <c r="M788">
        <f>IFERROR(MID(K788,             FIND(",", K788) + 1, LEN(K788) - FIND(",", K788)), K788)</f>
        <v/>
      </c>
      <c r="P788" t="inlineStr">
        <is>
          <t>12:00</t>
        </is>
      </c>
      <c r="Q788" t="inlineStr">
        <is>
          <t>17:15</t>
        </is>
      </c>
    </row>
    <row r="789">
      <c r="A789" t="inlineStr">
        <is>
          <t>Santos Rio</t>
        </is>
      </c>
      <c r="B789" t="inlineStr">
        <is>
          <t>TCNz004PH:SMS NewDev</t>
        </is>
      </c>
      <c r="D789">
        <f>L789</f>
        <v/>
      </c>
      <c r="E789">
        <f>SUMIFS(J:J, G:G,             A789, H:H, B789, L:L, L789)</f>
        <v/>
      </c>
      <c r="F789" t="inlineStr">
        <is>
          <t>PH0008</t>
        </is>
      </c>
      <c r="G789" t="inlineStr">
        <is>
          <t>Santos Rio</t>
        </is>
      </c>
      <c r="H789" t="inlineStr">
        <is>
          <t>TCNz004PH:SMS NewDev</t>
        </is>
      </c>
      <c r="I789" s="1" t="n">
        <v>45933</v>
      </c>
      <c r="J789" t="n">
        <v>3</v>
      </c>
      <c r="L789">
        <f>IFERROR(LEFT(K789,             FIND(",", K789) - 1), "-")</f>
        <v/>
      </c>
      <c r="M789">
        <f>IFERROR(MID(K789,             FIND(",", K789) + 1, LEN(K789) - FIND(",", K789)), K789)</f>
        <v/>
      </c>
      <c r="P789" t="inlineStr">
        <is>
          <t>08:00</t>
        </is>
      </c>
      <c r="Q789" t="inlineStr">
        <is>
          <t>11:00</t>
        </is>
      </c>
    </row>
    <row r="790">
      <c r="A790" t="inlineStr">
        <is>
          <t>Santos Rio</t>
        </is>
      </c>
      <c r="B790" t="inlineStr">
        <is>
          <t>TCNz004PH:SMS NewDev</t>
        </is>
      </c>
      <c r="D790">
        <f>L790</f>
        <v/>
      </c>
      <c r="E790">
        <f>SUMIFS(J:J, G:G,             A790, H:H, B790, L:L, L790)</f>
        <v/>
      </c>
      <c r="F790" t="inlineStr">
        <is>
          <t>PH0008</t>
        </is>
      </c>
      <c r="G790" t="inlineStr">
        <is>
          <t>Santos Rio</t>
        </is>
      </c>
      <c r="H790" t="inlineStr">
        <is>
          <t>TCNz004PH:SMS NewDev</t>
        </is>
      </c>
      <c r="I790" s="1" t="n">
        <v>45933</v>
      </c>
      <c r="J790" t="n">
        <v>5.5</v>
      </c>
      <c r="L790">
        <f>IFERROR(LEFT(K790,             FIND(",", K790) - 1), "-")</f>
        <v/>
      </c>
      <c r="M790">
        <f>IFERROR(MID(K790,             FIND(",", K790) + 1, LEN(K790) - FIND(",", K790)), K790)</f>
        <v/>
      </c>
      <c r="P790" t="inlineStr">
        <is>
          <t>12:00</t>
        </is>
      </c>
      <c r="Q790" t="inlineStr">
        <is>
          <t>17:30</t>
        </is>
      </c>
    </row>
    <row r="791">
      <c r="A791" t="inlineStr">
        <is>
          <t>Santos Rio</t>
        </is>
      </c>
      <c r="B791" t="inlineStr">
        <is>
          <t>TCNz004PH:SMS NewDev</t>
        </is>
      </c>
      <c r="D791">
        <f>L791</f>
        <v/>
      </c>
      <c r="E791">
        <f>SUMIFS(J:J, G:G,             A791, H:H, B791, L:L, L791)</f>
        <v/>
      </c>
      <c r="F791" t="inlineStr">
        <is>
          <t>PH0008</t>
        </is>
      </c>
      <c r="G791" t="inlineStr">
        <is>
          <t>Santos Rio</t>
        </is>
      </c>
      <c r="H791" t="inlineStr">
        <is>
          <t>TCNz004PH:SMS NewDev</t>
        </is>
      </c>
      <c r="I791" s="1" t="n">
        <v>45936</v>
      </c>
      <c r="J791" t="n">
        <v>3</v>
      </c>
      <c r="L791">
        <f>IFERROR(LEFT(K791,             FIND(",", K791) - 1), "-")</f>
        <v/>
      </c>
      <c r="M791">
        <f>IFERROR(MID(K791,             FIND(",", K791) + 1, LEN(K791) - FIND(",", K791)), K791)</f>
        <v/>
      </c>
      <c r="P791" t="inlineStr">
        <is>
          <t>08:00</t>
        </is>
      </c>
      <c r="Q791" t="inlineStr">
        <is>
          <t>11:00</t>
        </is>
      </c>
    </row>
    <row r="792">
      <c r="A792" t="inlineStr">
        <is>
          <t>Santos Rio</t>
        </is>
      </c>
      <c r="B792" t="inlineStr">
        <is>
          <t>TCNz004PH:SMS NewDev</t>
        </is>
      </c>
      <c r="D792">
        <f>L792</f>
        <v/>
      </c>
      <c r="E792">
        <f>SUMIFS(J:J, G:G,             A792, H:H, B792, L:L, L792)</f>
        <v/>
      </c>
      <c r="F792" t="inlineStr">
        <is>
          <t>PH0008</t>
        </is>
      </c>
      <c r="G792" t="inlineStr">
        <is>
          <t>Santos Rio</t>
        </is>
      </c>
      <c r="H792" t="inlineStr">
        <is>
          <t>TCNz004PH:SMS NewDev</t>
        </is>
      </c>
      <c r="I792" s="1" t="n">
        <v>45936</v>
      </c>
      <c r="J792" t="n">
        <v>5.25</v>
      </c>
      <c r="L792">
        <f>IFERROR(LEFT(K792,             FIND(",", K792) - 1), "-")</f>
        <v/>
      </c>
      <c r="M792">
        <f>IFERROR(MID(K792,             FIND(",", K792) + 1, LEN(K792) - FIND(",", K792)), K792)</f>
        <v/>
      </c>
      <c r="P792" t="inlineStr">
        <is>
          <t>12:00</t>
        </is>
      </c>
      <c r="Q792" t="inlineStr">
        <is>
          <t>17:15</t>
        </is>
      </c>
    </row>
    <row r="793">
      <c r="A793" t="inlineStr">
        <is>
          <t>Santos Rio</t>
        </is>
      </c>
      <c r="B793" t="inlineStr">
        <is>
          <t>TCNz004PH:SMS NewDev</t>
        </is>
      </c>
      <c r="D793">
        <f>L793</f>
        <v/>
      </c>
      <c r="E793">
        <f>SUMIFS(J:J, G:G,             A793, H:H, B793, L:L, L793)</f>
        <v/>
      </c>
      <c r="F793" t="inlineStr">
        <is>
          <t>PH0008</t>
        </is>
      </c>
      <c r="G793" t="inlineStr">
        <is>
          <t>Santos Rio</t>
        </is>
      </c>
      <c r="H793" t="inlineStr">
        <is>
          <t>TCNz004PH:SMS NewDev</t>
        </is>
      </c>
      <c r="I793" s="1" t="n">
        <v>45937</v>
      </c>
      <c r="J793" t="n">
        <v>3</v>
      </c>
      <c r="L793">
        <f>IFERROR(LEFT(K793,             FIND(",", K793) - 1), "-")</f>
        <v/>
      </c>
      <c r="M793">
        <f>IFERROR(MID(K793,             FIND(",", K793) + 1, LEN(K793) - FIND(",", K793)), K793)</f>
        <v/>
      </c>
      <c r="P793" t="inlineStr">
        <is>
          <t>08:00</t>
        </is>
      </c>
      <c r="Q793" t="inlineStr">
        <is>
          <t>11:00</t>
        </is>
      </c>
    </row>
    <row r="794">
      <c r="A794" t="inlineStr">
        <is>
          <t>Santos Rio</t>
        </is>
      </c>
      <c r="B794" t="inlineStr">
        <is>
          <t>TCNz004PH:SMS NewDev</t>
        </is>
      </c>
      <c r="D794">
        <f>L794</f>
        <v/>
      </c>
      <c r="E794">
        <f>SUMIFS(J:J, G:G,             A794, H:H, B794, L:L, L794)</f>
        <v/>
      </c>
      <c r="F794" t="inlineStr">
        <is>
          <t>PH0008</t>
        </is>
      </c>
      <c r="G794" t="inlineStr">
        <is>
          <t>Santos Rio</t>
        </is>
      </c>
      <c r="H794" t="inlineStr">
        <is>
          <t>TCNz004PH:SMS NewDev</t>
        </is>
      </c>
      <c r="I794" s="1" t="n">
        <v>45937</v>
      </c>
      <c r="J794" t="n">
        <v>5.25</v>
      </c>
      <c r="L794">
        <f>IFERROR(LEFT(K794,             FIND(",", K794) - 1), "-")</f>
        <v/>
      </c>
      <c r="M794">
        <f>IFERROR(MID(K794,             FIND(",", K794) + 1, LEN(K794) - FIND(",", K794)), K794)</f>
        <v/>
      </c>
      <c r="P794" t="inlineStr">
        <is>
          <t>12:00</t>
        </is>
      </c>
      <c r="Q794" t="inlineStr">
        <is>
          <t>17:15</t>
        </is>
      </c>
    </row>
    <row r="795">
      <c r="A795" t="inlineStr">
        <is>
          <t>Santos Rio</t>
        </is>
      </c>
      <c r="B795" t="inlineStr">
        <is>
          <t>TCNz004PH:SMS NewDev</t>
        </is>
      </c>
      <c r="D795">
        <f>L795</f>
        <v/>
      </c>
      <c r="E795">
        <f>SUMIFS(J:J, G:G,             A795, H:H, B795, L:L, L795)</f>
        <v/>
      </c>
      <c r="F795" t="inlineStr">
        <is>
          <t>PH0008</t>
        </is>
      </c>
      <c r="G795" t="inlineStr">
        <is>
          <t>Santos Rio</t>
        </is>
      </c>
      <c r="H795" t="inlineStr">
        <is>
          <t>TCNz004PH:SMS NewDev</t>
        </is>
      </c>
      <c r="I795" s="1" t="n">
        <v>45938</v>
      </c>
      <c r="J795" t="n">
        <v>3</v>
      </c>
      <c r="L795">
        <f>IFERROR(LEFT(K795,             FIND(",", K795) - 1), "-")</f>
        <v/>
      </c>
      <c r="M795">
        <f>IFERROR(MID(K795,             FIND(",", K795) + 1, LEN(K795) - FIND(",", K795)), K795)</f>
        <v/>
      </c>
      <c r="P795" t="inlineStr">
        <is>
          <t>08:00</t>
        </is>
      </c>
      <c r="Q795" t="inlineStr">
        <is>
          <t>11:00</t>
        </is>
      </c>
    </row>
    <row r="796">
      <c r="A796" t="inlineStr">
        <is>
          <t>Santos Rio</t>
        </is>
      </c>
      <c r="B796" t="inlineStr">
        <is>
          <t>TCNz004PH:SMS NewDev</t>
        </is>
      </c>
      <c r="D796">
        <f>L796</f>
        <v/>
      </c>
      <c r="E796">
        <f>SUMIFS(J:J, G:G,             A796, H:H, B796, L:L, L796)</f>
        <v/>
      </c>
      <c r="F796" t="inlineStr">
        <is>
          <t>PH0008</t>
        </is>
      </c>
      <c r="G796" t="inlineStr">
        <is>
          <t>Santos Rio</t>
        </is>
      </c>
      <c r="H796" t="inlineStr">
        <is>
          <t>TCNz004PH:SMS NewDev</t>
        </is>
      </c>
      <c r="I796" s="1" t="n">
        <v>45938</v>
      </c>
      <c r="J796" t="n">
        <v>5.25</v>
      </c>
      <c r="L796">
        <f>IFERROR(LEFT(K796,             FIND(",", K796) - 1), "-")</f>
        <v/>
      </c>
      <c r="M796">
        <f>IFERROR(MID(K796,             FIND(",", K796) + 1, LEN(K796) - FIND(",", K796)), K796)</f>
        <v/>
      </c>
      <c r="P796" t="inlineStr">
        <is>
          <t>12:00</t>
        </is>
      </c>
      <c r="Q796" t="inlineStr">
        <is>
          <t>17:15</t>
        </is>
      </c>
    </row>
    <row r="797">
      <c r="A797" t="inlineStr">
        <is>
          <t>Santos Rio</t>
        </is>
      </c>
      <c r="B797" t="inlineStr">
        <is>
          <t>TCNz004PH:SMS NewDev</t>
        </is>
      </c>
      <c r="D797">
        <f>L797</f>
        <v/>
      </c>
      <c r="E797">
        <f>SUMIFS(J:J, G:G,             A797, H:H, B797, L:L, L797)</f>
        <v/>
      </c>
      <c r="F797" t="inlineStr">
        <is>
          <t>PH0008</t>
        </is>
      </c>
      <c r="G797" t="inlineStr">
        <is>
          <t>Santos Rio</t>
        </is>
      </c>
      <c r="H797" t="inlineStr">
        <is>
          <t>TCNz004PH:SMS NewDev</t>
        </is>
      </c>
      <c r="I797" s="1" t="n">
        <v>45939</v>
      </c>
      <c r="J797" t="n">
        <v>3</v>
      </c>
      <c r="L797">
        <f>IFERROR(LEFT(K797,             FIND(",", K797) - 1), "-")</f>
        <v/>
      </c>
      <c r="M797">
        <f>IFERROR(MID(K797,             FIND(",", K797) + 1, LEN(K797) - FIND(",", K797)), K797)</f>
        <v/>
      </c>
      <c r="P797" t="inlineStr">
        <is>
          <t>08:00</t>
        </is>
      </c>
      <c r="Q797" t="inlineStr">
        <is>
          <t>11:00</t>
        </is>
      </c>
    </row>
    <row r="798">
      <c r="A798" t="inlineStr">
        <is>
          <t>Santos Rio</t>
        </is>
      </c>
      <c r="B798" t="inlineStr">
        <is>
          <t>TCNz004PH:SMS NewDev</t>
        </is>
      </c>
      <c r="D798">
        <f>L798</f>
        <v/>
      </c>
      <c r="E798">
        <f>SUMIFS(J:J, G:G,             A798, H:H, B798, L:L, L798)</f>
        <v/>
      </c>
      <c r="F798" t="inlineStr">
        <is>
          <t>PH0008</t>
        </is>
      </c>
      <c r="G798" t="inlineStr">
        <is>
          <t>Santos Rio</t>
        </is>
      </c>
      <c r="H798" t="inlineStr">
        <is>
          <t>TCNz004PH:SMS NewDev</t>
        </is>
      </c>
      <c r="I798" s="1" t="n">
        <v>45939</v>
      </c>
      <c r="J798" t="n">
        <v>5.25</v>
      </c>
      <c r="L798">
        <f>IFERROR(LEFT(K798,             FIND(",", K798) - 1), "-")</f>
        <v/>
      </c>
      <c r="M798">
        <f>IFERROR(MID(K798,             FIND(",", K798) + 1, LEN(K798) - FIND(",", K798)), K798)</f>
        <v/>
      </c>
      <c r="P798" t="inlineStr">
        <is>
          <t>12:00</t>
        </is>
      </c>
      <c r="Q798" t="inlineStr">
        <is>
          <t>17:15</t>
        </is>
      </c>
    </row>
    <row r="799">
      <c r="A799" t="inlineStr">
        <is>
          <t>Santos Rio</t>
        </is>
      </c>
      <c r="B799" t="inlineStr">
        <is>
          <t>TCNz004PH:SMS NewDev</t>
        </is>
      </c>
      <c r="D799">
        <f>L799</f>
        <v/>
      </c>
      <c r="E799">
        <f>SUMIFS(J:J, G:G,             A799, H:H, B799, L:L, L799)</f>
        <v/>
      </c>
      <c r="F799" t="inlineStr">
        <is>
          <t>PH0008</t>
        </is>
      </c>
      <c r="G799" t="inlineStr">
        <is>
          <t>Santos Rio</t>
        </is>
      </c>
      <c r="H799" t="inlineStr">
        <is>
          <t>TCNz004PH:SMS NewDev</t>
        </is>
      </c>
      <c r="I799" s="1" t="n">
        <v>45940</v>
      </c>
      <c r="J799" t="n">
        <v>3</v>
      </c>
      <c r="L799">
        <f>IFERROR(LEFT(K799,             FIND(",", K799) - 1), "-")</f>
        <v/>
      </c>
      <c r="M799">
        <f>IFERROR(MID(K799,             FIND(",", K799) + 1, LEN(K799) - FIND(",", K799)), K799)</f>
        <v/>
      </c>
      <c r="P799" t="inlineStr">
        <is>
          <t>08:00</t>
        </is>
      </c>
      <c r="Q799" t="inlineStr">
        <is>
          <t>11:00</t>
        </is>
      </c>
    </row>
    <row r="800">
      <c r="A800" t="inlineStr">
        <is>
          <t>Santos Rio</t>
        </is>
      </c>
      <c r="B800" t="inlineStr">
        <is>
          <t>TCNz004PH:SMS NewDev</t>
        </is>
      </c>
      <c r="D800">
        <f>L800</f>
        <v/>
      </c>
      <c r="E800">
        <f>SUMIFS(J:J, G:G,             A800, H:H, B800, L:L, L800)</f>
        <v/>
      </c>
      <c r="F800" t="inlineStr">
        <is>
          <t>PH0008</t>
        </is>
      </c>
      <c r="G800" t="inlineStr">
        <is>
          <t>Santos Rio</t>
        </is>
      </c>
      <c r="H800" t="inlineStr">
        <is>
          <t>TCNz004PH:SMS NewDev</t>
        </is>
      </c>
      <c r="I800" s="1" t="n">
        <v>45940</v>
      </c>
      <c r="J800" t="n">
        <v>5.25</v>
      </c>
      <c r="L800">
        <f>IFERROR(LEFT(K800,             FIND(",", K800) - 1), "-")</f>
        <v/>
      </c>
      <c r="M800">
        <f>IFERROR(MID(K800,             FIND(",", K800) + 1, LEN(K800) - FIND(",", K800)), K800)</f>
        <v/>
      </c>
      <c r="P800" t="inlineStr">
        <is>
          <t>12:00</t>
        </is>
      </c>
      <c r="Q800" t="inlineStr">
        <is>
          <t>17:15</t>
        </is>
      </c>
    </row>
    <row r="801">
      <c r="A801" t="inlineStr">
        <is>
          <t>Santos Rio</t>
        </is>
      </c>
      <c r="B801" t="inlineStr">
        <is>
          <t>TCNz004PH:SMS NewDev</t>
        </is>
      </c>
      <c r="D801">
        <f>L801</f>
        <v/>
      </c>
      <c r="E801">
        <f>SUMIFS(J:J, G:G,             A801, H:H, B801, L:L, L801)</f>
        <v/>
      </c>
      <c r="F801" t="inlineStr">
        <is>
          <t>PH0008</t>
        </is>
      </c>
      <c r="G801" t="inlineStr">
        <is>
          <t>Santos Rio</t>
        </is>
      </c>
      <c r="H801" t="inlineStr">
        <is>
          <t>TCNz004PH:SMS NewDev</t>
        </is>
      </c>
      <c r="I801" s="1" t="n">
        <v>45943</v>
      </c>
      <c r="J801" t="n">
        <v>3</v>
      </c>
      <c r="L801">
        <f>IFERROR(LEFT(K801,             FIND(",", K801) - 1), "-")</f>
        <v/>
      </c>
      <c r="M801">
        <f>IFERROR(MID(K801,             FIND(",", K801) + 1, LEN(K801) - FIND(",", K801)), K801)</f>
        <v/>
      </c>
      <c r="P801" t="inlineStr">
        <is>
          <t>08:00</t>
        </is>
      </c>
      <c r="Q801" t="inlineStr">
        <is>
          <t>11:00</t>
        </is>
      </c>
    </row>
    <row r="802">
      <c r="A802" t="inlineStr">
        <is>
          <t>Santos Rio</t>
        </is>
      </c>
      <c r="B802" t="inlineStr">
        <is>
          <t>TCNz004PH:SMS NewDev</t>
        </is>
      </c>
      <c r="D802">
        <f>L802</f>
        <v/>
      </c>
      <c r="E802">
        <f>SUMIFS(J:J, G:G,             A802, H:H, B802, L:L, L802)</f>
        <v/>
      </c>
      <c r="F802" t="inlineStr">
        <is>
          <t>PH0008</t>
        </is>
      </c>
      <c r="G802" t="inlineStr">
        <is>
          <t>Santos Rio</t>
        </is>
      </c>
      <c r="H802" t="inlineStr">
        <is>
          <t>TCNz004PH:SMS NewDev</t>
        </is>
      </c>
      <c r="I802" s="1" t="n">
        <v>45943</v>
      </c>
      <c r="J802" t="n">
        <v>5.25</v>
      </c>
      <c r="L802">
        <f>IFERROR(LEFT(K802,             FIND(",", K802) - 1), "-")</f>
        <v/>
      </c>
      <c r="M802">
        <f>IFERROR(MID(K802,             FIND(",", K802) + 1, LEN(K802) - FIND(",", K802)), K802)</f>
        <v/>
      </c>
      <c r="P802" t="inlineStr">
        <is>
          <t>12:00</t>
        </is>
      </c>
      <c r="Q802" t="inlineStr">
        <is>
          <t>17:15</t>
        </is>
      </c>
    </row>
    <row r="803">
      <c r="A803" t="inlineStr">
        <is>
          <t>Santos Rio</t>
        </is>
      </c>
      <c r="B803" t="inlineStr">
        <is>
          <t>TCNz004PH:SMS NewDev</t>
        </is>
      </c>
      <c r="D803">
        <f>L803</f>
        <v/>
      </c>
      <c r="E803">
        <f>SUMIFS(J:J, G:G,             A803, H:H, B803, L:L, L803)</f>
        <v/>
      </c>
      <c r="F803" t="inlineStr">
        <is>
          <t>PH0008</t>
        </is>
      </c>
      <c r="G803" t="inlineStr">
        <is>
          <t>Santos Rio</t>
        </is>
      </c>
      <c r="H803" t="inlineStr">
        <is>
          <t>TCNz004PH:SMS NewDev</t>
        </is>
      </c>
      <c r="I803" s="1" t="n">
        <v>45944</v>
      </c>
      <c r="J803" t="n">
        <v>3</v>
      </c>
      <c r="L803">
        <f>IFERROR(LEFT(K803,             FIND(",", K803) - 1), "-")</f>
        <v/>
      </c>
      <c r="M803">
        <f>IFERROR(MID(K803,             FIND(",", K803) + 1, LEN(K803) - FIND(",", K803)), K803)</f>
        <v/>
      </c>
      <c r="P803" t="inlineStr">
        <is>
          <t>08:00</t>
        </is>
      </c>
      <c r="Q803" t="inlineStr">
        <is>
          <t>11:00</t>
        </is>
      </c>
    </row>
    <row r="804">
      <c r="A804" t="inlineStr">
        <is>
          <t>Santos Rio</t>
        </is>
      </c>
      <c r="B804" t="inlineStr">
        <is>
          <t>TCNz004PH:SMS NewDev</t>
        </is>
      </c>
      <c r="D804">
        <f>L804</f>
        <v/>
      </c>
      <c r="E804">
        <f>SUMIFS(J:J, G:G,             A804, H:H, B804, L:L, L804)</f>
        <v/>
      </c>
      <c r="F804" t="inlineStr">
        <is>
          <t>PH0008</t>
        </is>
      </c>
      <c r="G804" t="inlineStr">
        <is>
          <t>Santos Rio</t>
        </is>
      </c>
      <c r="H804" t="inlineStr">
        <is>
          <t>TCNz004PH:SMS NewDev</t>
        </is>
      </c>
      <c r="I804" s="1" t="n">
        <v>45944</v>
      </c>
      <c r="J804" t="n">
        <v>5.5</v>
      </c>
      <c r="L804">
        <f>IFERROR(LEFT(K804,             FIND(",", K804) - 1), "-")</f>
        <v/>
      </c>
      <c r="M804">
        <f>IFERROR(MID(K804,             FIND(",", K804) + 1, LEN(K804) - FIND(",", K804)), K804)</f>
        <v/>
      </c>
      <c r="P804" t="inlineStr">
        <is>
          <t>12:00</t>
        </is>
      </c>
      <c r="Q804" t="inlineStr">
        <is>
          <t>17:30</t>
        </is>
      </c>
    </row>
    <row r="805">
      <c r="A805" t="inlineStr">
        <is>
          <t>Santos Rio</t>
        </is>
      </c>
      <c r="B805" t="inlineStr">
        <is>
          <t>TCNz004PH:SMS NewDev</t>
        </is>
      </c>
      <c r="D805">
        <f>L805</f>
        <v/>
      </c>
      <c r="E805">
        <f>SUMIFS(J:J, G:G,             A805, H:H, B805, L:L, L805)</f>
        <v/>
      </c>
      <c r="F805" t="inlineStr">
        <is>
          <t>PH0008</t>
        </is>
      </c>
      <c r="G805" t="inlineStr">
        <is>
          <t>Santos Rio</t>
        </is>
      </c>
      <c r="H805" t="inlineStr">
        <is>
          <t>TCNz004PH:SMS NewDev</t>
        </is>
      </c>
      <c r="I805" s="1" t="n">
        <v>45945</v>
      </c>
      <c r="J805" t="n">
        <v>3</v>
      </c>
      <c r="L805">
        <f>IFERROR(LEFT(K805,             FIND(",", K805) - 1), "-")</f>
        <v/>
      </c>
      <c r="M805">
        <f>IFERROR(MID(K805,             FIND(",", K805) + 1, LEN(K805) - FIND(",", K805)), K805)</f>
        <v/>
      </c>
      <c r="P805" t="inlineStr">
        <is>
          <t>08:00</t>
        </is>
      </c>
      <c r="Q805" t="inlineStr">
        <is>
          <t>11:00</t>
        </is>
      </c>
    </row>
    <row r="806">
      <c r="A806" t="inlineStr">
        <is>
          <t>Santos Rio</t>
        </is>
      </c>
      <c r="B806" t="inlineStr">
        <is>
          <t>TCNz004PH:SMS NewDev</t>
        </is>
      </c>
      <c r="D806">
        <f>L806</f>
        <v/>
      </c>
      <c r="E806">
        <f>SUMIFS(J:J, G:G,             A806, H:H, B806, L:L, L806)</f>
        <v/>
      </c>
      <c r="F806" t="inlineStr">
        <is>
          <t>PH0008</t>
        </is>
      </c>
      <c r="G806" t="inlineStr">
        <is>
          <t>Santos Rio</t>
        </is>
      </c>
      <c r="H806" t="inlineStr">
        <is>
          <t>TCNz004PH:SMS NewDev</t>
        </is>
      </c>
      <c r="I806" s="1" t="n">
        <v>45945</v>
      </c>
      <c r="J806" t="n">
        <v>5.25</v>
      </c>
      <c r="L806">
        <f>IFERROR(LEFT(K806,             FIND(",", K806) - 1), "-")</f>
        <v/>
      </c>
      <c r="M806">
        <f>IFERROR(MID(K806,             FIND(",", K806) + 1, LEN(K806) - FIND(",", K806)), K806)</f>
        <v/>
      </c>
      <c r="P806" t="inlineStr">
        <is>
          <t>12:00</t>
        </is>
      </c>
      <c r="Q806" t="inlineStr">
        <is>
          <t>17:15</t>
        </is>
      </c>
    </row>
    <row r="807">
      <c r="A807" t="inlineStr">
        <is>
          <t>Santos Rio</t>
        </is>
      </c>
      <c r="B807" t="inlineStr">
        <is>
          <t>TCNz004PH:SMS NewDev</t>
        </is>
      </c>
      <c r="D807">
        <f>L807</f>
        <v/>
      </c>
      <c r="E807">
        <f>SUMIFS(J:J, G:G,             A807, H:H, B807, L:L, L807)</f>
        <v/>
      </c>
      <c r="F807" t="inlineStr">
        <is>
          <t>PH0008</t>
        </is>
      </c>
      <c r="G807" t="inlineStr">
        <is>
          <t>Santos Rio</t>
        </is>
      </c>
      <c r="H807" t="inlineStr">
        <is>
          <t>TCNz004PH:SMS NewDev</t>
        </is>
      </c>
      <c r="I807" s="1" t="n">
        <v>45946</v>
      </c>
      <c r="J807" t="n">
        <v>3</v>
      </c>
      <c r="L807">
        <f>IFERROR(LEFT(K807,             FIND(",", K807) - 1), "-")</f>
        <v/>
      </c>
      <c r="M807">
        <f>IFERROR(MID(K807,             FIND(",", K807) + 1, LEN(K807) - FIND(",", K807)), K807)</f>
        <v/>
      </c>
      <c r="P807" t="inlineStr">
        <is>
          <t>08:00</t>
        </is>
      </c>
      <c r="Q807" t="inlineStr">
        <is>
          <t>11:00</t>
        </is>
      </c>
    </row>
    <row r="808">
      <c r="A808" t="inlineStr">
        <is>
          <t>Santos Rio</t>
        </is>
      </c>
      <c r="B808" t="inlineStr">
        <is>
          <t>TCNz004PH:SMS NewDev</t>
        </is>
      </c>
      <c r="D808">
        <f>L808</f>
        <v/>
      </c>
      <c r="E808">
        <f>SUMIFS(J:J, G:G,             A808, H:H, B808, L:L, L808)</f>
        <v/>
      </c>
      <c r="F808" t="inlineStr">
        <is>
          <t>PH0008</t>
        </is>
      </c>
      <c r="G808" t="inlineStr">
        <is>
          <t>Santos Rio</t>
        </is>
      </c>
      <c r="H808" t="inlineStr">
        <is>
          <t>TCNz004PH:SMS NewDev</t>
        </is>
      </c>
      <c r="I808" s="1" t="n">
        <v>45946</v>
      </c>
      <c r="J808" t="n">
        <v>5.25</v>
      </c>
      <c r="L808">
        <f>IFERROR(LEFT(K808,             FIND(",", K808) - 1), "-")</f>
        <v/>
      </c>
      <c r="M808">
        <f>IFERROR(MID(K808,             FIND(",", K808) + 1, LEN(K808) - FIND(",", K808)), K808)</f>
        <v/>
      </c>
      <c r="P808" t="inlineStr">
        <is>
          <t>12:00</t>
        </is>
      </c>
      <c r="Q808" t="inlineStr">
        <is>
          <t>17:15</t>
        </is>
      </c>
    </row>
    <row r="809">
      <c r="A809" t="inlineStr">
        <is>
          <t>Santos Rio</t>
        </is>
      </c>
      <c r="B809" t="inlineStr">
        <is>
          <t>TCNz004PH:SMS NewDev</t>
        </is>
      </c>
      <c r="D809">
        <f>L809</f>
        <v/>
      </c>
      <c r="E809">
        <f>SUMIFS(J:J, G:G,             A809, H:H, B809, L:L, L809)</f>
        <v/>
      </c>
      <c r="F809" t="inlineStr">
        <is>
          <t>PH0008</t>
        </is>
      </c>
      <c r="G809" t="inlineStr">
        <is>
          <t>Santos Rio</t>
        </is>
      </c>
      <c r="H809" t="inlineStr">
        <is>
          <t>TCNz004PH:SMS NewDev</t>
        </is>
      </c>
      <c r="I809" s="1" t="n">
        <v>45950</v>
      </c>
      <c r="J809" t="n">
        <v>2.5</v>
      </c>
      <c r="L809">
        <f>IFERROR(LEFT(K809,             FIND(",", K809) - 1), "-")</f>
        <v/>
      </c>
      <c r="M809">
        <f>IFERROR(MID(K809,             FIND(",", K809) + 1, LEN(K809) - FIND(",", K809)), K809)</f>
        <v/>
      </c>
      <c r="P809" t="inlineStr">
        <is>
          <t>08:00</t>
        </is>
      </c>
      <c r="Q809" t="inlineStr">
        <is>
          <t>10:30</t>
        </is>
      </c>
    </row>
    <row r="810">
      <c r="A810" t="inlineStr">
        <is>
          <t>Santos Rio</t>
        </is>
      </c>
      <c r="B810" t="inlineStr">
        <is>
          <t>TCNz004PH:SMS NewDev</t>
        </is>
      </c>
      <c r="D810">
        <f>L810</f>
        <v/>
      </c>
      <c r="E810">
        <f>SUMIFS(J:J, G:G,             A810, H:H, B810, L:L, L810)</f>
        <v/>
      </c>
      <c r="F810" t="inlineStr">
        <is>
          <t>PH0008</t>
        </is>
      </c>
      <c r="G810" t="inlineStr">
        <is>
          <t>Santos Rio</t>
        </is>
      </c>
      <c r="H810" t="inlineStr">
        <is>
          <t>TCNz004PH:SMS NewDev</t>
        </is>
      </c>
      <c r="I810" s="1" t="n">
        <v>45950</v>
      </c>
      <c r="J810" t="n">
        <v>1.25</v>
      </c>
      <c r="L810">
        <f>IFERROR(LEFT(K810,             FIND(",", K810) - 1), "-")</f>
        <v/>
      </c>
      <c r="M810">
        <f>IFERROR(MID(K810,             FIND(",", K810) + 1, LEN(K810) - FIND(",", K810)), K810)</f>
        <v/>
      </c>
      <c r="P810" t="inlineStr">
        <is>
          <t>16:00</t>
        </is>
      </c>
      <c r="Q810" t="inlineStr">
        <is>
          <t>17:15</t>
        </is>
      </c>
    </row>
    <row r="811">
      <c r="A811" t="inlineStr">
        <is>
          <t>Santos Rio</t>
        </is>
      </c>
      <c r="B811" t="inlineStr">
        <is>
          <t>TCNz004PH:SMS NewDev</t>
        </is>
      </c>
      <c r="D811">
        <f>L811</f>
        <v/>
      </c>
      <c r="E811">
        <f>SUMIFS(J:J, G:G,             A811, H:H, B811, L:L, L811)</f>
        <v/>
      </c>
      <c r="F811" t="inlineStr">
        <is>
          <t>PH0008</t>
        </is>
      </c>
      <c r="G811" t="inlineStr">
        <is>
          <t>Santos Rio</t>
        </is>
      </c>
      <c r="H811" t="inlineStr">
        <is>
          <t>TCNz004PH:SMS NewDev</t>
        </is>
      </c>
      <c r="I811" s="1" t="n">
        <v>45951</v>
      </c>
      <c r="J811" t="n">
        <v>3</v>
      </c>
      <c r="L811">
        <f>IFERROR(LEFT(K811,             FIND(",", K811) - 1), "-")</f>
        <v/>
      </c>
      <c r="M811">
        <f>IFERROR(MID(K811,             FIND(",", K811) + 1, LEN(K811) - FIND(",", K811)), K811)</f>
        <v/>
      </c>
      <c r="P811" t="inlineStr">
        <is>
          <t>08:00</t>
        </is>
      </c>
      <c r="Q811" t="inlineStr">
        <is>
          <t>11:00</t>
        </is>
      </c>
    </row>
    <row r="812">
      <c r="A812" t="inlineStr">
        <is>
          <t>Santos Rio</t>
        </is>
      </c>
      <c r="B812" t="inlineStr">
        <is>
          <t>TCNz004PH:SMS NewDev</t>
        </is>
      </c>
      <c r="D812">
        <f>L812</f>
        <v/>
      </c>
      <c r="E812">
        <f>SUMIFS(J:J, G:G,             A812, H:H, B812, L:L, L812)</f>
        <v/>
      </c>
      <c r="F812" t="inlineStr">
        <is>
          <t>PH0008</t>
        </is>
      </c>
      <c r="G812" t="inlineStr">
        <is>
          <t>Santos Rio</t>
        </is>
      </c>
      <c r="H812" t="inlineStr">
        <is>
          <t>TCNz004PH:SMS NewDev</t>
        </is>
      </c>
      <c r="I812" s="1" t="n">
        <v>45951</v>
      </c>
      <c r="J812" t="n">
        <v>3</v>
      </c>
      <c r="L812">
        <f>IFERROR(LEFT(K812,             FIND(",", K812) - 1), "-")</f>
        <v/>
      </c>
      <c r="M812">
        <f>IFERROR(MID(K812,             FIND(",", K812) + 1, LEN(K812) - FIND(",", K812)), K812)</f>
        <v/>
      </c>
      <c r="P812" t="inlineStr">
        <is>
          <t>12:00</t>
        </is>
      </c>
      <c r="Q812" t="inlineStr">
        <is>
          <t>15:00</t>
        </is>
      </c>
    </row>
    <row r="813">
      <c r="A813" t="inlineStr">
        <is>
          <t>Santos Rio</t>
        </is>
      </c>
      <c r="B813" t="inlineStr">
        <is>
          <t>TCNz004PH:SMS NewDev</t>
        </is>
      </c>
      <c r="D813">
        <f>L813</f>
        <v/>
      </c>
      <c r="E813">
        <f>SUMIFS(J:J, G:G,             A813, H:H, B813, L:L, L813)</f>
        <v/>
      </c>
      <c r="F813" t="inlineStr">
        <is>
          <t>PH0008</t>
        </is>
      </c>
      <c r="G813" t="inlineStr">
        <is>
          <t>Santos Rio</t>
        </is>
      </c>
      <c r="H813" t="inlineStr">
        <is>
          <t>TCNz004PH:SMS NewDev</t>
        </is>
      </c>
      <c r="I813" s="1" t="n">
        <v>45952</v>
      </c>
      <c r="J813" t="n">
        <v>0.25</v>
      </c>
      <c r="L813">
        <f>IFERROR(LEFT(K813,             FIND(",", K813) - 1), "-")</f>
        <v/>
      </c>
      <c r="M813">
        <f>IFERROR(MID(K813,             FIND(",", K813) + 1, LEN(K813) - FIND(",", K813)), K813)</f>
        <v/>
      </c>
      <c r="P813" t="inlineStr">
        <is>
          <t>10:45</t>
        </is>
      </c>
      <c r="Q813" t="inlineStr">
        <is>
          <t>11:00</t>
        </is>
      </c>
    </row>
    <row r="814">
      <c r="A814" t="inlineStr">
        <is>
          <t>Santos Rio</t>
        </is>
      </c>
      <c r="B814" t="inlineStr">
        <is>
          <t>TCNz004PH:SMS NewDev</t>
        </is>
      </c>
      <c r="D814">
        <f>L814</f>
        <v/>
      </c>
      <c r="E814">
        <f>SUMIFS(J:J, G:G,             A814, H:H, B814, L:L, L814)</f>
        <v/>
      </c>
      <c r="F814" t="inlineStr">
        <is>
          <t>PH0008</t>
        </is>
      </c>
      <c r="G814" t="inlineStr">
        <is>
          <t>Santos Rio</t>
        </is>
      </c>
      <c r="H814" t="inlineStr">
        <is>
          <t>TCNz004PH:SMS NewDev</t>
        </is>
      </c>
      <c r="I814" s="1" t="n">
        <v>45952</v>
      </c>
      <c r="J814" t="n">
        <v>1.25</v>
      </c>
      <c r="L814">
        <f>IFERROR(LEFT(K814,             FIND(",", K814) - 1), "-")</f>
        <v/>
      </c>
      <c r="M814">
        <f>IFERROR(MID(K814,             FIND(",", K814) + 1, LEN(K814) - FIND(",", K814)), K814)</f>
        <v/>
      </c>
      <c r="P814" t="inlineStr">
        <is>
          <t>12:00</t>
        </is>
      </c>
      <c r="Q814" t="inlineStr">
        <is>
          <t>13:15</t>
        </is>
      </c>
    </row>
    <row r="815">
      <c r="A815" t="inlineStr">
        <is>
          <t>Santos Rio</t>
        </is>
      </c>
      <c r="B815" t="inlineStr">
        <is>
          <t>TCNz004PH:SMS NewDev</t>
        </is>
      </c>
      <c r="D815">
        <f>L815</f>
        <v/>
      </c>
      <c r="E815">
        <f>SUMIFS(J:J, G:G,             A815, H:H, B815, L:L, L815)</f>
        <v/>
      </c>
      <c r="F815" t="inlineStr">
        <is>
          <t>PH0008</t>
        </is>
      </c>
      <c r="G815" t="inlineStr">
        <is>
          <t>Santos Rio</t>
        </is>
      </c>
      <c r="H815" t="inlineStr">
        <is>
          <t>TCNz004PH:SMS NewDev</t>
        </is>
      </c>
      <c r="I815" s="1" t="n">
        <v>45952</v>
      </c>
      <c r="J815" t="n">
        <v>1</v>
      </c>
      <c r="L815">
        <f>IFERROR(LEFT(K815,             FIND(",", K815) - 1), "-")</f>
        <v/>
      </c>
      <c r="M815">
        <f>IFERROR(MID(K815,             FIND(",", K815) + 1, LEN(K815) - FIND(",", K815)), K815)</f>
        <v/>
      </c>
      <c r="P815" t="inlineStr">
        <is>
          <t>16:15</t>
        </is>
      </c>
      <c r="Q815" t="inlineStr">
        <is>
          <t>17:15</t>
        </is>
      </c>
    </row>
    <row r="816">
      <c r="A816" t="inlineStr">
        <is>
          <t>Tolentino Jewel</t>
        </is>
      </c>
      <c r="B816" t="inlineStr">
        <is>
          <t xml:space="preserve">ANAs001PH:ANASupport　　　</t>
        </is>
      </c>
      <c r="C816">
        <f>SUMIFS(J:J, G:G,             A816, H:H, B816)</f>
        <v/>
      </c>
      <c r="D816">
        <f>L816</f>
        <v/>
      </c>
      <c r="E816">
        <f>SUMIFS(J:J, G:G,             A816, H:H, B816, L:L, L816)</f>
        <v/>
      </c>
      <c r="F816" t="inlineStr">
        <is>
          <t>PH0014</t>
        </is>
      </c>
      <c r="G816" t="inlineStr">
        <is>
          <t>Tolentino Jewel</t>
        </is>
      </c>
      <c r="H816" t="inlineStr">
        <is>
          <t xml:space="preserve">ANAs001PH:ANASupport　　　</t>
        </is>
      </c>
      <c r="I816" s="1" t="n">
        <v>45933</v>
      </c>
      <c r="J816" t="n">
        <v>1.5</v>
      </c>
      <c r="K816" t="inlineStr">
        <is>
          <t>95788</t>
        </is>
      </c>
      <c r="L816">
        <f>IFERROR(LEFT(K816,             FIND(",", K816) - 1), "-")</f>
        <v/>
      </c>
      <c r="M816">
        <f>IFERROR(MID(K816,             FIND(",", K816) + 1, LEN(K816) - FIND(",", K816)), K816)</f>
        <v/>
      </c>
      <c r="N816" t="n">
        <v>4</v>
      </c>
      <c r="P816" t="inlineStr">
        <is>
          <t>15:30</t>
        </is>
      </c>
      <c r="Q816" t="inlineStr">
        <is>
          <t>17:00</t>
        </is>
      </c>
    </row>
    <row r="817">
      <c r="A817" t="inlineStr">
        <is>
          <t>Tolentino Jewel</t>
        </is>
      </c>
      <c r="B817" t="inlineStr">
        <is>
          <t xml:space="preserve">ANAs001PH:ANASupport　　　</t>
        </is>
      </c>
      <c r="D817">
        <f>L817</f>
        <v/>
      </c>
      <c r="E817">
        <f>SUMIFS(J:J, G:G,             A817, H:H, B817, L:L, L817)</f>
        <v/>
      </c>
      <c r="F817" t="inlineStr">
        <is>
          <t>PH0014</t>
        </is>
      </c>
      <c r="G817" t="inlineStr">
        <is>
          <t>Tolentino Jewel</t>
        </is>
      </c>
      <c r="H817" t="inlineStr">
        <is>
          <t xml:space="preserve">ANAs001PH:ANASupport　　　</t>
        </is>
      </c>
      <c r="I817" s="1" t="n">
        <v>45936</v>
      </c>
      <c r="J817" t="n">
        <v>1.5</v>
      </c>
      <c r="K817" t="inlineStr">
        <is>
          <t>95788</t>
        </is>
      </c>
      <c r="L817">
        <f>IFERROR(LEFT(K817,             FIND(",", K817) - 1), "-")</f>
        <v/>
      </c>
      <c r="M817">
        <f>IFERROR(MID(K817,             FIND(",", K817) + 1, LEN(K817) - FIND(",", K817)), K817)</f>
        <v/>
      </c>
      <c r="N817" t="n">
        <v>4</v>
      </c>
      <c r="P817" t="inlineStr">
        <is>
          <t>08:00</t>
        </is>
      </c>
      <c r="Q817" t="inlineStr">
        <is>
          <t>09:30</t>
        </is>
      </c>
    </row>
    <row r="818">
      <c r="A818" t="inlineStr">
        <is>
          <t>Tolentino Jewel</t>
        </is>
      </c>
      <c r="B818" t="inlineStr">
        <is>
          <t xml:space="preserve">ANAs001PH:ANASupport　　　</t>
        </is>
      </c>
      <c r="D818">
        <f>L818</f>
        <v/>
      </c>
      <c r="E818">
        <f>SUMIFS(J:J, G:G,             A818, H:H, B818, L:L, L818)</f>
        <v/>
      </c>
      <c r="F818" t="inlineStr">
        <is>
          <t>PH0014</t>
        </is>
      </c>
      <c r="G818" t="inlineStr">
        <is>
          <t>Tolentino Jewel</t>
        </is>
      </c>
      <c r="H818" t="inlineStr">
        <is>
          <t xml:space="preserve">ANAs001PH:ANASupport　　　</t>
        </is>
      </c>
      <c r="I818" s="1" t="n">
        <v>45938</v>
      </c>
      <c r="J818" t="n">
        <v>1.25</v>
      </c>
      <c r="K818" t="inlineStr">
        <is>
          <t>95802</t>
        </is>
      </c>
      <c r="L818">
        <f>IFERROR(LEFT(K818,             FIND(",", K818) - 1), "-")</f>
        <v/>
      </c>
      <c r="M818">
        <f>IFERROR(MID(K818,             FIND(",", K818) + 1, LEN(K818) - FIND(",", K818)), K818)</f>
        <v/>
      </c>
      <c r="N818" t="n">
        <v>4</v>
      </c>
      <c r="P818" t="inlineStr">
        <is>
          <t>09:45</t>
        </is>
      </c>
      <c r="Q818" t="inlineStr">
        <is>
          <t>11:00</t>
        </is>
      </c>
    </row>
    <row r="819">
      <c r="A819" t="inlineStr">
        <is>
          <t>Tolentino Jewel</t>
        </is>
      </c>
      <c r="B819" t="inlineStr">
        <is>
          <t>SMMs001PH:SMM Support</t>
        </is>
      </c>
      <c r="C819">
        <f>SUMIFS(J:J, G:G,             A819, H:H, B819)</f>
        <v/>
      </c>
      <c r="D819">
        <f>L819</f>
        <v/>
      </c>
      <c r="E819">
        <f>SUMIFS(J:J, G:G,             A819, H:H, B819, L:L, L819)</f>
        <v/>
      </c>
      <c r="F819" t="inlineStr">
        <is>
          <t>PH0014</t>
        </is>
      </c>
      <c r="G819" t="inlineStr">
        <is>
          <t>Tolentino Jewel</t>
        </is>
      </c>
      <c r="H819" t="inlineStr">
        <is>
          <t>SMMs001PH:SMM Support</t>
        </is>
      </c>
      <c r="I819" s="1" t="n">
        <v>45932</v>
      </c>
      <c r="J819" t="n">
        <v>3.25</v>
      </c>
      <c r="K819" t="inlineStr">
        <is>
          <t>95784</t>
        </is>
      </c>
      <c r="L819">
        <f>IFERROR(LEFT(K819,             FIND(",", K819) - 1), "-")</f>
        <v/>
      </c>
      <c r="M819">
        <f>IFERROR(MID(K819,             FIND(",", K819) + 1, LEN(K819) - FIND(",", K819)), K819)</f>
        <v/>
      </c>
      <c r="N819" t="n">
        <v>2</v>
      </c>
      <c r="P819" t="inlineStr">
        <is>
          <t>12:00</t>
        </is>
      </c>
      <c r="Q819" t="inlineStr">
        <is>
          <t>15:15</t>
        </is>
      </c>
    </row>
    <row r="820">
      <c r="A820" t="inlineStr">
        <is>
          <t>Tolentino Jewel</t>
        </is>
      </c>
      <c r="B820" t="inlineStr">
        <is>
          <t>SMMs001PH:SMM Support</t>
        </is>
      </c>
      <c r="D820">
        <f>L820</f>
        <v/>
      </c>
      <c r="E820">
        <f>SUMIFS(J:J, G:G,             A820, H:H, B820, L:L, L820)</f>
        <v/>
      </c>
      <c r="F820" t="inlineStr">
        <is>
          <t>PH0014</t>
        </is>
      </c>
      <c r="G820" t="inlineStr">
        <is>
          <t>Tolentino Jewel</t>
        </is>
      </c>
      <c r="H820" t="inlineStr">
        <is>
          <t>SMMs001PH:SMM Support</t>
        </is>
      </c>
      <c r="I820" s="1" t="n">
        <v>45932</v>
      </c>
      <c r="J820" t="n">
        <v>0.75</v>
      </c>
      <c r="K820" t="inlineStr">
        <is>
          <t>95785</t>
        </is>
      </c>
      <c r="L820">
        <f>IFERROR(LEFT(K820,             FIND(",", K820) - 1), "-")</f>
        <v/>
      </c>
      <c r="M820">
        <f>IFERROR(MID(K820,             FIND(",", K820) + 1, LEN(K820) - FIND(",", K820)), K820)</f>
        <v/>
      </c>
      <c r="N820" t="n">
        <v>2</v>
      </c>
      <c r="P820" t="inlineStr">
        <is>
          <t>16:15</t>
        </is>
      </c>
      <c r="Q820" t="inlineStr">
        <is>
          <t>17:00</t>
        </is>
      </c>
    </row>
    <row r="821">
      <c r="A821" t="inlineStr">
        <is>
          <t>Tolentino Jewel</t>
        </is>
      </c>
      <c r="B821" t="inlineStr">
        <is>
          <t>SMMs001PH:SMM Support</t>
        </is>
      </c>
      <c r="D821">
        <f>L821</f>
        <v/>
      </c>
      <c r="E821">
        <f>SUMIFS(J:J, G:G,             A821, H:H, B821, L:L, L821)</f>
        <v/>
      </c>
      <c r="F821" t="inlineStr">
        <is>
          <t>PH0014</t>
        </is>
      </c>
      <c r="G821" t="inlineStr">
        <is>
          <t>Tolentino Jewel</t>
        </is>
      </c>
      <c r="H821" t="inlineStr">
        <is>
          <t>SMMs001PH:SMM Support</t>
        </is>
      </c>
      <c r="I821" s="1" t="n">
        <v>45933</v>
      </c>
      <c r="J821" t="n">
        <v>1.5</v>
      </c>
      <c r="K821" t="inlineStr">
        <is>
          <t>95785</t>
        </is>
      </c>
      <c r="L821">
        <f>IFERROR(LEFT(K821,             FIND(",", K821) - 1), "-")</f>
        <v/>
      </c>
      <c r="M821">
        <f>IFERROR(MID(K821,             FIND(",", K821) + 1, LEN(K821) - FIND(",", K821)), K821)</f>
        <v/>
      </c>
      <c r="N821" t="n">
        <v>2</v>
      </c>
      <c r="P821" t="inlineStr">
        <is>
          <t>08:00</t>
        </is>
      </c>
      <c r="Q821" t="inlineStr">
        <is>
          <t>09:30</t>
        </is>
      </c>
    </row>
    <row r="822">
      <c r="A822" t="inlineStr">
        <is>
          <t>Tolentino Jewel</t>
        </is>
      </c>
      <c r="B822" t="inlineStr">
        <is>
          <t>SMMs001PH:SMM Support</t>
        </is>
      </c>
      <c r="D822">
        <f>L822</f>
        <v/>
      </c>
      <c r="E822">
        <f>SUMIFS(J:J, G:G,             A822, H:H, B822, L:L, L822)</f>
        <v/>
      </c>
      <c r="F822" t="inlineStr">
        <is>
          <t>PH0014</t>
        </is>
      </c>
      <c r="G822" t="inlineStr">
        <is>
          <t>Tolentino Jewel</t>
        </is>
      </c>
      <c r="H822" t="inlineStr">
        <is>
          <t>SMMs001PH:SMM Support</t>
        </is>
      </c>
      <c r="I822" s="1" t="n">
        <v>45932</v>
      </c>
      <c r="J822" t="n">
        <v>0.75</v>
      </c>
      <c r="K822" t="inlineStr">
        <is>
          <t>95786</t>
        </is>
      </c>
      <c r="L822">
        <f>IFERROR(LEFT(K822,             FIND(",", K822) - 1), "-")</f>
        <v/>
      </c>
      <c r="M822">
        <f>IFERROR(MID(K822,             FIND(",", K822) + 1, LEN(K822) - FIND(",", K822)), K822)</f>
        <v/>
      </c>
      <c r="N822" t="n">
        <v>2</v>
      </c>
      <c r="P822" t="inlineStr">
        <is>
          <t>15:30</t>
        </is>
      </c>
      <c r="Q822" t="inlineStr">
        <is>
          <t>16:15</t>
        </is>
      </c>
    </row>
    <row r="823">
      <c r="A823" t="inlineStr">
        <is>
          <t>Tolentino Jewel</t>
        </is>
      </c>
      <c r="B823" t="inlineStr">
        <is>
          <t>SMMs001PH:SMM Support</t>
        </is>
      </c>
      <c r="D823">
        <f>L823</f>
        <v/>
      </c>
      <c r="E823">
        <f>SUMIFS(J:J, G:G,             A823, H:H, B823, L:L, L823)</f>
        <v/>
      </c>
      <c r="F823" t="inlineStr">
        <is>
          <t>PH0014</t>
        </is>
      </c>
      <c r="G823" t="inlineStr">
        <is>
          <t>Tolentino Jewel</t>
        </is>
      </c>
      <c r="H823" t="inlineStr">
        <is>
          <t>SMMs001PH:SMM Support</t>
        </is>
      </c>
      <c r="I823" s="1" t="n">
        <v>45933</v>
      </c>
      <c r="J823" t="n">
        <v>1.25</v>
      </c>
      <c r="K823" t="inlineStr">
        <is>
          <t>95786</t>
        </is>
      </c>
      <c r="L823">
        <f>IFERROR(LEFT(K823,             FIND(",", K823) - 1), "-")</f>
        <v/>
      </c>
      <c r="M823">
        <f>IFERROR(MID(K823,             FIND(",", K823) + 1, LEN(K823) - FIND(",", K823)), K823)</f>
        <v/>
      </c>
      <c r="N823" t="n">
        <v>2</v>
      </c>
      <c r="P823" t="inlineStr">
        <is>
          <t>09:45</t>
        </is>
      </c>
      <c r="Q823" t="inlineStr">
        <is>
          <t>11:00</t>
        </is>
      </c>
    </row>
    <row r="824">
      <c r="A824" t="inlineStr">
        <is>
          <t>Tolentino Jewel</t>
        </is>
      </c>
      <c r="B824" t="inlineStr">
        <is>
          <t>SMMs001PH:SMM Support</t>
        </is>
      </c>
      <c r="D824">
        <f>L824</f>
        <v/>
      </c>
      <c r="E824">
        <f>SUMIFS(J:J, G:G,             A824, H:H, B824, L:L, L824)</f>
        <v/>
      </c>
      <c r="F824" t="inlineStr">
        <is>
          <t>PH0014</t>
        </is>
      </c>
      <c r="G824" t="inlineStr">
        <is>
          <t>Tolentino Jewel</t>
        </is>
      </c>
      <c r="H824" t="inlineStr">
        <is>
          <t>SMMs001PH:SMM Support</t>
        </is>
      </c>
      <c r="I824" s="1" t="n">
        <v>45952</v>
      </c>
      <c r="J824" t="n">
        <v>2.5</v>
      </c>
      <c r="K824" t="inlineStr">
        <is>
          <t>95852</t>
        </is>
      </c>
      <c r="L824">
        <f>IFERROR(LEFT(K824,             FIND(",", K824) - 1), "-")</f>
        <v/>
      </c>
      <c r="M824">
        <f>IFERROR(MID(K824,             FIND(",", K824) + 1, LEN(K824) - FIND(",", K824)), K824)</f>
        <v/>
      </c>
      <c r="N824" t="n">
        <v>4</v>
      </c>
      <c r="P824" t="inlineStr">
        <is>
          <t>12:00</t>
        </is>
      </c>
      <c r="Q824" t="inlineStr">
        <is>
          <t>14:30</t>
        </is>
      </c>
    </row>
    <row r="825">
      <c r="A825" t="inlineStr">
        <is>
          <t>Tolentino Jewel</t>
        </is>
      </c>
      <c r="B825" t="inlineStr">
        <is>
          <t>TCNz002PH:Waiting for requests</t>
        </is>
      </c>
      <c r="C825">
        <f>SUMIFS(J:J, G:G,             A825, H:H, B825)</f>
        <v/>
      </c>
      <c r="D825">
        <f>L825</f>
        <v/>
      </c>
      <c r="E825">
        <f>SUMIFS(J:J, G:G,             A825, H:H, B825, L:L, L825)</f>
        <v/>
      </c>
      <c r="F825" t="inlineStr">
        <is>
          <t>PH0014</t>
        </is>
      </c>
      <c r="G825" t="inlineStr">
        <is>
          <t>Tolentino Jewel</t>
        </is>
      </c>
      <c r="H825" t="inlineStr">
        <is>
          <t>TCNz002PH:Waiting for requests</t>
        </is>
      </c>
      <c r="I825" s="1" t="n">
        <v>45931</v>
      </c>
      <c r="J825" t="n">
        <v>3</v>
      </c>
      <c r="K825" t="inlineStr">
        <is>
          <t>Code review</t>
        </is>
      </c>
      <c r="L825">
        <f>IFERROR(LEFT(K825,             FIND(",", K825) - 1), "-")</f>
        <v/>
      </c>
      <c r="M825">
        <f>IFERROR(MID(K825,             FIND(",", K825) + 1, LEN(K825) - FIND(",", K825)), K825)</f>
        <v/>
      </c>
      <c r="N825" t="n">
        <v>5</v>
      </c>
      <c r="P825" t="inlineStr">
        <is>
          <t>08:00</t>
        </is>
      </c>
      <c r="Q825" t="inlineStr">
        <is>
          <t>11:00</t>
        </is>
      </c>
    </row>
    <row r="826">
      <c r="A826" t="inlineStr">
        <is>
          <t>Tolentino Jewel</t>
        </is>
      </c>
      <c r="B826" t="inlineStr">
        <is>
          <t>TCNz002PH:Waiting for requests</t>
        </is>
      </c>
      <c r="D826">
        <f>L826</f>
        <v/>
      </c>
      <c r="E826">
        <f>SUMIFS(J:J, G:G,             A826, H:H, B826, L:L, L826)</f>
        <v/>
      </c>
      <c r="F826" t="inlineStr">
        <is>
          <t>PH0014</t>
        </is>
      </c>
      <c r="G826" t="inlineStr">
        <is>
          <t>Tolentino Jewel</t>
        </is>
      </c>
      <c r="H826" t="inlineStr">
        <is>
          <t>TCNz002PH:Waiting for requests</t>
        </is>
      </c>
      <c r="I826" s="1" t="n">
        <v>45931</v>
      </c>
      <c r="J826" t="n">
        <v>5</v>
      </c>
      <c r="K826" t="inlineStr">
        <is>
          <t>Code review</t>
        </is>
      </c>
      <c r="L826">
        <f>IFERROR(LEFT(K826,             FIND(",", K826) - 1), "-")</f>
        <v/>
      </c>
      <c r="M826">
        <f>IFERROR(MID(K826,             FIND(",", K826) + 1, LEN(K826) - FIND(",", K826)), K826)</f>
        <v/>
      </c>
      <c r="N826" t="n">
        <v>5</v>
      </c>
      <c r="P826" t="inlineStr">
        <is>
          <t>12:00</t>
        </is>
      </c>
      <c r="Q826" t="inlineStr">
        <is>
          <t>17:00</t>
        </is>
      </c>
    </row>
    <row r="827">
      <c r="A827" t="inlineStr">
        <is>
          <t>Tolentino Jewel</t>
        </is>
      </c>
      <c r="B827" t="inlineStr">
        <is>
          <t>TCNz002PH:Waiting for requests</t>
        </is>
      </c>
      <c r="D827">
        <f>L827</f>
        <v/>
      </c>
      <c r="E827">
        <f>SUMIFS(J:J, G:G,             A827, H:H, B827, L:L, L827)</f>
        <v/>
      </c>
      <c r="F827" t="inlineStr">
        <is>
          <t>PH0014</t>
        </is>
      </c>
      <c r="G827" t="inlineStr">
        <is>
          <t>Tolentino Jewel</t>
        </is>
      </c>
      <c r="H827" t="inlineStr">
        <is>
          <t>TCNz002PH:Waiting for requests</t>
        </is>
      </c>
      <c r="I827" s="1" t="n">
        <v>45932</v>
      </c>
      <c r="J827" t="n">
        <v>3</v>
      </c>
      <c r="K827" t="inlineStr">
        <is>
          <t>Code review</t>
        </is>
      </c>
      <c r="L827">
        <f>IFERROR(LEFT(K827,             FIND(",", K827) - 1), "-")</f>
        <v/>
      </c>
      <c r="M827">
        <f>IFERROR(MID(K827,             FIND(",", K827) + 1, LEN(K827) - FIND(",", K827)), K827)</f>
        <v/>
      </c>
      <c r="N827" t="n">
        <v>5</v>
      </c>
      <c r="P827" t="inlineStr">
        <is>
          <t>08:00</t>
        </is>
      </c>
      <c r="Q827" t="inlineStr">
        <is>
          <t>11:00</t>
        </is>
      </c>
    </row>
    <row r="828">
      <c r="A828" t="inlineStr">
        <is>
          <t>Tolentino Jewel</t>
        </is>
      </c>
      <c r="B828" t="inlineStr">
        <is>
          <t>TCNz002PH:Waiting for requests</t>
        </is>
      </c>
      <c r="D828">
        <f>L828</f>
        <v/>
      </c>
      <c r="E828">
        <f>SUMIFS(J:J, G:G,             A828, H:H, B828, L:L, L828)</f>
        <v/>
      </c>
      <c r="F828" t="inlineStr">
        <is>
          <t>PH0014</t>
        </is>
      </c>
      <c r="G828" t="inlineStr">
        <is>
          <t>Tolentino Jewel</t>
        </is>
      </c>
      <c r="H828" t="inlineStr">
        <is>
          <t>TCNz002PH:Waiting for requests</t>
        </is>
      </c>
      <c r="I828" s="1" t="n">
        <v>45936</v>
      </c>
      <c r="J828" t="n">
        <v>1.25</v>
      </c>
      <c r="K828" t="inlineStr">
        <is>
          <t>Code review</t>
        </is>
      </c>
      <c r="L828">
        <f>IFERROR(LEFT(K828,             FIND(",", K828) - 1), "-")</f>
        <v/>
      </c>
      <c r="M828">
        <f>IFERROR(MID(K828,             FIND(",", K828) + 1, LEN(K828) - FIND(",", K828)), K828)</f>
        <v/>
      </c>
      <c r="N828" t="n">
        <v>5</v>
      </c>
      <c r="P828" t="inlineStr">
        <is>
          <t>09:45</t>
        </is>
      </c>
      <c r="Q828" t="inlineStr">
        <is>
          <t>11:00</t>
        </is>
      </c>
    </row>
    <row r="829">
      <c r="A829" t="inlineStr">
        <is>
          <t>Tolentino Jewel</t>
        </is>
      </c>
      <c r="B829" t="inlineStr">
        <is>
          <t>TCNz002PH:Waiting for requests</t>
        </is>
      </c>
      <c r="D829">
        <f>L829</f>
        <v/>
      </c>
      <c r="E829">
        <f>SUMIFS(J:J, G:G,             A829, H:H, B829, L:L, L829)</f>
        <v/>
      </c>
      <c r="F829" t="inlineStr">
        <is>
          <t>PH0014</t>
        </is>
      </c>
      <c r="G829" t="inlineStr">
        <is>
          <t>Tolentino Jewel</t>
        </is>
      </c>
      <c r="H829" t="inlineStr">
        <is>
          <t>TCNz002PH:Waiting for requests</t>
        </is>
      </c>
      <c r="I829" s="1" t="n">
        <v>45936</v>
      </c>
      <c r="J829" t="n">
        <v>5</v>
      </c>
      <c r="K829" t="inlineStr">
        <is>
          <t>Code review</t>
        </is>
      </c>
      <c r="L829">
        <f>IFERROR(LEFT(K829,             FIND(",", K829) - 1), "-")</f>
        <v/>
      </c>
      <c r="M829">
        <f>IFERROR(MID(K829,             FIND(",", K829) + 1, LEN(K829) - FIND(",", K829)), K829)</f>
        <v/>
      </c>
      <c r="N829" t="n">
        <v>5</v>
      </c>
      <c r="P829" t="inlineStr">
        <is>
          <t>12:00</t>
        </is>
      </c>
      <c r="Q829" t="inlineStr">
        <is>
          <t>17:00</t>
        </is>
      </c>
    </row>
    <row r="830">
      <c r="A830" t="inlineStr">
        <is>
          <t>Tolentino Jewel</t>
        </is>
      </c>
      <c r="B830" t="inlineStr">
        <is>
          <t>TCNz002PH:Waiting for requests</t>
        </is>
      </c>
      <c r="D830">
        <f>L830</f>
        <v/>
      </c>
      <c r="E830">
        <f>SUMIFS(J:J, G:G,             A830, H:H, B830, L:L, L830)</f>
        <v/>
      </c>
      <c r="F830" t="inlineStr">
        <is>
          <t>PH0014</t>
        </is>
      </c>
      <c r="G830" t="inlineStr">
        <is>
          <t>Tolentino Jewel</t>
        </is>
      </c>
      <c r="H830" t="inlineStr">
        <is>
          <t>TCNz002PH:Waiting for requests</t>
        </is>
      </c>
      <c r="I830" s="1" t="n">
        <v>45937</v>
      </c>
      <c r="J830" t="n">
        <v>1.25</v>
      </c>
      <c r="K830" t="inlineStr">
        <is>
          <t>Code review</t>
        </is>
      </c>
      <c r="L830">
        <f>IFERROR(LEFT(K830,             FIND(",", K830) - 1), "-")</f>
        <v/>
      </c>
      <c r="M830">
        <f>IFERROR(MID(K830,             FIND(",", K830) + 1, LEN(K830) - FIND(",", K830)), K830)</f>
        <v/>
      </c>
      <c r="N830" t="n">
        <v>5</v>
      </c>
      <c r="P830" t="inlineStr">
        <is>
          <t>09:45</t>
        </is>
      </c>
      <c r="Q830" t="inlineStr">
        <is>
          <t>11:00</t>
        </is>
      </c>
    </row>
    <row r="831">
      <c r="A831" t="inlineStr">
        <is>
          <t>Tolentino Jewel</t>
        </is>
      </c>
      <c r="B831" t="inlineStr">
        <is>
          <t>TCNz002PH:Waiting for requests</t>
        </is>
      </c>
      <c r="D831">
        <f>L831</f>
        <v/>
      </c>
      <c r="E831">
        <f>SUMIFS(J:J, G:G,             A831, H:H, B831, L:L, L831)</f>
        <v/>
      </c>
      <c r="F831" t="inlineStr">
        <is>
          <t>PH0014</t>
        </is>
      </c>
      <c r="G831" t="inlineStr">
        <is>
          <t>Tolentino Jewel</t>
        </is>
      </c>
      <c r="H831" t="inlineStr">
        <is>
          <t>TCNz002PH:Waiting for requests</t>
        </is>
      </c>
      <c r="I831" s="1" t="n">
        <v>45937</v>
      </c>
      <c r="J831" t="n">
        <v>5</v>
      </c>
      <c r="K831" t="inlineStr">
        <is>
          <t>Code review</t>
        </is>
      </c>
      <c r="L831">
        <f>IFERROR(LEFT(K831,             FIND(",", K831) - 1), "-")</f>
        <v/>
      </c>
      <c r="M831">
        <f>IFERROR(MID(K831,             FIND(",", K831) + 1, LEN(K831) - FIND(",", K831)), K831)</f>
        <v/>
      </c>
      <c r="N831" t="n">
        <v>5</v>
      </c>
      <c r="P831" t="inlineStr">
        <is>
          <t>12:00</t>
        </is>
      </c>
      <c r="Q831" t="inlineStr">
        <is>
          <t>17:00</t>
        </is>
      </c>
    </row>
    <row r="832">
      <c r="A832" t="inlineStr">
        <is>
          <t>Tolentino Jewel</t>
        </is>
      </c>
      <c r="B832" t="inlineStr">
        <is>
          <t>TCNz002PH:Waiting for requests</t>
        </is>
      </c>
      <c r="D832">
        <f>L832</f>
        <v/>
      </c>
      <c r="E832">
        <f>SUMIFS(J:J, G:G,             A832, H:H, B832, L:L, L832)</f>
        <v/>
      </c>
      <c r="F832" t="inlineStr">
        <is>
          <t>PH0014</t>
        </is>
      </c>
      <c r="G832" t="inlineStr">
        <is>
          <t>Tolentino Jewel</t>
        </is>
      </c>
      <c r="H832" t="inlineStr">
        <is>
          <t>TCNz002PH:Waiting for requests</t>
        </is>
      </c>
      <c r="I832" s="1" t="n">
        <v>45938</v>
      </c>
      <c r="J832" t="n">
        <v>1.5</v>
      </c>
      <c r="K832" t="inlineStr">
        <is>
          <t>Code review</t>
        </is>
      </c>
      <c r="L832">
        <f>IFERROR(LEFT(K832,             FIND(",", K832) - 1), "-")</f>
        <v/>
      </c>
      <c r="M832">
        <f>IFERROR(MID(K832,             FIND(",", K832) + 1, LEN(K832) - FIND(",", K832)), K832)</f>
        <v/>
      </c>
      <c r="N832" t="n">
        <v>5</v>
      </c>
      <c r="P832" t="inlineStr">
        <is>
          <t>15:30</t>
        </is>
      </c>
      <c r="Q832" t="inlineStr">
        <is>
          <t>17:00</t>
        </is>
      </c>
    </row>
    <row r="833">
      <c r="A833" t="inlineStr">
        <is>
          <t>Tolentino Jewel</t>
        </is>
      </c>
      <c r="B833" t="inlineStr">
        <is>
          <t>TCNz002PH:Waiting for requests</t>
        </is>
      </c>
      <c r="D833">
        <f>L833</f>
        <v/>
      </c>
      <c r="E833">
        <f>SUMIFS(J:J, G:G,             A833, H:H, B833, L:L, L833)</f>
        <v/>
      </c>
      <c r="F833" t="inlineStr">
        <is>
          <t>PH0014</t>
        </is>
      </c>
      <c r="G833" t="inlineStr">
        <is>
          <t>Tolentino Jewel</t>
        </is>
      </c>
      <c r="H833" t="inlineStr">
        <is>
          <t>TCNz002PH:Waiting for requests</t>
        </is>
      </c>
      <c r="I833" s="1" t="n">
        <v>45939</v>
      </c>
      <c r="J833" t="n">
        <v>3</v>
      </c>
      <c r="K833" t="inlineStr">
        <is>
          <t>Code review</t>
        </is>
      </c>
      <c r="L833">
        <f>IFERROR(LEFT(K833,             FIND(",", K833) - 1), "-")</f>
        <v/>
      </c>
      <c r="M833">
        <f>IFERROR(MID(K833,             FIND(",", K833) + 1, LEN(K833) - FIND(",", K833)), K833)</f>
        <v/>
      </c>
      <c r="N833" t="n">
        <v>5</v>
      </c>
      <c r="P833" t="inlineStr">
        <is>
          <t>08:00</t>
        </is>
      </c>
      <c r="Q833" t="inlineStr">
        <is>
          <t>11:00</t>
        </is>
      </c>
    </row>
    <row r="834">
      <c r="A834" t="inlineStr">
        <is>
          <t>Tolentino Jewel</t>
        </is>
      </c>
      <c r="B834" t="inlineStr">
        <is>
          <t>TCNz002PH:Waiting for requests</t>
        </is>
      </c>
      <c r="D834">
        <f>L834</f>
        <v/>
      </c>
      <c r="E834">
        <f>SUMIFS(J:J, G:G,             A834, H:H, B834, L:L, L834)</f>
        <v/>
      </c>
      <c r="F834" t="inlineStr">
        <is>
          <t>PH0014</t>
        </is>
      </c>
      <c r="G834" t="inlineStr">
        <is>
          <t>Tolentino Jewel</t>
        </is>
      </c>
      <c r="H834" t="inlineStr">
        <is>
          <t>TCNz002PH:Waiting for requests</t>
        </is>
      </c>
      <c r="I834" s="1" t="n">
        <v>45940</v>
      </c>
      <c r="J834" t="n">
        <v>3</v>
      </c>
      <c r="K834" t="inlineStr">
        <is>
          <t>Code review</t>
        </is>
      </c>
      <c r="L834">
        <f>IFERROR(LEFT(K834,             FIND(",", K834) - 1), "-")</f>
        <v/>
      </c>
      <c r="M834">
        <f>IFERROR(MID(K834,             FIND(",", K834) + 1, LEN(K834) - FIND(",", K834)), K834)</f>
        <v/>
      </c>
      <c r="N834" t="n">
        <v>5</v>
      </c>
      <c r="P834" t="inlineStr">
        <is>
          <t>08:00</t>
        </is>
      </c>
      <c r="Q834" t="inlineStr">
        <is>
          <t>11:00</t>
        </is>
      </c>
    </row>
    <row r="835">
      <c r="A835" t="inlineStr">
        <is>
          <t>Tolentino Jewel</t>
        </is>
      </c>
      <c r="B835" t="inlineStr">
        <is>
          <t>TCNz002PH:Waiting for requests</t>
        </is>
      </c>
      <c r="D835">
        <f>L835</f>
        <v/>
      </c>
      <c r="E835">
        <f>SUMIFS(J:J, G:G,             A835, H:H, B835, L:L, L835)</f>
        <v/>
      </c>
      <c r="F835" t="inlineStr">
        <is>
          <t>PH0014</t>
        </is>
      </c>
      <c r="G835" t="inlineStr">
        <is>
          <t>Tolentino Jewel</t>
        </is>
      </c>
      <c r="H835" t="inlineStr">
        <is>
          <t>TCNz002PH:Waiting for requests</t>
        </is>
      </c>
      <c r="I835" s="1" t="n">
        <v>45940</v>
      </c>
      <c r="J835" t="n">
        <v>2.5</v>
      </c>
      <c r="K835" t="inlineStr">
        <is>
          <t>Code review</t>
        </is>
      </c>
      <c r="L835">
        <f>IFERROR(LEFT(K835,             FIND(",", K835) - 1), "-")</f>
        <v/>
      </c>
      <c r="M835">
        <f>IFERROR(MID(K835,             FIND(",", K835) + 1, LEN(K835) - FIND(",", K835)), K835)</f>
        <v/>
      </c>
      <c r="N835" t="n">
        <v>5</v>
      </c>
      <c r="P835" t="inlineStr">
        <is>
          <t>12:00</t>
        </is>
      </c>
      <c r="Q835" t="inlineStr">
        <is>
          <t>14:30</t>
        </is>
      </c>
    </row>
    <row r="836">
      <c r="A836" t="inlineStr">
        <is>
          <t>Tolentino Jewel</t>
        </is>
      </c>
      <c r="B836" t="inlineStr">
        <is>
          <t>TCNz002PH:Waiting for requests</t>
        </is>
      </c>
      <c r="D836">
        <f>L836</f>
        <v/>
      </c>
      <c r="E836">
        <f>SUMIFS(J:J, G:G,             A836, H:H, B836, L:L, L836)</f>
        <v/>
      </c>
      <c r="F836" t="inlineStr">
        <is>
          <t>PH0014</t>
        </is>
      </c>
      <c r="G836" t="inlineStr">
        <is>
          <t>Tolentino Jewel</t>
        </is>
      </c>
      <c r="H836" t="inlineStr">
        <is>
          <t>TCNz002PH:Waiting for requests</t>
        </is>
      </c>
      <c r="I836" s="1" t="n">
        <v>45943</v>
      </c>
      <c r="J836" t="n">
        <v>3</v>
      </c>
      <c r="K836" t="inlineStr">
        <is>
          <t>Code review</t>
        </is>
      </c>
      <c r="L836">
        <f>IFERROR(LEFT(K836,             FIND(",", K836) - 1), "-")</f>
        <v/>
      </c>
      <c r="M836">
        <f>IFERROR(MID(K836,             FIND(",", K836) + 1, LEN(K836) - FIND(",", K836)), K836)</f>
        <v/>
      </c>
      <c r="N836" t="n">
        <v>5</v>
      </c>
      <c r="P836" t="inlineStr">
        <is>
          <t>08:00</t>
        </is>
      </c>
      <c r="Q836" t="inlineStr">
        <is>
          <t>11:00</t>
        </is>
      </c>
    </row>
    <row r="837">
      <c r="A837" t="inlineStr">
        <is>
          <t>Tolentino Jewel</t>
        </is>
      </c>
      <c r="B837" t="inlineStr">
        <is>
          <t>TCNz002PH:Waiting for requests</t>
        </is>
      </c>
      <c r="D837">
        <f>L837</f>
        <v/>
      </c>
      <c r="E837">
        <f>SUMIFS(J:J, G:G,             A837, H:H, B837, L:L, L837)</f>
        <v/>
      </c>
      <c r="F837" t="inlineStr">
        <is>
          <t>PH0014</t>
        </is>
      </c>
      <c r="G837" t="inlineStr">
        <is>
          <t>Tolentino Jewel</t>
        </is>
      </c>
      <c r="H837" t="inlineStr">
        <is>
          <t>TCNz002PH:Waiting for requests</t>
        </is>
      </c>
      <c r="I837" s="1" t="n">
        <v>45943</v>
      </c>
      <c r="J837" t="n">
        <v>5</v>
      </c>
      <c r="K837" t="inlineStr">
        <is>
          <t>Code review</t>
        </is>
      </c>
      <c r="L837">
        <f>IFERROR(LEFT(K837,             FIND(",", K837) - 1), "-")</f>
        <v/>
      </c>
      <c r="M837">
        <f>IFERROR(MID(K837,             FIND(",", K837) + 1, LEN(K837) - FIND(",", K837)), K837)</f>
        <v/>
      </c>
      <c r="N837" t="n">
        <v>5</v>
      </c>
      <c r="P837" t="inlineStr">
        <is>
          <t>12:00</t>
        </is>
      </c>
      <c r="Q837" t="inlineStr">
        <is>
          <t>17:00</t>
        </is>
      </c>
    </row>
    <row r="838">
      <c r="A838" t="inlineStr">
        <is>
          <t>Tolentino Jewel</t>
        </is>
      </c>
      <c r="B838" t="inlineStr">
        <is>
          <t>TCNz002PH:Waiting for requests</t>
        </is>
      </c>
      <c r="D838">
        <f>L838</f>
        <v/>
      </c>
      <c r="E838">
        <f>SUMIFS(J:J, G:G,             A838, H:H, B838, L:L, L838)</f>
        <v/>
      </c>
      <c r="F838" t="inlineStr">
        <is>
          <t>PH0014</t>
        </is>
      </c>
      <c r="G838" t="inlineStr">
        <is>
          <t>Tolentino Jewel</t>
        </is>
      </c>
      <c r="H838" t="inlineStr">
        <is>
          <t>TCNz002PH:Waiting for requests</t>
        </is>
      </c>
      <c r="I838" s="1" t="n">
        <v>45944</v>
      </c>
      <c r="J838" t="n">
        <v>3</v>
      </c>
      <c r="K838" t="inlineStr">
        <is>
          <t>Code review</t>
        </is>
      </c>
      <c r="L838">
        <f>IFERROR(LEFT(K838,             FIND(",", K838) - 1), "-")</f>
        <v/>
      </c>
      <c r="M838">
        <f>IFERROR(MID(K838,             FIND(",", K838) + 1, LEN(K838) - FIND(",", K838)), K838)</f>
        <v/>
      </c>
      <c r="N838" t="n">
        <v>5</v>
      </c>
      <c r="P838" t="inlineStr">
        <is>
          <t>08:00</t>
        </is>
      </c>
      <c r="Q838" t="inlineStr">
        <is>
          <t>11:00</t>
        </is>
      </c>
    </row>
    <row r="839">
      <c r="A839" t="inlineStr">
        <is>
          <t>Tolentino Jewel</t>
        </is>
      </c>
      <c r="B839" t="inlineStr">
        <is>
          <t>TCNz002PH:Waiting for requests</t>
        </is>
      </c>
      <c r="D839">
        <f>L839</f>
        <v/>
      </c>
      <c r="E839">
        <f>SUMIFS(J:J, G:G,             A839, H:H, B839, L:L, L839)</f>
        <v/>
      </c>
      <c r="F839" t="inlineStr">
        <is>
          <t>PH0014</t>
        </is>
      </c>
      <c r="G839" t="inlineStr">
        <is>
          <t>Tolentino Jewel</t>
        </is>
      </c>
      <c r="H839" t="inlineStr">
        <is>
          <t>TCNz002PH:Waiting for requests</t>
        </is>
      </c>
      <c r="I839" s="1" t="n">
        <v>45944</v>
      </c>
      <c r="J839" t="n">
        <v>1.5</v>
      </c>
      <c r="K839" t="inlineStr">
        <is>
          <t>Code review</t>
        </is>
      </c>
      <c r="L839">
        <f>IFERROR(LEFT(K839,             FIND(",", K839) - 1), "-")</f>
        <v/>
      </c>
      <c r="M839">
        <f>IFERROR(MID(K839,             FIND(",", K839) + 1, LEN(K839) - FIND(",", K839)), K839)</f>
        <v/>
      </c>
      <c r="N839" t="n">
        <v>5</v>
      </c>
      <c r="P839" t="inlineStr">
        <is>
          <t>15:30</t>
        </is>
      </c>
      <c r="Q839" t="inlineStr">
        <is>
          <t>17:00</t>
        </is>
      </c>
    </row>
    <row r="840">
      <c r="A840" t="inlineStr">
        <is>
          <t>Tolentino Jewel</t>
        </is>
      </c>
      <c r="B840" t="inlineStr">
        <is>
          <t>TCNz002PH:Waiting for requests</t>
        </is>
      </c>
      <c r="D840">
        <f>L840</f>
        <v/>
      </c>
      <c r="E840">
        <f>SUMIFS(J:J, G:G,             A840, H:H, B840, L:L, L840)</f>
        <v/>
      </c>
      <c r="F840" t="inlineStr">
        <is>
          <t>PH0014</t>
        </is>
      </c>
      <c r="G840" t="inlineStr">
        <is>
          <t>Tolentino Jewel</t>
        </is>
      </c>
      <c r="H840" t="inlineStr">
        <is>
          <t>TCNz002PH:Waiting for requests</t>
        </is>
      </c>
      <c r="I840" s="1" t="n">
        <v>45945</v>
      </c>
      <c r="J840" t="n">
        <v>3</v>
      </c>
      <c r="K840" t="inlineStr">
        <is>
          <t>Code review</t>
        </is>
      </c>
      <c r="L840">
        <f>IFERROR(LEFT(K840,             FIND(",", K840) - 1), "-")</f>
        <v/>
      </c>
      <c r="M840">
        <f>IFERROR(MID(K840,             FIND(",", K840) + 1, LEN(K840) - FIND(",", K840)), K840)</f>
        <v/>
      </c>
      <c r="N840" t="n">
        <v>5</v>
      </c>
      <c r="P840" t="inlineStr">
        <is>
          <t>08:00</t>
        </is>
      </c>
      <c r="Q840" t="inlineStr">
        <is>
          <t>11:00</t>
        </is>
      </c>
    </row>
    <row r="841">
      <c r="A841" t="inlineStr">
        <is>
          <t>Tolentino Jewel</t>
        </is>
      </c>
      <c r="B841" t="inlineStr">
        <is>
          <t>TCNz002PH:Waiting for requests</t>
        </is>
      </c>
      <c r="D841">
        <f>L841</f>
        <v/>
      </c>
      <c r="E841">
        <f>SUMIFS(J:J, G:G,             A841, H:H, B841, L:L, L841)</f>
        <v/>
      </c>
      <c r="F841" t="inlineStr">
        <is>
          <t>PH0014</t>
        </is>
      </c>
      <c r="G841" t="inlineStr">
        <is>
          <t>Tolentino Jewel</t>
        </is>
      </c>
      <c r="H841" t="inlineStr">
        <is>
          <t>TCNz002PH:Waiting for requests</t>
        </is>
      </c>
      <c r="I841" s="1" t="n">
        <v>45945</v>
      </c>
      <c r="J841" t="n">
        <v>1.5</v>
      </c>
      <c r="K841" t="inlineStr">
        <is>
          <t>Code review</t>
        </is>
      </c>
      <c r="L841">
        <f>IFERROR(LEFT(K841,             FIND(",", K841) - 1), "-")</f>
        <v/>
      </c>
      <c r="M841">
        <f>IFERROR(MID(K841,             FIND(",", K841) + 1, LEN(K841) - FIND(",", K841)), K841)</f>
        <v/>
      </c>
      <c r="N841" t="n">
        <v>5</v>
      </c>
      <c r="P841" t="inlineStr">
        <is>
          <t>15:30</t>
        </is>
      </c>
      <c r="Q841" t="inlineStr">
        <is>
          <t>17:00</t>
        </is>
      </c>
    </row>
    <row r="842">
      <c r="A842" t="inlineStr">
        <is>
          <t>Tolentino Jewel</t>
        </is>
      </c>
      <c r="B842" t="inlineStr">
        <is>
          <t>TCNz002PH:Waiting for requests</t>
        </is>
      </c>
      <c r="D842">
        <f>L842</f>
        <v/>
      </c>
      <c r="E842">
        <f>SUMIFS(J:J, G:G,             A842, H:H, B842, L:L, L842)</f>
        <v/>
      </c>
      <c r="F842" t="inlineStr">
        <is>
          <t>PH0014</t>
        </is>
      </c>
      <c r="G842" t="inlineStr">
        <is>
          <t>Tolentino Jewel</t>
        </is>
      </c>
      <c r="H842" t="inlineStr">
        <is>
          <t>TCNz002PH:Waiting for requests</t>
        </is>
      </c>
      <c r="I842" s="1" t="n">
        <v>45946</v>
      </c>
      <c r="J842" t="n">
        <v>3</v>
      </c>
      <c r="K842" t="inlineStr">
        <is>
          <t>Code review</t>
        </is>
      </c>
      <c r="L842">
        <f>IFERROR(LEFT(K842,             FIND(",", K842) - 1), "-")</f>
        <v/>
      </c>
      <c r="M842">
        <f>IFERROR(MID(K842,             FIND(",", K842) + 1, LEN(K842) - FIND(",", K842)), K842)</f>
        <v/>
      </c>
      <c r="N842" t="n">
        <v>5</v>
      </c>
      <c r="P842" t="inlineStr">
        <is>
          <t>08:00</t>
        </is>
      </c>
      <c r="Q842" t="inlineStr">
        <is>
          <t>11:00</t>
        </is>
      </c>
    </row>
    <row r="843">
      <c r="A843" t="inlineStr">
        <is>
          <t>Tolentino Jewel</t>
        </is>
      </c>
      <c r="B843" t="inlineStr">
        <is>
          <t>TCNz002PH:Waiting for requests</t>
        </is>
      </c>
      <c r="D843">
        <f>L843</f>
        <v/>
      </c>
      <c r="E843">
        <f>SUMIFS(J:J, G:G,             A843, H:H, B843, L:L, L843)</f>
        <v/>
      </c>
      <c r="F843" t="inlineStr">
        <is>
          <t>PH0014</t>
        </is>
      </c>
      <c r="G843" t="inlineStr">
        <is>
          <t>Tolentino Jewel</t>
        </is>
      </c>
      <c r="H843" t="inlineStr">
        <is>
          <t>TCNz002PH:Waiting for requests</t>
        </is>
      </c>
      <c r="I843" s="1" t="n">
        <v>45946</v>
      </c>
      <c r="J843" t="n">
        <v>2.5</v>
      </c>
      <c r="K843" t="inlineStr">
        <is>
          <t>Code review</t>
        </is>
      </c>
      <c r="L843">
        <f>IFERROR(LEFT(K843,             FIND(",", K843) - 1), "-")</f>
        <v/>
      </c>
      <c r="M843">
        <f>IFERROR(MID(K843,             FIND(",", K843) + 1, LEN(K843) - FIND(",", K843)), K843)</f>
        <v/>
      </c>
      <c r="N843" t="n">
        <v>5</v>
      </c>
      <c r="P843" t="inlineStr">
        <is>
          <t>12:00</t>
        </is>
      </c>
      <c r="Q843" t="inlineStr">
        <is>
          <t>14:30</t>
        </is>
      </c>
    </row>
    <row r="844">
      <c r="A844" t="inlineStr">
        <is>
          <t>Tolentino Jewel</t>
        </is>
      </c>
      <c r="B844" t="inlineStr">
        <is>
          <t>TCNz002PH:Waiting for requests</t>
        </is>
      </c>
      <c r="D844">
        <f>L844</f>
        <v/>
      </c>
      <c r="E844">
        <f>SUMIFS(J:J, G:G,             A844, H:H, B844, L:L, L844)</f>
        <v/>
      </c>
      <c r="F844" t="inlineStr">
        <is>
          <t>PH0014</t>
        </is>
      </c>
      <c r="G844" t="inlineStr">
        <is>
          <t>Tolentino Jewel</t>
        </is>
      </c>
      <c r="H844" t="inlineStr">
        <is>
          <t>TCNz002PH:Waiting for requests</t>
        </is>
      </c>
      <c r="I844" s="1" t="n">
        <v>45946</v>
      </c>
      <c r="J844" t="n">
        <v>1.5</v>
      </c>
      <c r="K844" t="inlineStr">
        <is>
          <t>Code review</t>
        </is>
      </c>
      <c r="L844">
        <f>IFERROR(LEFT(K844,             FIND(",", K844) - 1), "-")</f>
        <v/>
      </c>
      <c r="M844">
        <f>IFERROR(MID(K844,             FIND(",", K844) + 1, LEN(K844) - FIND(",", K844)), K844)</f>
        <v/>
      </c>
      <c r="N844" t="n">
        <v>5</v>
      </c>
      <c r="P844" t="inlineStr">
        <is>
          <t>15:30</t>
        </is>
      </c>
      <c r="Q844" t="inlineStr">
        <is>
          <t>17:00</t>
        </is>
      </c>
    </row>
    <row r="845">
      <c r="A845" t="inlineStr">
        <is>
          <t>Tolentino Jewel</t>
        </is>
      </c>
      <c r="B845" t="inlineStr">
        <is>
          <t>TCNz002PH:Waiting for requests</t>
        </is>
      </c>
      <c r="D845">
        <f>L845</f>
        <v/>
      </c>
      <c r="E845">
        <f>SUMIFS(J:J, G:G,             A845, H:H, B845, L:L, L845)</f>
        <v/>
      </c>
      <c r="F845" t="inlineStr">
        <is>
          <t>PH0014</t>
        </is>
      </c>
      <c r="G845" t="inlineStr">
        <is>
          <t>Tolentino Jewel</t>
        </is>
      </c>
      <c r="H845" t="inlineStr">
        <is>
          <t>TCNz002PH:Waiting for requests</t>
        </is>
      </c>
      <c r="I845" s="1" t="n">
        <v>45947</v>
      </c>
      <c r="J845" t="n">
        <v>3</v>
      </c>
      <c r="K845" t="inlineStr">
        <is>
          <t>Code review</t>
        </is>
      </c>
      <c r="L845">
        <f>IFERROR(LEFT(K845,             FIND(",", K845) - 1), "-")</f>
        <v/>
      </c>
      <c r="M845">
        <f>IFERROR(MID(K845,             FIND(",", K845) + 1, LEN(K845) - FIND(",", K845)), K845)</f>
        <v/>
      </c>
      <c r="N845" t="n">
        <v>5</v>
      </c>
      <c r="P845" t="inlineStr">
        <is>
          <t>08:00</t>
        </is>
      </c>
      <c r="Q845" t="inlineStr">
        <is>
          <t>11:00</t>
        </is>
      </c>
    </row>
    <row r="846">
      <c r="A846" t="inlineStr">
        <is>
          <t>Tolentino Jewel</t>
        </is>
      </c>
      <c r="B846" t="inlineStr">
        <is>
          <t>TCNz002PH:Waiting for requests</t>
        </is>
      </c>
      <c r="D846">
        <f>L846</f>
        <v/>
      </c>
      <c r="E846">
        <f>SUMIFS(J:J, G:G,             A846, H:H, B846, L:L, L846)</f>
        <v/>
      </c>
      <c r="F846" t="inlineStr">
        <is>
          <t>PH0014</t>
        </is>
      </c>
      <c r="G846" t="inlineStr">
        <is>
          <t>Tolentino Jewel</t>
        </is>
      </c>
      <c r="H846" t="inlineStr">
        <is>
          <t>TCNz002PH:Waiting for requests</t>
        </is>
      </c>
      <c r="I846" s="1" t="n">
        <v>45947</v>
      </c>
      <c r="J846" t="n">
        <v>5</v>
      </c>
      <c r="K846" t="inlineStr">
        <is>
          <t>Code review</t>
        </is>
      </c>
      <c r="L846">
        <f>IFERROR(LEFT(K846,             FIND(",", K846) - 1), "-")</f>
        <v/>
      </c>
      <c r="M846">
        <f>IFERROR(MID(K846,             FIND(",", K846) + 1, LEN(K846) - FIND(",", K846)), K846)</f>
        <v/>
      </c>
      <c r="N846" t="n">
        <v>5</v>
      </c>
      <c r="P846" t="inlineStr">
        <is>
          <t>12:00</t>
        </is>
      </c>
      <c r="Q846" t="inlineStr">
        <is>
          <t>17:00</t>
        </is>
      </c>
    </row>
    <row r="847">
      <c r="A847" t="inlineStr">
        <is>
          <t>Tolentino Jewel</t>
        </is>
      </c>
      <c r="B847" t="inlineStr">
        <is>
          <t>TCNz002PH:Waiting for requests</t>
        </is>
      </c>
      <c r="D847">
        <f>L847</f>
        <v/>
      </c>
      <c r="E847">
        <f>SUMIFS(J:J, G:G,             A847, H:H, B847, L:L, L847)</f>
        <v/>
      </c>
      <c r="F847" t="inlineStr">
        <is>
          <t>PH0014</t>
        </is>
      </c>
      <c r="G847" t="inlineStr">
        <is>
          <t>Tolentino Jewel</t>
        </is>
      </c>
      <c r="H847" t="inlineStr">
        <is>
          <t>TCNz002PH:Waiting for requests</t>
        </is>
      </c>
      <c r="I847" s="1" t="n">
        <v>45950</v>
      </c>
      <c r="J847" t="n">
        <v>3</v>
      </c>
      <c r="K847" t="inlineStr">
        <is>
          <t>Code review</t>
        </is>
      </c>
      <c r="L847">
        <f>IFERROR(LEFT(K847,             FIND(",", K847) - 1), "-")</f>
        <v/>
      </c>
      <c r="M847">
        <f>IFERROR(MID(K847,             FIND(",", K847) + 1, LEN(K847) - FIND(",", K847)), K847)</f>
        <v/>
      </c>
      <c r="N847" t="n">
        <v>5</v>
      </c>
      <c r="P847" t="inlineStr">
        <is>
          <t>08:00</t>
        </is>
      </c>
      <c r="Q847" t="inlineStr">
        <is>
          <t>11:00</t>
        </is>
      </c>
    </row>
    <row r="848">
      <c r="A848" t="inlineStr">
        <is>
          <t>Tolentino Jewel</t>
        </is>
      </c>
      <c r="B848" t="inlineStr">
        <is>
          <t>TCNz002PH:Waiting for requests</t>
        </is>
      </c>
      <c r="D848">
        <f>L848</f>
        <v/>
      </c>
      <c r="E848">
        <f>SUMIFS(J:J, G:G,             A848, H:H, B848, L:L, L848)</f>
        <v/>
      </c>
      <c r="F848" t="inlineStr">
        <is>
          <t>PH0014</t>
        </is>
      </c>
      <c r="G848" t="inlineStr">
        <is>
          <t>Tolentino Jewel</t>
        </is>
      </c>
      <c r="H848" t="inlineStr">
        <is>
          <t>TCNz002PH:Waiting for requests</t>
        </is>
      </c>
      <c r="I848" s="1" t="n">
        <v>45950</v>
      </c>
      <c r="J848" t="n">
        <v>5</v>
      </c>
      <c r="K848" t="inlineStr">
        <is>
          <t>Code review</t>
        </is>
      </c>
      <c r="L848">
        <f>IFERROR(LEFT(K848,             FIND(",", K848) - 1), "-")</f>
        <v/>
      </c>
      <c r="M848">
        <f>IFERROR(MID(K848,             FIND(",", K848) + 1, LEN(K848) - FIND(",", K848)), K848)</f>
        <v/>
      </c>
      <c r="N848" t="n">
        <v>5</v>
      </c>
      <c r="P848" t="inlineStr">
        <is>
          <t>12:00</t>
        </is>
      </c>
      <c r="Q848" t="inlineStr">
        <is>
          <t>17:00</t>
        </is>
      </c>
    </row>
    <row r="849">
      <c r="A849" t="inlineStr">
        <is>
          <t>Tolentino Jewel</t>
        </is>
      </c>
      <c r="B849" t="inlineStr">
        <is>
          <t>TCNz002PH:Waiting for requests</t>
        </is>
      </c>
      <c r="D849">
        <f>L849</f>
        <v/>
      </c>
      <c r="E849">
        <f>SUMIFS(J:J, G:G,             A849, H:H, B849, L:L, L849)</f>
        <v/>
      </c>
      <c r="F849" t="inlineStr">
        <is>
          <t>PH0014</t>
        </is>
      </c>
      <c r="G849" t="inlineStr">
        <is>
          <t>Tolentino Jewel</t>
        </is>
      </c>
      <c r="H849" t="inlineStr">
        <is>
          <t>TCNz002PH:Waiting for requests</t>
        </is>
      </c>
      <c r="I849" s="1" t="n">
        <v>45951</v>
      </c>
      <c r="J849" t="n">
        <v>3</v>
      </c>
      <c r="K849" t="inlineStr">
        <is>
          <t>Code review</t>
        </is>
      </c>
      <c r="L849">
        <f>IFERROR(LEFT(K849,             FIND(",", K849) - 1), "-")</f>
        <v/>
      </c>
      <c r="M849">
        <f>IFERROR(MID(K849,             FIND(",", K849) + 1, LEN(K849) - FIND(",", K849)), K849)</f>
        <v/>
      </c>
      <c r="N849" t="n">
        <v>5</v>
      </c>
      <c r="P849" t="inlineStr">
        <is>
          <t>08:00</t>
        </is>
      </c>
      <c r="Q849" t="inlineStr">
        <is>
          <t>11:00</t>
        </is>
      </c>
    </row>
    <row r="850">
      <c r="A850" t="inlineStr">
        <is>
          <t>Tolentino Jewel</t>
        </is>
      </c>
      <c r="B850" t="inlineStr">
        <is>
          <t>TCNz002PH:Waiting for requests</t>
        </is>
      </c>
      <c r="D850">
        <f>L850</f>
        <v/>
      </c>
      <c r="E850">
        <f>SUMIFS(J:J, G:G,             A850, H:H, B850, L:L, L850)</f>
        <v/>
      </c>
      <c r="F850" t="inlineStr">
        <is>
          <t>PH0014</t>
        </is>
      </c>
      <c r="G850" t="inlineStr">
        <is>
          <t>Tolentino Jewel</t>
        </is>
      </c>
      <c r="H850" t="inlineStr">
        <is>
          <t>TCNz002PH:Waiting for requests</t>
        </is>
      </c>
      <c r="I850" s="1" t="n">
        <v>45951</v>
      </c>
      <c r="J850" t="n">
        <v>5</v>
      </c>
      <c r="K850" t="inlineStr">
        <is>
          <t>Code review</t>
        </is>
      </c>
      <c r="L850">
        <f>IFERROR(LEFT(K850,             FIND(",", K850) - 1), "-")</f>
        <v/>
      </c>
      <c r="M850">
        <f>IFERROR(MID(K850,             FIND(",", K850) + 1, LEN(K850) - FIND(",", K850)), K850)</f>
        <v/>
      </c>
      <c r="N850" t="n">
        <v>5</v>
      </c>
      <c r="P850" t="inlineStr">
        <is>
          <t>12:00</t>
        </is>
      </c>
      <c r="Q850" t="inlineStr">
        <is>
          <t>17:00</t>
        </is>
      </c>
    </row>
    <row r="851">
      <c r="A851" t="inlineStr">
        <is>
          <t>Tolentino Jewel</t>
        </is>
      </c>
      <c r="B851" t="inlineStr">
        <is>
          <t>TCNz002PH:Waiting for requests</t>
        </is>
      </c>
      <c r="D851">
        <f>L851</f>
        <v/>
      </c>
      <c r="E851">
        <f>SUMIFS(J:J, G:G,             A851, H:H, B851, L:L, L851)</f>
        <v/>
      </c>
      <c r="F851" t="inlineStr">
        <is>
          <t>PH0014</t>
        </is>
      </c>
      <c r="G851" t="inlineStr">
        <is>
          <t>Tolentino Jewel</t>
        </is>
      </c>
      <c r="H851" t="inlineStr">
        <is>
          <t>TCNz002PH:Waiting for requests</t>
        </is>
      </c>
      <c r="I851" s="1" t="n">
        <v>45952</v>
      </c>
      <c r="J851" t="n">
        <v>3</v>
      </c>
      <c r="K851" t="inlineStr">
        <is>
          <t>Code review</t>
        </is>
      </c>
      <c r="L851">
        <f>IFERROR(LEFT(K851,             FIND(",", K851) - 1), "-")</f>
        <v/>
      </c>
      <c r="M851">
        <f>IFERROR(MID(K851,             FIND(",", K851) + 1, LEN(K851) - FIND(",", K851)), K851)</f>
        <v/>
      </c>
      <c r="N851" t="n">
        <v>5</v>
      </c>
      <c r="P851" t="inlineStr">
        <is>
          <t>08:00</t>
        </is>
      </c>
      <c r="Q851" t="inlineStr">
        <is>
          <t>11:00</t>
        </is>
      </c>
    </row>
    <row r="852">
      <c r="A852" t="inlineStr">
        <is>
          <t>Tolentino Jewel</t>
        </is>
      </c>
      <c r="B852" t="inlineStr">
        <is>
          <t>TCNz002PH:Waiting for requests</t>
        </is>
      </c>
      <c r="D852">
        <f>L852</f>
        <v/>
      </c>
      <c r="E852">
        <f>SUMIFS(J:J, G:G,             A852, H:H, B852, L:L, L852)</f>
        <v/>
      </c>
      <c r="F852" t="inlineStr">
        <is>
          <t>PH0014</t>
        </is>
      </c>
      <c r="G852" t="inlineStr">
        <is>
          <t>Tolentino Jewel</t>
        </is>
      </c>
      <c r="H852" t="inlineStr">
        <is>
          <t>TCNz002PH:Waiting for requests</t>
        </is>
      </c>
      <c r="I852" s="1" t="n">
        <v>45952</v>
      </c>
      <c r="J852" t="n">
        <v>2.25</v>
      </c>
      <c r="K852" t="inlineStr">
        <is>
          <t>Code review</t>
        </is>
      </c>
      <c r="L852">
        <f>IFERROR(LEFT(K852,             FIND(",", K852) - 1), "-")</f>
        <v/>
      </c>
      <c r="M852">
        <f>IFERROR(MID(K852,             FIND(",", K852) + 1, LEN(K852) - FIND(",", K852)), K852)</f>
        <v/>
      </c>
      <c r="N852" t="n">
        <v>5</v>
      </c>
      <c r="P852" t="inlineStr">
        <is>
          <t>14:45</t>
        </is>
      </c>
      <c r="Q852" t="inlineStr">
        <is>
          <t>17:00</t>
        </is>
      </c>
    </row>
    <row r="853">
      <c r="A853" t="inlineStr">
        <is>
          <t>Tolentino Jewel</t>
        </is>
      </c>
      <c r="B853" t="inlineStr">
        <is>
          <t>TCNz002PH:Waiting for requests</t>
        </is>
      </c>
      <c r="D853">
        <f>L853</f>
        <v/>
      </c>
      <c r="E853">
        <f>SUMIFS(J:J, G:G,             A853, H:H, B853, L:L, L853)</f>
        <v/>
      </c>
      <c r="F853" t="inlineStr">
        <is>
          <t>PH0014</t>
        </is>
      </c>
      <c r="G853" t="inlineStr">
        <is>
          <t>Tolentino Jewel</t>
        </is>
      </c>
      <c r="H853" t="inlineStr">
        <is>
          <t>TCNz002PH:Waiting for requests</t>
        </is>
      </c>
      <c r="I853" s="1" t="n">
        <v>45953</v>
      </c>
      <c r="J853" t="n">
        <v>3</v>
      </c>
      <c r="K853" t="inlineStr">
        <is>
          <t>Code review</t>
        </is>
      </c>
      <c r="L853">
        <f>IFERROR(LEFT(K853,             FIND(",", K853) - 1), "-")</f>
        <v/>
      </c>
      <c r="M853">
        <f>IFERROR(MID(K853,             FIND(",", K853) + 1, LEN(K853) - FIND(",", K853)), K853)</f>
        <v/>
      </c>
      <c r="N853" t="n">
        <v>5</v>
      </c>
      <c r="P853" t="inlineStr">
        <is>
          <t>08:00</t>
        </is>
      </c>
      <c r="Q853" t="inlineStr">
        <is>
          <t>11:00</t>
        </is>
      </c>
    </row>
    <row r="854">
      <c r="A854" t="inlineStr">
        <is>
          <t>Tolentino Jewel</t>
        </is>
      </c>
      <c r="B854" t="inlineStr">
        <is>
          <t>TCNz002PH:Waiting for requests</t>
        </is>
      </c>
      <c r="D854">
        <f>L854</f>
        <v/>
      </c>
      <c r="E854">
        <f>SUMIFS(J:J, G:G,             A854, H:H, B854, L:L, L854)</f>
        <v/>
      </c>
      <c r="F854" t="inlineStr">
        <is>
          <t>PH0014</t>
        </is>
      </c>
      <c r="G854" t="inlineStr">
        <is>
          <t>Tolentino Jewel</t>
        </is>
      </c>
      <c r="H854" t="inlineStr">
        <is>
          <t>TCNz002PH:Waiting for requests</t>
        </is>
      </c>
      <c r="I854" s="1" t="n">
        <v>45953</v>
      </c>
      <c r="J854" t="n">
        <v>5</v>
      </c>
      <c r="K854" t="inlineStr">
        <is>
          <t>Code review</t>
        </is>
      </c>
      <c r="L854">
        <f>IFERROR(LEFT(K854,             FIND(",", K854) - 1), "-")</f>
        <v/>
      </c>
      <c r="M854">
        <f>IFERROR(MID(K854,             FIND(",", K854) + 1, LEN(K854) - FIND(",", K854)), K854)</f>
        <v/>
      </c>
      <c r="N854" t="n">
        <v>5</v>
      </c>
      <c r="P854" t="inlineStr">
        <is>
          <t>12:00</t>
        </is>
      </c>
      <c r="Q854" t="inlineStr">
        <is>
          <t>17:00</t>
        </is>
      </c>
    </row>
    <row r="855">
      <c r="A855" t="inlineStr">
        <is>
          <t>Tolentino Jewel</t>
        </is>
      </c>
      <c r="B855" t="inlineStr">
        <is>
          <t>TCNz004PH:SMS NewDev</t>
        </is>
      </c>
      <c r="C855">
        <f>SUMIFS(J:J, G:G,             A855, H:H, B855)</f>
        <v/>
      </c>
      <c r="D855">
        <f>L855</f>
        <v/>
      </c>
      <c r="E855">
        <f>SUMIFS(J:J, G:G,             A855, H:H, B855, L:L, L855)</f>
        <v/>
      </c>
      <c r="F855" t="inlineStr">
        <is>
          <t>PH0014</t>
        </is>
      </c>
      <c r="G855" t="inlineStr">
        <is>
          <t>Tolentino Jewel</t>
        </is>
      </c>
      <c r="H855" t="inlineStr">
        <is>
          <t>TCNz004PH:SMS NewDev</t>
        </is>
      </c>
      <c r="I855" s="1" t="n">
        <v>45939</v>
      </c>
      <c r="J855" t="n">
        <v>5</v>
      </c>
      <c r="K855" t="inlineStr">
        <is>
          <t>95483</t>
        </is>
      </c>
      <c r="L855">
        <f>IFERROR(LEFT(K855,             FIND(",", K855) - 1), "-")</f>
        <v/>
      </c>
      <c r="M855">
        <f>IFERROR(MID(K855,             FIND(",", K855) + 1, LEN(K855) - FIND(",", K855)), K855)</f>
        <v/>
      </c>
      <c r="P855" t="inlineStr">
        <is>
          <t>12:00</t>
        </is>
      </c>
      <c r="Q855" t="inlineStr">
        <is>
          <t>17:00</t>
        </is>
      </c>
    </row>
    <row r="856">
      <c r="A856" t="inlineStr">
        <is>
          <t>Tolentino Jewel</t>
        </is>
      </c>
      <c r="B856" t="inlineStr">
        <is>
          <t>TCNz004PH:SMS NewDev</t>
        </is>
      </c>
      <c r="D856">
        <f>L856</f>
        <v/>
      </c>
      <c r="E856">
        <f>SUMIFS(J:J, G:G,             A856, H:H, B856, L:L, L856)</f>
        <v/>
      </c>
      <c r="F856" t="inlineStr">
        <is>
          <t>PH0014</t>
        </is>
      </c>
      <c r="G856" t="inlineStr">
        <is>
          <t>Tolentino Jewel</t>
        </is>
      </c>
      <c r="H856" t="inlineStr">
        <is>
          <t>TCNz004PH:SMS NewDev</t>
        </is>
      </c>
      <c r="I856" s="1" t="n">
        <v>45940</v>
      </c>
      <c r="J856" t="n">
        <v>1</v>
      </c>
      <c r="K856" t="inlineStr">
        <is>
          <t>95737</t>
        </is>
      </c>
      <c r="L856">
        <f>IFERROR(LEFT(K856,             FIND(",", K856) - 1), "-")</f>
        <v/>
      </c>
      <c r="M856">
        <f>IFERROR(MID(K856,             FIND(",", K856) + 1, LEN(K856) - FIND(",", K856)), K856)</f>
        <v/>
      </c>
      <c r="P856" t="inlineStr">
        <is>
          <t>16:00</t>
        </is>
      </c>
      <c r="Q856" t="inlineStr">
        <is>
          <t>17:00</t>
        </is>
      </c>
    </row>
    <row r="857">
      <c r="A857" t="inlineStr">
        <is>
          <t>Tolentino Jewel</t>
        </is>
      </c>
      <c r="B857" t="inlineStr">
        <is>
          <t>TCNz004PH:SMS NewDev</t>
        </is>
      </c>
      <c r="D857">
        <f>L857</f>
        <v/>
      </c>
      <c r="E857">
        <f>SUMIFS(J:J, G:G,             A857, H:H, B857, L:L, L857)</f>
        <v/>
      </c>
      <c r="F857" t="inlineStr">
        <is>
          <t>PH0014</t>
        </is>
      </c>
      <c r="G857" t="inlineStr">
        <is>
          <t>Tolentino Jewel</t>
        </is>
      </c>
      <c r="H857" t="inlineStr">
        <is>
          <t>TCNz004PH:SMS NewDev</t>
        </is>
      </c>
      <c r="I857" s="1" t="n">
        <v>45944</v>
      </c>
      <c r="J857" t="n">
        <v>2</v>
      </c>
      <c r="K857" t="inlineStr">
        <is>
          <t>95737</t>
        </is>
      </c>
      <c r="L857">
        <f>IFERROR(LEFT(K857,             FIND(",", K857) - 1), "-")</f>
        <v/>
      </c>
      <c r="M857">
        <f>IFERROR(MID(K857,             FIND(",", K857) + 1, LEN(K857) - FIND(",", K857)), K857)</f>
        <v/>
      </c>
      <c r="P857" t="inlineStr">
        <is>
          <t>12:00</t>
        </is>
      </c>
      <c r="Q857" t="inlineStr">
        <is>
          <t>14:00</t>
        </is>
      </c>
    </row>
    <row r="858">
      <c r="A858" t="inlineStr">
        <is>
          <t>Tolentino Jewel</t>
        </is>
      </c>
      <c r="B858" t="inlineStr">
        <is>
          <t>TCNz004PH:SMS NewDev</t>
        </is>
      </c>
      <c r="D858">
        <f>L858</f>
        <v/>
      </c>
      <c r="E858">
        <f>SUMIFS(J:J, G:G,             A858, H:H, B858, L:L, L858)</f>
        <v/>
      </c>
      <c r="F858" t="inlineStr">
        <is>
          <t>PH0014</t>
        </is>
      </c>
      <c r="G858" t="inlineStr">
        <is>
          <t>Tolentino Jewel</t>
        </is>
      </c>
      <c r="H858" t="inlineStr">
        <is>
          <t>TCNz004PH:SMS NewDev</t>
        </is>
      </c>
      <c r="I858" s="1" t="n">
        <v>45940</v>
      </c>
      <c r="J858" t="n">
        <v>0.5</v>
      </c>
      <c r="K858" t="inlineStr">
        <is>
          <t>95740</t>
        </is>
      </c>
      <c r="L858">
        <f>IFERROR(LEFT(K858,             FIND(",", K858) - 1), "-")</f>
        <v/>
      </c>
      <c r="M858">
        <f>IFERROR(MID(K858,             FIND(",", K858) + 1, LEN(K858) - FIND(",", K858)), K858)</f>
        <v/>
      </c>
      <c r="P858" t="inlineStr">
        <is>
          <t>15:30</t>
        </is>
      </c>
      <c r="Q858" t="inlineStr">
        <is>
          <t>16:00</t>
        </is>
      </c>
    </row>
    <row r="859">
      <c r="A859" t="inlineStr">
        <is>
          <t>Tolentino Jewel</t>
        </is>
      </c>
      <c r="B859" t="inlineStr">
        <is>
          <t>TCNz004PH:SMS NewDev</t>
        </is>
      </c>
      <c r="D859">
        <f>L859</f>
        <v/>
      </c>
      <c r="E859">
        <f>SUMIFS(J:J, G:G,             A859, H:H, B859, L:L, L859)</f>
        <v/>
      </c>
      <c r="F859" t="inlineStr">
        <is>
          <t>PH0014</t>
        </is>
      </c>
      <c r="G859" t="inlineStr">
        <is>
          <t>Tolentino Jewel</t>
        </is>
      </c>
      <c r="H859" t="inlineStr">
        <is>
          <t>TCNz004PH:SMS NewDev</t>
        </is>
      </c>
      <c r="I859" s="1" t="n">
        <v>45940</v>
      </c>
      <c r="J859" t="n">
        <v>0.5</v>
      </c>
      <c r="K859" t="inlineStr">
        <is>
          <t>95743</t>
        </is>
      </c>
      <c r="L859">
        <f>IFERROR(LEFT(K859,             FIND(",", K859) - 1), "-")</f>
        <v/>
      </c>
      <c r="M859">
        <f>IFERROR(MID(K859,             FIND(",", K859) + 1, LEN(K859) - FIND(",", K859)), K859)</f>
        <v/>
      </c>
      <c r="P859" t="inlineStr">
        <is>
          <t>15:00</t>
        </is>
      </c>
      <c r="Q859" t="inlineStr">
        <is>
          <t>15:30</t>
        </is>
      </c>
    </row>
    <row r="860">
      <c r="A860" t="inlineStr">
        <is>
          <t>Tolentino Jewel</t>
        </is>
      </c>
      <c r="B860" t="inlineStr">
        <is>
          <t>TCNz004PH:SMS NewDev</t>
        </is>
      </c>
      <c r="D860">
        <f>L860</f>
        <v/>
      </c>
      <c r="E860">
        <f>SUMIFS(J:J, G:G,             A860, H:H, B860, L:L, L860)</f>
        <v/>
      </c>
      <c r="F860" t="inlineStr">
        <is>
          <t>PH0014</t>
        </is>
      </c>
      <c r="G860" t="inlineStr">
        <is>
          <t>Tolentino Jewel</t>
        </is>
      </c>
      <c r="H860" t="inlineStr">
        <is>
          <t>TCNz004PH:SMS NewDev</t>
        </is>
      </c>
      <c r="I860" s="1" t="n">
        <v>45944</v>
      </c>
      <c r="J860" t="n">
        <v>1.25</v>
      </c>
      <c r="K860" t="inlineStr">
        <is>
          <t>95743</t>
        </is>
      </c>
      <c r="L860">
        <f>IFERROR(LEFT(K860,             FIND(",", K860) - 1), "-")</f>
        <v/>
      </c>
      <c r="M860">
        <f>IFERROR(MID(K860,             FIND(",", K860) + 1, LEN(K860) - FIND(",", K860)), K860)</f>
        <v/>
      </c>
      <c r="P860" t="inlineStr">
        <is>
          <t>14:00</t>
        </is>
      </c>
      <c r="Q860" t="inlineStr">
        <is>
          <t>15:15</t>
        </is>
      </c>
    </row>
    <row r="861">
      <c r="A861" t="inlineStr">
        <is>
          <t>Tolentino Jewel</t>
        </is>
      </c>
      <c r="B861" t="inlineStr">
        <is>
          <t>TCNz004PH:SMS NewDev</t>
        </is>
      </c>
      <c r="D861">
        <f>L861</f>
        <v/>
      </c>
      <c r="E861">
        <f>SUMIFS(J:J, G:G,             A861, H:H, B861, L:L, L861)</f>
        <v/>
      </c>
      <c r="F861" t="inlineStr">
        <is>
          <t>PH0014</t>
        </is>
      </c>
      <c r="G861" t="inlineStr">
        <is>
          <t>Tolentino Jewel</t>
        </is>
      </c>
      <c r="H861" t="inlineStr">
        <is>
          <t>TCNz004PH:SMS NewDev</t>
        </is>
      </c>
      <c r="I861" s="1" t="n">
        <v>45940</v>
      </c>
      <c r="J861" t="n">
        <v>0.5</v>
      </c>
      <c r="K861" t="inlineStr">
        <is>
          <t>95744</t>
        </is>
      </c>
      <c r="L861">
        <f>IFERROR(LEFT(K861,             FIND(",", K861) - 1), "-")</f>
        <v/>
      </c>
      <c r="M861">
        <f>IFERROR(MID(K861,             FIND(",", K861) + 1, LEN(K861) - FIND(",", K861)), K861)</f>
        <v/>
      </c>
      <c r="P861" t="inlineStr">
        <is>
          <t>14:30</t>
        </is>
      </c>
      <c r="Q861" t="inlineStr">
        <is>
          <t>15:00</t>
        </is>
      </c>
    </row>
    <row r="862">
      <c r="A862" t="inlineStr">
        <is>
          <t>Tolentino Jewel</t>
        </is>
      </c>
      <c r="B862" t="inlineStr">
        <is>
          <t>TCNz004PH:SMS NewDev</t>
        </is>
      </c>
      <c r="D862">
        <f>L862</f>
        <v/>
      </c>
      <c r="E862">
        <f>SUMIFS(J:J, G:G,             A862, H:H, B862, L:L, L862)</f>
        <v/>
      </c>
      <c r="F862" t="inlineStr">
        <is>
          <t>PH0014</t>
        </is>
      </c>
      <c r="G862" t="inlineStr">
        <is>
          <t>Tolentino Jewel</t>
        </is>
      </c>
      <c r="H862" t="inlineStr">
        <is>
          <t>TCNz004PH:SMS NewDev</t>
        </is>
      </c>
      <c r="I862" s="1" t="n">
        <v>45933</v>
      </c>
      <c r="J862" t="n">
        <v>3.25</v>
      </c>
      <c r="K862" t="inlineStr">
        <is>
          <t>95790</t>
        </is>
      </c>
      <c r="L862">
        <f>IFERROR(LEFT(K862,             FIND(",", K862) - 1), "-")</f>
        <v/>
      </c>
      <c r="M862">
        <f>IFERROR(MID(K862,             FIND(",", K862) + 1, LEN(K862) - FIND(",", K862)), K862)</f>
        <v/>
      </c>
      <c r="P862" t="inlineStr">
        <is>
          <t>12:00</t>
        </is>
      </c>
      <c r="Q862" t="inlineStr">
        <is>
          <t>15:15</t>
        </is>
      </c>
    </row>
    <row r="863">
      <c r="A863" t="inlineStr">
        <is>
          <t>Tolentino Jewel</t>
        </is>
      </c>
      <c r="B863" t="inlineStr">
        <is>
          <t>TCNz004PH:SMS NewDev</t>
        </is>
      </c>
      <c r="D863">
        <f>L863</f>
        <v/>
      </c>
      <c r="E863">
        <f>SUMIFS(J:J, G:G,             A863, H:H, B863, L:L, L863)</f>
        <v/>
      </c>
      <c r="F863" t="inlineStr">
        <is>
          <t>PH0014</t>
        </is>
      </c>
      <c r="G863" t="inlineStr">
        <is>
          <t>Tolentino Jewel</t>
        </is>
      </c>
      <c r="H863" t="inlineStr">
        <is>
          <t>TCNz004PH:SMS NewDev</t>
        </is>
      </c>
      <c r="I863" s="1" t="n">
        <v>45937</v>
      </c>
      <c r="J863" t="n">
        <v>1.5</v>
      </c>
      <c r="K863" t="inlineStr">
        <is>
          <t>95790</t>
        </is>
      </c>
      <c r="L863">
        <f>IFERROR(LEFT(K863,             FIND(",", K863) - 1), "-")</f>
        <v/>
      </c>
      <c r="M863">
        <f>IFERROR(MID(K863,             FIND(",", K863) + 1, LEN(K863) - FIND(",", K863)), K863)</f>
        <v/>
      </c>
      <c r="P863" t="inlineStr">
        <is>
          <t>08:00</t>
        </is>
      </c>
      <c r="Q863" t="inlineStr">
        <is>
          <t>09:30</t>
        </is>
      </c>
    </row>
    <row r="864">
      <c r="A864" t="inlineStr">
        <is>
          <t>Tolentino Jewel</t>
        </is>
      </c>
      <c r="B864" t="inlineStr">
        <is>
          <t>TCNz004PH:SMS NewDev</t>
        </is>
      </c>
      <c r="D864">
        <f>L864</f>
        <v/>
      </c>
      <c r="E864">
        <f>SUMIFS(J:J, G:G,             A864, H:H, B864, L:L, L864)</f>
        <v/>
      </c>
      <c r="F864" t="inlineStr">
        <is>
          <t>PH0014</t>
        </is>
      </c>
      <c r="G864" t="inlineStr">
        <is>
          <t>Tolentino Jewel</t>
        </is>
      </c>
      <c r="H864" t="inlineStr">
        <is>
          <t>TCNz004PH:SMS NewDev</t>
        </is>
      </c>
      <c r="I864" s="1" t="n">
        <v>45938</v>
      </c>
      <c r="J864" t="n">
        <v>1.5</v>
      </c>
      <c r="K864" t="inlineStr">
        <is>
          <t>95803</t>
        </is>
      </c>
      <c r="L864">
        <f>IFERROR(LEFT(K864,             FIND(",", K864) - 1), "-")</f>
        <v/>
      </c>
      <c r="M864">
        <f>IFERROR(MID(K864,             FIND(",", K864) + 1, LEN(K864) - FIND(",", K864)), K864)</f>
        <v/>
      </c>
      <c r="P864" t="inlineStr">
        <is>
          <t>08:00</t>
        </is>
      </c>
      <c r="Q864" t="inlineStr">
        <is>
          <t>09:30</t>
        </is>
      </c>
    </row>
    <row r="865">
      <c r="A865" t="inlineStr">
        <is>
          <t>Tolentino Jewel</t>
        </is>
      </c>
      <c r="B865" t="inlineStr">
        <is>
          <t>TCNz004PH:SMS NewDev</t>
        </is>
      </c>
      <c r="D865">
        <f>L865</f>
        <v/>
      </c>
      <c r="E865">
        <f>SUMIFS(J:J, G:G,             A865, H:H, B865, L:L, L865)</f>
        <v/>
      </c>
      <c r="F865" t="inlineStr">
        <is>
          <t>PH0014</t>
        </is>
      </c>
      <c r="G865" t="inlineStr">
        <is>
          <t>Tolentino Jewel</t>
        </is>
      </c>
      <c r="H865" t="inlineStr">
        <is>
          <t>TCNz004PH:SMS NewDev</t>
        </is>
      </c>
      <c r="I865" s="1" t="n">
        <v>45938</v>
      </c>
      <c r="J865" t="n">
        <v>3.25</v>
      </c>
      <c r="K865" t="inlineStr">
        <is>
          <t>95803</t>
        </is>
      </c>
      <c r="L865">
        <f>IFERROR(LEFT(K865,             FIND(",", K865) - 1), "-")</f>
        <v/>
      </c>
      <c r="M865">
        <f>IFERROR(MID(K865,             FIND(",", K865) + 1, LEN(K865) - FIND(",", K865)), K865)</f>
        <v/>
      </c>
      <c r="P865" t="inlineStr">
        <is>
          <t>12:00</t>
        </is>
      </c>
      <c r="Q865" t="inlineStr">
        <is>
          <t>15:15</t>
        </is>
      </c>
    </row>
    <row r="866">
      <c r="A866" t="inlineStr">
        <is>
          <t>Tolentino Jewel</t>
        </is>
      </c>
      <c r="B866" t="inlineStr">
        <is>
          <t>TCNz004PH:SMS NewDev</t>
        </is>
      </c>
      <c r="D866">
        <f>L866</f>
        <v/>
      </c>
      <c r="E866">
        <f>SUMIFS(J:J, G:G,             A866, H:H, B866, L:L, L866)</f>
        <v/>
      </c>
      <c r="F866" t="inlineStr">
        <is>
          <t>PH0014</t>
        </is>
      </c>
      <c r="G866" t="inlineStr">
        <is>
          <t>Tolentino Jewel</t>
        </is>
      </c>
      <c r="H866" t="inlineStr">
        <is>
          <t>TCNz004PH:SMS NewDev</t>
        </is>
      </c>
      <c r="I866" s="1" t="n">
        <v>45945</v>
      </c>
      <c r="J866" t="n">
        <v>3.25</v>
      </c>
      <c r="K866" t="inlineStr">
        <is>
          <t>95803</t>
        </is>
      </c>
      <c r="L866">
        <f>IFERROR(LEFT(K866,             FIND(",", K866) - 1), "-")</f>
        <v/>
      </c>
      <c r="M866">
        <f>IFERROR(MID(K866,             FIND(",", K866) + 1, LEN(K866) - FIND(",", K866)), K866)</f>
        <v/>
      </c>
      <c r="P866" t="inlineStr">
        <is>
          <t>12:00</t>
        </is>
      </c>
      <c r="Q866" t="inlineStr">
        <is>
          <t>15:15</t>
        </is>
      </c>
    </row>
    <row r="867">
      <c r="A867" t="inlineStr">
        <is>
          <t>Tolentino Jewel</t>
        </is>
      </c>
      <c r="B867" t="inlineStr">
        <is>
          <t>TCNz004PH:SMS NewDev</t>
        </is>
      </c>
      <c r="D867">
        <f>L867</f>
        <v/>
      </c>
      <c r="E867">
        <f>SUMIFS(J:J, G:G,             A867, H:H, B867, L:L, L867)</f>
        <v/>
      </c>
      <c r="F867" t="inlineStr">
        <is>
          <t>PH0014</t>
        </is>
      </c>
      <c r="G867" t="inlineStr">
        <is>
          <t>Tolentino Jewel</t>
        </is>
      </c>
      <c r="H867" t="inlineStr">
        <is>
          <t>TCNz004PH:SMS NewDev</t>
        </is>
      </c>
      <c r="I867" s="1" t="n">
        <v>45946</v>
      </c>
      <c r="J867" t="n">
        <v>0.75</v>
      </c>
      <c r="K867" t="inlineStr">
        <is>
          <t>95803</t>
        </is>
      </c>
      <c r="L867">
        <f>IFERROR(LEFT(K867,             FIND(",", K867) - 1), "-")</f>
        <v/>
      </c>
      <c r="M867">
        <f>IFERROR(MID(K867,             FIND(",", K867) + 1, LEN(K867) - FIND(",", K867)), K867)</f>
        <v/>
      </c>
      <c r="P867" t="inlineStr">
        <is>
          <t>14:30</t>
        </is>
      </c>
      <c r="Q867" t="inlineStr">
        <is>
          <t>15:15</t>
        </is>
      </c>
    </row>
    <row r="868">
      <c r="A868" t="inlineStr">
        <is>
          <t>Tuyay Mon</t>
        </is>
      </c>
      <c r="B868" t="inlineStr">
        <is>
          <t xml:space="preserve">ANAs001PH:ANASupport　　　</t>
        </is>
      </c>
      <c r="C868">
        <f>SUMIFS(J:J, G:G,             A868, H:H, B868)</f>
        <v/>
      </c>
      <c r="D868">
        <f>L868</f>
        <v/>
      </c>
      <c r="E868">
        <f>SUMIFS(J:J, G:G,             A868, H:H, B868, L:L, L868)</f>
        <v/>
      </c>
      <c r="F868" t="inlineStr">
        <is>
          <t>PH0002</t>
        </is>
      </c>
      <c r="G868" t="inlineStr">
        <is>
          <t>Tuyay Mon</t>
        </is>
      </c>
      <c r="H868" t="inlineStr">
        <is>
          <t xml:space="preserve">ANAs001PH:ANASupport　　　</t>
        </is>
      </c>
      <c r="I868" s="1" t="n">
        <v>45933</v>
      </c>
      <c r="J868" t="n">
        <v>1.5</v>
      </c>
      <c r="L868">
        <f>IFERROR(LEFT(K868,             FIND(",", K868) - 1), "-")</f>
        <v/>
      </c>
      <c r="M868">
        <f>IFERROR(MID(K868,             FIND(",", K868) + 1, LEN(K868) - FIND(",", K868)), K868)</f>
        <v/>
      </c>
      <c r="N868" t="n">
        <v>4</v>
      </c>
      <c r="P868" t="inlineStr">
        <is>
          <t>16:30</t>
        </is>
      </c>
      <c r="Q868" t="inlineStr">
        <is>
          <t>18:00</t>
        </is>
      </c>
    </row>
    <row r="869">
      <c r="A869" t="inlineStr">
        <is>
          <t>Tuyay Mon</t>
        </is>
      </c>
      <c r="B869" t="inlineStr">
        <is>
          <t xml:space="preserve">ANAs001PH:ANASupport　　　</t>
        </is>
      </c>
      <c r="D869">
        <f>L869</f>
        <v/>
      </c>
      <c r="E869">
        <f>SUMIFS(J:J, G:G,             A869, H:H, B869, L:L, L869)</f>
        <v/>
      </c>
      <c r="F869" t="inlineStr">
        <is>
          <t>PH0002</t>
        </is>
      </c>
      <c r="G869" t="inlineStr">
        <is>
          <t>Tuyay Mon</t>
        </is>
      </c>
      <c r="H869" t="inlineStr">
        <is>
          <t xml:space="preserve">ANAs001PH:ANASupport　　　</t>
        </is>
      </c>
      <c r="I869" s="1" t="n">
        <v>45936</v>
      </c>
      <c r="J869" t="n">
        <v>4</v>
      </c>
      <c r="L869">
        <f>IFERROR(LEFT(K869,             FIND(",", K869) - 1), "-")</f>
        <v/>
      </c>
      <c r="M869">
        <f>IFERROR(MID(K869,             FIND(",", K869) + 1, LEN(K869) - FIND(",", K869)), K869)</f>
        <v/>
      </c>
      <c r="N869" t="n">
        <v>4</v>
      </c>
      <c r="P869" t="inlineStr">
        <is>
          <t>15:00</t>
        </is>
      </c>
      <c r="Q869" t="inlineStr">
        <is>
          <t>19:00</t>
        </is>
      </c>
    </row>
    <row r="870">
      <c r="A870" t="inlineStr">
        <is>
          <t>Tuyay Mon</t>
        </is>
      </c>
      <c r="B870" t="inlineStr">
        <is>
          <t xml:space="preserve">ANAs001PH:ANASupport　　　</t>
        </is>
      </c>
      <c r="D870">
        <f>L870</f>
        <v/>
      </c>
      <c r="E870">
        <f>SUMIFS(J:J, G:G,             A870, H:H, B870, L:L, L870)</f>
        <v/>
      </c>
      <c r="F870" t="inlineStr">
        <is>
          <t>PH0002</t>
        </is>
      </c>
      <c r="G870" t="inlineStr">
        <is>
          <t>Tuyay Mon</t>
        </is>
      </c>
      <c r="H870" t="inlineStr">
        <is>
          <t xml:space="preserve">ANAs001PH:ANASupport　　　</t>
        </is>
      </c>
      <c r="I870" s="1" t="n">
        <v>45938</v>
      </c>
      <c r="J870" t="n">
        <v>1.25</v>
      </c>
      <c r="L870">
        <f>IFERROR(LEFT(K870,             FIND(",", K870) - 1), "-")</f>
        <v/>
      </c>
      <c r="M870">
        <f>IFERROR(MID(K870,             FIND(",", K870) + 1, LEN(K870) - FIND(",", K870)), K870)</f>
        <v/>
      </c>
      <c r="N870" t="n">
        <v>4</v>
      </c>
      <c r="P870" t="inlineStr">
        <is>
          <t>15:00</t>
        </is>
      </c>
      <c r="Q870" t="inlineStr">
        <is>
          <t>16:15</t>
        </is>
      </c>
    </row>
    <row r="871">
      <c r="A871" t="inlineStr">
        <is>
          <t>Tuyay Mon</t>
        </is>
      </c>
      <c r="B871" t="inlineStr">
        <is>
          <t xml:space="preserve">ANAs001PH:ANASupport　　　</t>
        </is>
      </c>
      <c r="D871">
        <f>L871</f>
        <v/>
      </c>
      <c r="E871">
        <f>SUMIFS(J:J, G:G,             A871, H:H, B871, L:L, L871)</f>
        <v/>
      </c>
      <c r="F871" t="inlineStr">
        <is>
          <t>PH0002</t>
        </is>
      </c>
      <c r="G871" t="inlineStr">
        <is>
          <t>Tuyay Mon</t>
        </is>
      </c>
      <c r="H871" t="inlineStr">
        <is>
          <t xml:space="preserve">ANAs001PH:ANASupport　　　</t>
        </is>
      </c>
      <c r="I871" s="1" t="n">
        <v>45939</v>
      </c>
      <c r="J871" t="n">
        <v>2.5</v>
      </c>
      <c r="L871">
        <f>IFERROR(LEFT(K871,             FIND(",", K871) - 1), "-")</f>
        <v/>
      </c>
      <c r="M871">
        <f>IFERROR(MID(K871,             FIND(",", K871) + 1, LEN(K871) - FIND(",", K871)), K871)</f>
        <v/>
      </c>
      <c r="N871" t="n">
        <v>4</v>
      </c>
      <c r="P871" t="inlineStr">
        <is>
          <t>16:00</t>
        </is>
      </c>
      <c r="Q871" t="inlineStr">
        <is>
          <t>18:30</t>
        </is>
      </c>
    </row>
    <row r="872">
      <c r="A872" t="inlineStr">
        <is>
          <t>Tuyay Mon</t>
        </is>
      </c>
      <c r="B872" t="inlineStr">
        <is>
          <t xml:space="preserve">ANAs001PH:ANASupport　　　</t>
        </is>
      </c>
      <c r="D872">
        <f>L872</f>
        <v/>
      </c>
      <c r="E872">
        <f>SUMIFS(J:J, G:G,             A872, H:H, B872, L:L, L872)</f>
        <v/>
      </c>
      <c r="F872" t="inlineStr">
        <is>
          <t>PH0002</t>
        </is>
      </c>
      <c r="G872" t="inlineStr">
        <is>
          <t>Tuyay Mon</t>
        </is>
      </c>
      <c r="H872" t="inlineStr">
        <is>
          <t xml:space="preserve">ANAs001PH:ANASupport　　　</t>
        </is>
      </c>
      <c r="I872" s="1" t="n">
        <v>45940</v>
      </c>
      <c r="J872" t="n">
        <v>2</v>
      </c>
      <c r="L872">
        <f>IFERROR(LEFT(K872,             FIND(",", K872) - 1), "-")</f>
        <v/>
      </c>
      <c r="M872">
        <f>IFERROR(MID(K872,             FIND(",", K872) + 1, LEN(K872) - FIND(",", K872)), K872)</f>
        <v/>
      </c>
      <c r="N872" t="n">
        <v>4</v>
      </c>
      <c r="P872" t="inlineStr">
        <is>
          <t>12:00</t>
        </is>
      </c>
      <c r="Q872" t="inlineStr">
        <is>
          <t>14:00</t>
        </is>
      </c>
    </row>
    <row r="873">
      <c r="A873" t="inlineStr">
        <is>
          <t>Tuyay Mon</t>
        </is>
      </c>
      <c r="B873" t="inlineStr">
        <is>
          <t xml:space="preserve">ANAs001PH:ANASupport　　　</t>
        </is>
      </c>
      <c r="D873">
        <f>L873</f>
        <v/>
      </c>
      <c r="E873">
        <f>SUMIFS(J:J, G:G,             A873, H:H, B873, L:L, L873)</f>
        <v/>
      </c>
      <c r="F873" t="inlineStr">
        <is>
          <t>PH0002</t>
        </is>
      </c>
      <c r="G873" t="inlineStr">
        <is>
          <t>Tuyay Mon</t>
        </is>
      </c>
      <c r="H873" t="inlineStr">
        <is>
          <t xml:space="preserve">ANAs001PH:ANASupport　　　</t>
        </is>
      </c>
      <c r="I873" s="1" t="n">
        <v>45943</v>
      </c>
      <c r="J873" t="n">
        <v>1</v>
      </c>
      <c r="L873">
        <f>IFERROR(LEFT(K873,             FIND(",", K873) - 1), "-")</f>
        <v/>
      </c>
      <c r="M873">
        <f>IFERROR(MID(K873,             FIND(",", K873) + 1, LEN(K873) - FIND(",", K873)), K873)</f>
        <v/>
      </c>
      <c r="N873" t="n">
        <v>4</v>
      </c>
      <c r="P873" t="inlineStr">
        <is>
          <t>13:00</t>
        </is>
      </c>
      <c r="Q873" t="inlineStr">
        <is>
          <t>14:00</t>
        </is>
      </c>
    </row>
    <row r="874">
      <c r="A874" t="inlineStr">
        <is>
          <t>Tuyay Mon</t>
        </is>
      </c>
      <c r="B874" t="inlineStr">
        <is>
          <t xml:space="preserve">ANAs001PH:ANASupport　　　</t>
        </is>
      </c>
      <c r="D874">
        <f>L874</f>
        <v/>
      </c>
      <c r="E874">
        <f>SUMIFS(J:J, G:G,             A874, H:H, B874, L:L, L874)</f>
        <v/>
      </c>
      <c r="F874" t="inlineStr">
        <is>
          <t>PH0002</t>
        </is>
      </c>
      <c r="G874" t="inlineStr">
        <is>
          <t>Tuyay Mon</t>
        </is>
      </c>
      <c r="H874" t="inlineStr">
        <is>
          <t xml:space="preserve">ANAs001PH:ANASupport　　　</t>
        </is>
      </c>
      <c r="I874" s="1" t="n">
        <v>45945</v>
      </c>
      <c r="J874" t="n">
        <v>0.75</v>
      </c>
      <c r="L874">
        <f>IFERROR(LEFT(K874,             FIND(",", K874) - 1), "-")</f>
        <v/>
      </c>
      <c r="M874">
        <f>IFERROR(MID(K874,             FIND(",", K874) + 1, LEN(K874) - FIND(",", K874)), K874)</f>
        <v/>
      </c>
      <c r="N874" t="n">
        <v>4</v>
      </c>
      <c r="P874" t="inlineStr">
        <is>
          <t>09:30</t>
        </is>
      </c>
      <c r="Q874" t="inlineStr">
        <is>
          <t>10:15</t>
        </is>
      </c>
    </row>
    <row r="875">
      <c r="A875" t="inlineStr">
        <is>
          <t>Tuyay Mon</t>
        </is>
      </c>
      <c r="B875" t="inlineStr">
        <is>
          <t xml:space="preserve">ANAs001PH:ANASupport　　　</t>
        </is>
      </c>
      <c r="D875">
        <f>L875</f>
        <v/>
      </c>
      <c r="E875">
        <f>SUMIFS(J:J, G:G,             A875, H:H, B875, L:L, L875)</f>
        <v/>
      </c>
      <c r="F875" t="inlineStr">
        <is>
          <t>PH0002</t>
        </is>
      </c>
      <c r="G875" t="inlineStr">
        <is>
          <t>Tuyay Mon</t>
        </is>
      </c>
      <c r="H875" t="inlineStr">
        <is>
          <t xml:space="preserve">ANAs001PH:ANASupport　　　</t>
        </is>
      </c>
      <c r="I875" s="1" t="n">
        <v>45945</v>
      </c>
      <c r="J875" t="n">
        <v>0.75</v>
      </c>
      <c r="L875">
        <f>IFERROR(LEFT(K875,             FIND(",", K875) - 1), "-")</f>
        <v/>
      </c>
      <c r="M875">
        <f>IFERROR(MID(K875,             FIND(",", K875) + 1, LEN(K875) - FIND(",", K875)), K875)</f>
        <v/>
      </c>
      <c r="N875" t="n">
        <v>4</v>
      </c>
      <c r="P875" t="inlineStr">
        <is>
          <t>15:15</t>
        </is>
      </c>
      <c r="Q875" t="inlineStr">
        <is>
          <t>16:00</t>
        </is>
      </c>
    </row>
    <row r="876">
      <c r="A876" t="inlineStr">
        <is>
          <t>Tuyay Mon</t>
        </is>
      </c>
      <c r="B876" t="inlineStr">
        <is>
          <t>ITJs001PH:ITOJUKU Support</t>
        </is>
      </c>
      <c r="C876">
        <f>SUMIFS(J:J, G:G,             A876, H:H, B876)</f>
        <v/>
      </c>
      <c r="D876">
        <f>L876</f>
        <v/>
      </c>
      <c r="E876">
        <f>SUMIFS(J:J, G:G,             A876, H:H, B876, L:L, L876)</f>
        <v/>
      </c>
      <c r="F876" t="inlineStr">
        <is>
          <t>PH0002</t>
        </is>
      </c>
      <c r="G876" t="inlineStr">
        <is>
          <t>Tuyay Mon</t>
        </is>
      </c>
      <c r="H876" t="inlineStr">
        <is>
          <t>ITJs001PH:ITOJUKU Support</t>
        </is>
      </c>
      <c r="I876" s="1" t="n">
        <v>45931</v>
      </c>
      <c r="J876" t="n">
        <v>2.25</v>
      </c>
      <c r="L876">
        <f>IFERROR(LEFT(K876,             FIND(",", K876) - 1), "-")</f>
        <v/>
      </c>
      <c r="M876">
        <f>IFERROR(MID(K876,             FIND(",", K876) + 1, LEN(K876) - FIND(",", K876)), K876)</f>
        <v/>
      </c>
      <c r="N876" t="n">
        <v>4</v>
      </c>
      <c r="P876" t="inlineStr">
        <is>
          <t>13:00</t>
        </is>
      </c>
      <c r="Q876" t="inlineStr">
        <is>
          <t>15:15</t>
        </is>
      </c>
    </row>
    <row r="877">
      <c r="A877" t="inlineStr">
        <is>
          <t>Tuyay Mon</t>
        </is>
      </c>
      <c r="B877" t="inlineStr">
        <is>
          <t>ITJs001PH:ITOJUKU Support</t>
        </is>
      </c>
      <c r="D877">
        <f>L877</f>
        <v/>
      </c>
      <c r="E877">
        <f>SUMIFS(J:J, G:G,             A877, H:H, B877, L:L, L877)</f>
        <v/>
      </c>
      <c r="F877" t="inlineStr">
        <is>
          <t>PH0002</t>
        </is>
      </c>
      <c r="G877" t="inlineStr">
        <is>
          <t>Tuyay Mon</t>
        </is>
      </c>
      <c r="H877" t="inlineStr">
        <is>
          <t>ITJs001PH:ITOJUKU Support</t>
        </is>
      </c>
      <c r="I877" s="1" t="n">
        <v>45946</v>
      </c>
      <c r="J877" t="n">
        <v>1.25</v>
      </c>
      <c r="L877">
        <f>IFERROR(LEFT(K877,             FIND(",", K877) - 1), "-")</f>
        <v/>
      </c>
      <c r="M877">
        <f>IFERROR(MID(K877,             FIND(",", K877) + 1, LEN(K877) - FIND(",", K877)), K877)</f>
        <v/>
      </c>
      <c r="N877" t="n">
        <v>4</v>
      </c>
      <c r="P877" t="inlineStr">
        <is>
          <t>12:00</t>
        </is>
      </c>
      <c r="Q877" t="inlineStr">
        <is>
          <t>13:15</t>
        </is>
      </c>
    </row>
    <row r="878">
      <c r="A878" t="inlineStr">
        <is>
          <t>Tuyay Mon</t>
        </is>
      </c>
      <c r="B878" t="inlineStr">
        <is>
          <t>ITJs001PH:ITOJUKU Support</t>
        </is>
      </c>
      <c r="D878">
        <f>L878</f>
        <v/>
      </c>
      <c r="E878">
        <f>SUMIFS(J:J, G:G,             A878, H:H, B878, L:L, L878)</f>
        <v/>
      </c>
      <c r="F878" t="inlineStr">
        <is>
          <t>PH0002</t>
        </is>
      </c>
      <c r="G878" t="inlineStr">
        <is>
          <t>Tuyay Mon</t>
        </is>
      </c>
      <c r="H878" t="inlineStr">
        <is>
          <t>ITJs001PH:ITOJUKU Support</t>
        </is>
      </c>
      <c r="I878" s="1" t="n">
        <v>45946</v>
      </c>
      <c r="J878" t="n">
        <v>3</v>
      </c>
      <c r="L878">
        <f>IFERROR(LEFT(K878,             FIND(",", K878) - 1), "-")</f>
        <v/>
      </c>
      <c r="M878">
        <f>IFERROR(MID(K878,             FIND(",", K878) + 1, LEN(K878) - FIND(",", K878)), K878)</f>
        <v/>
      </c>
      <c r="N878" t="n">
        <v>4</v>
      </c>
      <c r="P878" t="inlineStr">
        <is>
          <t>16:45</t>
        </is>
      </c>
      <c r="Q878" t="inlineStr">
        <is>
          <t>19:45</t>
        </is>
      </c>
    </row>
    <row r="879">
      <c r="A879" t="inlineStr">
        <is>
          <t>Tuyay Mon</t>
        </is>
      </c>
      <c r="B879" t="inlineStr">
        <is>
          <t>ITJs001PH:ITOJUKU Support</t>
        </is>
      </c>
      <c r="D879">
        <f>L879</f>
        <v/>
      </c>
      <c r="E879">
        <f>SUMIFS(J:J, G:G,             A879, H:H, B879, L:L, L879)</f>
        <v/>
      </c>
      <c r="F879" t="inlineStr">
        <is>
          <t>PH0002</t>
        </is>
      </c>
      <c r="G879" t="inlineStr">
        <is>
          <t>Tuyay Mon</t>
        </is>
      </c>
      <c r="H879" t="inlineStr">
        <is>
          <t>ITJs001PH:ITOJUKU Support</t>
        </is>
      </c>
      <c r="I879" s="1" t="n">
        <v>45947</v>
      </c>
      <c r="J879" t="n">
        <v>1</v>
      </c>
      <c r="L879">
        <f>IFERROR(LEFT(K879,             FIND(",", K879) - 1), "-")</f>
        <v/>
      </c>
      <c r="M879">
        <f>IFERROR(MID(K879,             FIND(",", K879) + 1, LEN(K879) - FIND(",", K879)), K879)</f>
        <v/>
      </c>
      <c r="N879" t="n">
        <v>4</v>
      </c>
      <c r="P879" t="inlineStr">
        <is>
          <t>09:30</t>
        </is>
      </c>
      <c r="Q879" t="inlineStr">
        <is>
          <t>10:30</t>
        </is>
      </c>
    </row>
    <row r="880">
      <c r="A880" t="inlineStr">
        <is>
          <t>Tuyay Mon</t>
        </is>
      </c>
      <c r="B880" t="inlineStr">
        <is>
          <t>ITJs001PH:ITOJUKU Support</t>
        </is>
      </c>
      <c r="D880">
        <f>L880</f>
        <v/>
      </c>
      <c r="E880">
        <f>SUMIFS(J:J, G:G,             A880, H:H, B880, L:L, L880)</f>
        <v/>
      </c>
      <c r="F880" t="inlineStr">
        <is>
          <t>PH0002</t>
        </is>
      </c>
      <c r="G880" t="inlineStr">
        <is>
          <t>Tuyay Mon</t>
        </is>
      </c>
      <c r="H880" t="inlineStr">
        <is>
          <t>ITJs001PH:ITOJUKU Support</t>
        </is>
      </c>
      <c r="I880" s="1" t="n">
        <v>45947</v>
      </c>
      <c r="J880" t="n">
        <v>1.5</v>
      </c>
      <c r="L880">
        <f>IFERROR(LEFT(K880,             FIND(",", K880) - 1), "-")</f>
        <v/>
      </c>
      <c r="M880">
        <f>IFERROR(MID(K880,             FIND(",", K880) + 1, LEN(K880) - FIND(",", K880)), K880)</f>
        <v/>
      </c>
      <c r="N880" t="n">
        <v>4</v>
      </c>
      <c r="P880" t="inlineStr">
        <is>
          <t>16:15</t>
        </is>
      </c>
      <c r="Q880" t="inlineStr">
        <is>
          <t>17:45</t>
        </is>
      </c>
    </row>
    <row r="881">
      <c r="A881" t="inlineStr">
        <is>
          <t>Tuyay Mon</t>
        </is>
      </c>
      <c r="B881" t="inlineStr">
        <is>
          <t>ITJs001PH:ITOJUKU Support</t>
        </is>
      </c>
      <c r="D881">
        <f>L881</f>
        <v/>
      </c>
      <c r="E881">
        <f>SUMIFS(J:J, G:G,             A881, H:H, B881, L:L, L881)</f>
        <v/>
      </c>
      <c r="F881" t="inlineStr">
        <is>
          <t>PH0002</t>
        </is>
      </c>
      <c r="G881" t="inlineStr">
        <is>
          <t>Tuyay Mon</t>
        </is>
      </c>
      <c r="H881" t="inlineStr">
        <is>
          <t>ITJs001PH:ITOJUKU Support</t>
        </is>
      </c>
      <c r="I881" s="1" t="n">
        <v>45950</v>
      </c>
      <c r="J881" t="n">
        <v>1</v>
      </c>
      <c r="L881">
        <f>IFERROR(LEFT(K881,             FIND(",", K881) - 1), "-")</f>
        <v/>
      </c>
      <c r="M881">
        <f>IFERROR(MID(K881,             FIND(",", K881) + 1, LEN(K881) - FIND(",", K881)), K881)</f>
        <v/>
      </c>
      <c r="N881" t="n">
        <v>4</v>
      </c>
      <c r="P881" t="inlineStr">
        <is>
          <t>14:00</t>
        </is>
      </c>
      <c r="Q881" t="inlineStr">
        <is>
          <t>15:00</t>
        </is>
      </c>
    </row>
    <row r="882">
      <c r="A882" t="inlineStr">
        <is>
          <t>Tuyay Mon</t>
        </is>
      </c>
      <c r="B882" t="inlineStr">
        <is>
          <t>ITJs001PH:ITOJUKU Support</t>
        </is>
      </c>
      <c r="D882">
        <f>L882</f>
        <v/>
      </c>
      <c r="E882">
        <f>SUMIFS(J:J, G:G,             A882, H:H, B882, L:L, L882)</f>
        <v/>
      </c>
      <c r="F882" t="inlineStr">
        <is>
          <t>PH0002</t>
        </is>
      </c>
      <c r="G882" t="inlineStr">
        <is>
          <t>Tuyay Mon</t>
        </is>
      </c>
      <c r="H882" t="inlineStr">
        <is>
          <t>ITJs001PH:ITOJUKU Support</t>
        </is>
      </c>
      <c r="I882" s="1" t="n">
        <v>45951</v>
      </c>
      <c r="J882" t="n">
        <v>1.5</v>
      </c>
      <c r="L882">
        <f>IFERROR(LEFT(K882,             FIND(",", K882) - 1), "-")</f>
        <v/>
      </c>
      <c r="M882">
        <f>IFERROR(MID(K882,             FIND(",", K882) + 1, LEN(K882) - FIND(",", K882)), K882)</f>
        <v/>
      </c>
      <c r="N882" t="n">
        <v>4</v>
      </c>
      <c r="P882" t="inlineStr">
        <is>
          <t>13:00</t>
        </is>
      </c>
      <c r="Q882" t="inlineStr">
        <is>
          <t>14:30</t>
        </is>
      </c>
    </row>
    <row r="883">
      <c r="A883" t="inlineStr">
        <is>
          <t>Tuyay Mon</t>
        </is>
      </c>
      <c r="B883" t="inlineStr">
        <is>
          <t>ITJs001PH:ITOJUKU Support</t>
        </is>
      </c>
      <c r="D883">
        <f>L883</f>
        <v/>
      </c>
      <c r="E883">
        <f>SUMIFS(J:J, G:G,             A883, H:H, B883, L:L, L883)</f>
        <v/>
      </c>
      <c r="F883" t="inlineStr">
        <is>
          <t>PH0002</t>
        </is>
      </c>
      <c r="G883" t="inlineStr">
        <is>
          <t>Tuyay Mon</t>
        </is>
      </c>
      <c r="H883" t="inlineStr">
        <is>
          <t>ITJs001PH:ITOJUKU Support</t>
        </is>
      </c>
      <c r="I883" s="1" t="n">
        <v>45952</v>
      </c>
      <c r="J883" t="n">
        <v>2</v>
      </c>
      <c r="L883">
        <f>IFERROR(LEFT(K883,             FIND(",", K883) - 1), "-")</f>
        <v/>
      </c>
      <c r="M883">
        <f>IFERROR(MID(K883,             FIND(",", K883) + 1, LEN(K883) - FIND(",", K883)), K883)</f>
        <v/>
      </c>
      <c r="N883" t="n">
        <v>4</v>
      </c>
      <c r="P883" t="inlineStr">
        <is>
          <t>12:00</t>
        </is>
      </c>
      <c r="Q883" t="inlineStr">
        <is>
          <t>14:00</t>
        </is>
      </c>
    </row>
    <row r="884">
      <c r="A884" t="inlineStr">
        <is>
          <t>Tuyay Mon</t>
        </is>
      </c>
      <c r="B884" t="inlineStr">
        <is>
          <t>JECS001PH:Kyoikuc support</t>
        </is>
      </c>
      <c r="C884">
        <f>SUMIFS(J:J, G:G,             A884, H:H, B884)</f>
        <v/>
      </c>
      <c r="D884">
        <f>L884</f>
        <v/>
      </c>
      <c r="E884">
        <f>SUMIFS(J:J, G:G,             A884, H:H, B884, L:L, L884)</f>
        <v/>
      </c>
      <c r="F884" t="inlineStr">
        <is>
          <t>PH0002</t>
        </is>
      </c>
      <c r="G884" t="inlineStr">
        <is>
          <t>Tuyay Mon</t>
        </is>
      </c>
      <c r="H884" t="inlineStr">
        <is>
          <t>JECS001PH:Kyoikuc support</t>
        </is>
      </c>
      <c r="I884" s="1" t="n">
        <v>45939</v>
      </c>
      <c r="J884" t="n">
        <v>0.75</v>
      </c>
      <c r="L884">
        <f>IFERROR(LEFT(K884,             FIND(",", K884) - 1), "-")</f>
        <v/>
      </c>
      <c r="M884">
        <f>IFERROR(MID(K884,             FIND(",", K884) + 1, LEN(K884) - FIND(",", K884)), K884)</f>
        <v/>
      </c>
      <c r="N884" t="n">
        <v>4</v>
      </c>
      <c r="P884" t="inlineStr">
        <is>
          <t>09:30</t>
        </is>
      </c>
      <c r="Q884" t="inlineStr">
        <is>
          <t>10:15</t>
        </is>
      </c>
    </row>
    <row r="885">
      <c r="A885" t="inlineStr">
        <is>
          <t>Tuyay Mon</t>
        </is>
      </c>
      <c r="B885" t="inlineStr">
        <is>
          <t>SMMn001PH:SHIMAMURA NewDev</t>
        </is>
      </c>
      <c r="C885">
        <f>SUMIFS(J:J, G:G,             A885, H:H, B885)</f>
        <v/>
      </c>
      <c r="D885">
        <f>L885</f>
        <v/>
      </c>
      <c r="E885">
        <f>SUMIFS(J:J, G:G,             A885, H:H, B885, L:L, L885)</f>
        <v/>
      </c>
      <c r="F885" t="inlineStr">
        <is>
          <t>PH0002</t>
        </is>
      </c>
      <c r="G885" t="inlineStr">
        <is>
          <t>Tuyay Mon</t>
        </is>
      </c>
      <c r="H885" t="inlineStr">
        <is>
          <t>SMMn001PH:SHIMAMURA NewDev</t>
        </is>
      </c>
      <c r="I885" s="1" t="n">
        <v>45952</v>
      </c>
      <c r="J885" t="n">
        <v>1</v>
      </c>
      <c r="L885">
        <f>IFERROR(LEFT(K885,             FIND(",", K885) - 1), "-")</f>
        <v/>
      </c>
      <c r="M885">
        <f>IFERROR(MID(K885,             FIND(",", K885) + 1, LEN(K885) - FIND(",", K885)), K885)</f>
        <v/>
      </c>
      <c r="N885" t="n">
        <v>4</v>
      </c>
      <c r="P885" t="inlineStr">
        <is>
          <t>10:00</t>
        </is>
      </c>
      <c r="Q885" t="inlineStr">
        <is>
          <t>11:00</t>
        </is>
      </c>
    </row>
    <row r="886">
      <c r="A886" t="inlineStr">
        <is>
          <t>Tuyay Mon</t>
        </is>
      </c>
      <c r="B886" t="inlineStr">
        <is>
          <t>SMMs001PH:SMM Support</t>
        </is>
      </c>
      <c r="C886">
        <f>SUMIFS(J:J, G:G,             A886, H:H, B886)</f>
        <v/>
      </c>
      <c r="D886">
        <f>L886</f>
        <v/>
      </c>
      <c r="E886">
        <f>SUMIFS(J:J, G:G,             A886, H:H, B886, L:L, L886)</f>
        <v/>
      </c>
      <c r="F886" t="inlineStr">
        <is>
          <t>PH0002</t>
        </is>
      </c>
      <c r="G886" t="inlineStr">
        <is>
          <t>Tuyay Mon</t>
        </is>
      </c>
      <c r="H886" t="inlineStr">
        <is>
          <t>SMMs001PH:SMM Support</t>
        </is>
      </c>
      <c r="I886" s="1" t="n">
        <v>45939</v>
      </c>
      <c r="J886" t="n">
        <v>0.75</v>
      </c>
      <c r="L886">
        <f>IFERROR(LEFT(K886,             FIND(",", K886) - 1), "-")</f>
        <v/>
      </c>
      <c r="M886">
        <f>IFERROR(MID(K886,             FIND(",", K886) + 1, LEN(K886) - FIND(",", K886)), K886)</f>
        <v/>
      </c>
      <c r="N886" t="n">
        <v>4</v>
      </c>
      <c r="P886" t="inlineStr">
        <is>
          <t>12:00</t>
        </is>
      </c>
      <c r="Q886" t="inlineStr">
        <is>
          <t>12:45</t>
        </is>
      </c>
    </row>
    <row r="887">
      <c r="A887" t="inlineStr">
        <is>
          <t>Tuyay Mon</t>
        </is>
      </c>
      <c r="B887" t="inlineStr">
        <is>
          <t>TCNz001PH:Internal operations</t>
        </is>
      </c>
      <c r="C887">
        <f>SUMIFS(J:J, G:G,             A887, H:H, B887)</f>
        <v/>
      </c>
      <c r="D887">
        <f>L887</f>
        <v/>
      </c>
      <c r="E887">
        <f>SUMIFS(J:J, G:G,             A887, H:H, B887, L:L, L887)</f>
        <v/>
      </c>
      <c r="F887" t="inlineStr">
        <is>
          <t>PH0002</t>
        </is>
      </c>
      <c r="G887" t="inlineStr">
        <is>
          <t>Tuyay Mon</t>
        </is>
      </c>
      <c r="H887" t="inlineStr">
        <is>
          <t>TCNz001PH:Internal operations</t>
        </is>
      </c>
      <c r="I887" s="1" t="n">
        <v>45937</v>
      </c>
      <c r="J887" t="n">
        <v>1</v>
      </c>
      <c r="K887" t="inlineStr">
        <is>
          <t>Meeting</t>
        </is>
      </c>
      <c r="L887">
        <f>IFERROR(LEFT(K887,             FIND(",", K887) - 1), "-")</f>
        <v/>
      </c>
      <c r="M887">
        <f>IFERROR(MID(K887,             FIND(",", K887) + 1, LEN(K887) - FIND(",", K887)), K887)</f>
        <v/>
      </c>
      <c r="N887" t="n">
        <v>5</v>
      </c>
      <c r="P887" t="inlineStr">
        <is>
          <t>13:00</t>
        </is>
      </c>
      <c r="Q887" t="inlineStr">
        <is>
          <t>14:00</t>
        </is>
      </c>
    </row>
    <row r="888">
      <c r="A888" t="inlineStr">
        <is>
          <t>Tuyay Mon</t>
        </is>
      </c>
      <c r="B888" t="inlineStr">
        <is>
          <t>TCNz001PH:Internal operations</t>
        </is>
      </c>
      <c r="D888">
        <f>L888</f>
        <v/>
      </c>
      <c r="E888">
        <f>SUMIFS(J:J, G:G,             A888, H:H, B888, L:L, L888)</f>
        <v/>
      </c>
      <c r="F888" t="inlineStr">
        <is>
          <t>PH0002</t>
        </is>
      </c>
      <c r="G888" t="inlineStr">
        <is>
          <t>Tuyay Mon</t>
        </is>
      </c>
      <c r="H888" t="inlineStr">
        <is>
          <t>TCNz001PH:Internal operations</t>
        </is>
      </c>
      <c r="I888" s="1" t="n">
        <v>45938</v>
      </c>
      <c r="J888" t="n">
        <v>1</v>
      </c>
      <c r="K888" t="inlineStr">
        <is>
          <t>Meeting</t>
        </is>
      </c>
      <c r="L888">
        <f>IFERROR(LEFT(K888,             FIND(",", K888) - 1), "-")</f>
        <v/>
      </c>
      <c r="M888">
        <f>IFERROR(MID(K888,             FIND(",", K888) + 1, LEN(K888) - FIND(",", K888)), K888)</f>
        <v/>
      </c>
      <c r="N888" t="n">
        <v>5</v>
      </c>
      <c r="P888" t="inlineStr">
        <is>
          <t>10:00</t>
        </is>
      </c>
      <c r="Q888" t="inlineStr">
        <is>
          <t>11:00</t>
        </is>
      </c>
    </row>
    <row r="889">
      <c r="A889" t="inlineStr">
        <is>
          <t>Tuyay Mon</t>
        </is>
      </c>
      <c r="B889" t="inlineStr">
        <is>
          <t>TCNz001PH:Internal operations</t>
        </is>
      </c>
      <c r="D889">
        <f>L889</f>
        <v/>
      </c>
      <c r="E889">
        <f>SUMIFS(J:J, G:G,             A889, H:H, B889, L:L, L889)</f>
        <v/>
      </c>
      <c r="F889" t="inlineStr">
        <is>
          <t>PH0002</t>
        </is>
      </c>
      <c r="G889" t="inlineStr">
        <is>
          <t>Tuyay Mon</t>
        </is>
      </c>
      <c r="H889" t="inlineStr">
        <is>
          <t>TCNz001PH:Internal operations</t>
        </is>
      </c>
      <c r="I889" s="1" t="n">
        <v>45937</v>
      </c>
      <c r="J889" t="n">
        <v>1.5</v>
      </c>
      <c r="K889" t="inlineStr">
        <is>
          <t>Meetings</t>
        </is>
      </c>
      <c r="L889">
        <f>IFERROR(LEFT(K889,             FIND(",", K889) - 1), "-")</f>
        <v/>
      </c>
      <c r="M889">
        <f>IFERROR(MID(K889,             FIND(",", K889) + 1, LEN(K889) - FIND(",", K889)), K889)</f>
        <v/>
      </c>
      <c r="N889" t="n">
        <v>5</v>
      </c>
      <c r="P889" t="inlineStr">
        <is>
          <t>16:00</t>
        </is>
      </c>
      <c r="Q889" t="inlineStr">
        <is>
          <t>17:30</t>
        </is>
      </c>
    </row>
    <row r="890">
      <c r="A890" t="inlineStr">
        <is>
          <t>Tuyay Mon</t>
        </is>
      </c>
      <c r="B890" t="inlineStr">
        <is>
          <t>TCNz001PH:Internal operations</t>
        </is>
      </c>
      <c r="D890">
        <f>L890</f>
        <v/>
      </c>
      <c r="E890">
        <f>SUMIFS(J:J, G:G,             A890, H:H, B890, L:L, L890)</f>
        <v/>
      </c>
      <c r="F890" t="inlineStr">
        <is>
          <t>PH0002</t>
        </is>
      </c>
      <c r="G890" t="inlineStr">
        <is>
          <t>Tuyay Mon</t>
        </is>
      </c>
      <c r="H890" t="inlineStr">
        <is>
          <t>TCNz001PH:Internal operations</t>
        </is>
      </c>
      <c r="I890" s="1" t="n">
        <v>45933</v>
      </c>
      <c r="J890" t="n">
        <v>1</v>
      </c>
      <c r="K890" t="inlineStr">
        <is>
          <t>Monitoring and management of task</t>
        </is>
      </c>
      <c r="L890">
        <f>IFERROR(LEFT(K890,             FIND(",", K890) - 1), "-")</f>
        <v/>
      </c>
      <c r="M890">
        <f>IFERROR(MID(K890,             FIND(",", K890) + 1, LEN(K890) - FIND(",", K890)), K890)</f>
        <v/>
      </c>
      <c r="N890" t="n">
        <v>5</v>
      </c>
      <c r="P890" t="inlineStr">
        <is>
          <t>08:00</t>
        </is>
      </c>
      <c r="Q890" t="inlineStr">
        <is>
          <t>09:00</t>
        </is>
      </c>
    </row>
    <row r="891">
      <c r="A891" t="inlineStr">
        <is>
          <t>Tuyay Mon</t>
        </is>
      </c>
      <c r="B891" t="inlineStr">
        <is>
          <t>TCNz001PH:Internal operations</t>
        </is>
      </c>
      <c r="D891">
        <f>L891</f>
        <v/>
      </c>
      <c r="E891">
        <f>SUMIFS(J:J, G:G,             A891, H:H, B891, L:L, L891)</f>
        <v/>
      </c>
      <c r="F891" t="inlineStr">
        <is>
          <t>PH0002</t>
        </is>
      </c>
      <c r="G891" t="inlineStr">
        <is>
          <t>Tuyay Mon</t>
        </is>
      </c>
      <c r="H891" t="inlineStr">
        <is>
          <t>TCNz001PH:Internal operations</t>
        </is>
      </c>
      <c r="I891" s="1" t="n">
        <v>45940</v>
      </c>
      <c r="J891" t="n">
        <v>0.5</v>
      </c>
      <c r="K891" t="inlineStr">
        <is>
          <t>Monitoring and management of task</t>
        </is>
      </c>
      <c r="L891">
        <f>IFERROR(LEFT(K891,             FIND(",", K891) - 1), "-")</f>
        <v/>
      </c>
      <c r="M891">
        <f>IFERROR(MID(K891,             FIND(",", K891) + 1, LEN(K891) - FIND(",", K891)), K891)</f>
        <v/>
      </c>
      <c r="N891" t="n">
        <v>5</v>
      </c>
      <c r="P891" t="inlineStr">
        <is>
          <t>08:00</t>
        </is>
      </c>
      <c r="Q891" t="inlineStr">
        <is>
          <t>08:30</t>
        </is>
      </c>
    </row>
    <row r="892">
      <c r="A892" t="inlineStr">
        <is>
          <t>Tuyay Mon</t>
        </is>
      </c>
      <c r="B892" t="inlineStr">
        <is>
          <t>TCNz001PH:Internal operations</t>
        </is>
      </c>
      <c r="D892">
        <f>L892</f>
        <v/>
      </c>
      <c r="E892">
        <f>SUMIFS(J:J, G:G,             A892, H:H, B892, L:L, L892)</f>
        <v/>
      </c>
      <c r="F892" t="inlineStr">
        <is>
          <t>PH0002</t>
        </is>
      </c>
      <c r="G892" t="inlineStr">
        <is>
          <t>Tuyay Mon</t>
        </is>
      </c>
      <c r="H892" t="inlineStr">
        <is>
          <t>TCNz001PH:Internal operations</t>
        </is>
      </c>
      <c r="I892" s="1" t="n">
        <v>45945</v>
      </c>
      <c r="J892" t="n">
        <v>0.5</v>
      </c>
      <c r="K892" t="inlineStr">
        <is>
          <t>Monitoring and management of task</t>
        </is>
      </c>
      <c r="L892">
        <f>IFERROR(LEFT(K892,             FIND(",", K892) - 1), "-")</f>
        <v/>
      </c>
      <c r="M892">
        <f>IFERROR(MID(K892,             FIND(",", K892) + 1, LEN(K892) - FIND(",", K892)), K892)</f>
        <v/>
      </c>
      <c r="N892" t="n">
        <v>5</v>
      </c>
      <c r="P892" t="inlineStr">
        <is>
          <t>08:00</t>
        </is>
      </c>
      <c r="Q892" t="inlineStr">
        <is>
          <t>08:30</t>
        </is>
      </c>
    </row>
    <row r="893">
      <c r="A893" t="inlineStr">
        <is>
          <t>Tuyay Mon</t>
        </is>
      </c>
      <c r="B893" t="inlineStr">
        <is>
          <t>TCNz001PH:Internal operations</t>
        </is>
      </c>
      <c r="D893">
        <f>L893</f>
        <v/>
      </c>
      <c r="E893">
        <f>SUMIFS(J:J, G:G,             A893, H:H, B893, L:L, L893)</f>
        <v/>
      </c>
      <c r="F893" t="inlineStr">
        <is>
          <t>PH0002</t>
        </is>
      </c>
      <c r="G893" t="inlineStr">
        <is>
          <t>Tuyay Mon</t>
        </is>
      </c>
      <c r="H893" t="inlineStr">
        <is>
          <t>TCNz001PH:Internal operations</t>
        </is>
      </c>
      <c r="I893" s="1" t="n">
        <v>45947</v>
      </c>
      <c r="J893" t="n">
        <v>0.5</v>
      </c>
      <c r="K893" t="inlineStr">
        <is>
          <t>Monitoring and management of task</t>
        </is>
      </c>
      <c r="L893">
        <f>IFERROR(LEFT(K893,             FIND(",", K893) - 1), "-")</f>
        <v/>
      </c>
      <c r="M893">
        <f>IFERROR(MID(K893,             FIND(",", K893) + 1, LEN(K893) - FIND(",", K893)), K893)</f>
        <v/>
      </c>
      <c r="N893" t="n">
        <v>5</v>
      </c>
      <c r="P893" t="inlineStr">
        <is>
          <t>08:00</t>
        </is>
      </c>
      <c r="Q893" t="inlineStr">
        <is>
          <t>08:30</t>
        </is>
      </c>
    </row>
    <row r="894">
      <c r="A894" t="inlineStr">
        <is>
          <t>Tuyay Mon</t>
        </is>
      </c>
      <c r="B894" t="inlineStr">
        <is>
          <t>TCNz001PH:Internal operations</t>
        </is>
      </c>
      <c r="D894">
        <f>L894</f>
        <v/>
      </c>
      <c r="E894">
        <f>SUMIFS(J:J, G:G,             A894, H:H, B894, L:L, L894)</f>
        <v/>
      </c>
      <c r="F894" t="inlineStr">
        <is>
          <t>PH0002</t>
        </is>
      </c>
      <c r="G894" t="inlineStr">
        <is>
          <t>Tuyay Mon</t>
        </is>
      </c>
      <c r="H894" t="inlineStr">
        <is>
          <t>TCNz001PH:Internal operations</t>
        </is>
      </c>
      <c r="I894" s="1" t="n">
        <v>45952</v>
      </c>
      <c r="J894" t="n">
        <v>0.75</v>
      </c>
      <c r="K894" t="inlineStr">
        <is>
          <t>Monitoring and management of task</t>
        </is>
      </c>
      <c r="L894">
        <f>IFERROR(LEFT(K894,             FIND(",", K894) - 1), "-")</f>
        <v/>
      </c>
      <c r="M894">
        <f>IFERROR(MID(K894,             FIND(",", K894) + 1, LEN(K894) - FIND(",", K894)), K894)</f>
        <v/>
      </c>
      <c r="N894" t="n">
        <v>5</v>
      </c>
      <c r="P894" t="inlineStr">
        <is>
          <t>08:00</t>
        </is>
      </c>
      <c r="Q894" t="inlineStr">
        <is>
          <t>08:45</t>
        </is>
      </c>
    </row>
    <row r="895">
      <c r="A895" t="inlineStr">
        <is>
          <t>Tuyay Mon</t>
        </is>
      </c>
      <c r="B895" t="inlineStr">
        <is>
          <t>TCNz001PH:Internal operations</t>
        </is>
      </c>
      <c r="D895">
        <f>L895</f>
        <v/>
      </c>
      <c r="E895">
        <f>SUMIFS(J:J, G:G,             A895, H:H, B895, L:L, L895)</f>
        <v/>
      </c>
      <c r="F895" t="inlineStr">
        <is>
          <t>PH0002</t>
        </is>
      </c>
      <c r="G895" t="inlineStr">
        <is>
          <t>Tuyay Mon</t>
        </is>
      </c>
      <c r="H895" t="inlineStr">
        <is>
          <t>TCNz001PH:Internal operations</t>
        </is>
      </c>
      <c r="I895" s="1" t="n">
        <v>45945</v>
      </c>
      <c r="J895" t="n">
        <v>1.25</v>
      </c>
      <c r="K895" t="inlineStr">
        <is>
          <t>Noborder</t>
        </is>
      </c>
      <c r="L895">
        <f>IFERROR(LEFT(K895,             FIND(",", K895) - 1), "-")</f>
        <v/>
      </c>
      <c r="M895">
        <f>IFERROR(MID(K895,             FIND(",", K895) + 1, LEN(K895) - FIND(",", K895)), K895)</f>
        <v/>
      </c>
      <c r="N895" t="n">
        <v>5</v>
      </c>
      <c r="P895" t="inlineStr">
        <is>
          <t>16:30</t>
        </is>
      </c>
      <c r="Q895" t="inlineStr">
        <is>
          <t>17:45</t>
        </is>
      </c>
    </row>
    <row r="896">
      <c r="A896" t="inlineStr">
        <is>
          <t>Tuyay Mon</t>
        </is>
      </c>
      <c r="B896" t="inlineStr">
        <is>
          <t>TCNz001PH:Internal operations</t>
        </is>
      </c>
      <c r="D896">
        <f>L896</f>
        <v/>
      </c>
      <c r="E896">
        <f>SUMIFS(J:J, G:G,             A896, H:H, B896, L:L, L896)</f>
        <v/>
      </c>
      <c r="F896" t="inlineStr">
        <is>
          <t>PH0002</t>
        </is>
      </c>
      <c r="G896" t="inlineStr">
        <is>
          <t>Tuyay Mon</t>
        </is>
      </c>
      <c r="H896" t="inlineStr">
        <is>
          <t>TCNz001PH:Internal operations</t>
        </is>
      </c>
      <c r="I896" s="1" t="n">
        <v>45944</v>
      </c>
      <c r="J896" t="n">
        <v>1</v>
      </c>
      <c r="K896" t="inlineStr">
        <is>
          <t>Preparing sales invoices for Accountant</t>
        </is>
      </c>
      <c r="L896">
        <f>IFERROR(LEFT(K896,             FIND(",", K896) - 1), "-")</f>
        <v/>
      </c>
      <c r="M896">
        <f>IFERROR(MID(K896,             FIND(",", K896) + 1, LEN(K896) - FIND(",", K896)), K896)</f>
        <v/>
      </c>
      <c r="N896" t="n">
        <v>5</v>
      </c>
      <c r="P896" t="inlineStr">
        <is>
          <t>14:00</t>
        </is>
      </c>
      <c r="Q896" t="inlineStr">
        <is>
          <t>15:00</t>
        </is>
      </c>
    </row>
    <row r="897">
      <c r="A897" t="inlineStr">
        <is>
          <t>Tuyay Mon</t>
        </is>
      </c>
      <c r="B897" t="inlineStr">
        <is>
          <t>TCNz001PH:Internal operations</t>
        </is>
      </c>
      <c r="D897">
        <f>L897</f>
        <v/>
      </c>
      <c r="E897">
        <f>SUMIFS(J:J, G:G,             A897, H:H, B897, L:L, L897)</f>
        <v/>
      </c>
      <c r="F897" t="inlineStr">
        <is>
          <t>PH0002</t>
        </is>
      </c>
      <c r="G897" t="inlineStr">
        <is>
          <t>Tuyay Mon</t>
        </is>
      </c>
      <c r="H897" t="inlineStr">
        <is>
          <t>TCNz001PH:Internal operations</t>
        </is>
      </c>
      <c r="I897" s="1" t="n">
        <v>45939</v>
      </c>
      <c r="J897" t="n">
        <v>1.25</v>
      </c>
      <c r="K897" t="inlineStr">
        <is>
          <t>Renewal of HMO</t>
        </is>
      </c>
      <c r="L897">
        <f>IFERROR(LEFT(K897,             FIND(",", K897) - 1), "-")</f>
        <v/>
      </c>
      <c r="M897">
        <f>IFERROR(MID(K897,             FIND(",", K897) + 1, LEN(K897) - FIND(",", K897)), K897)</f>
        <v/>
      </c>
      <c r="N897" t="n">
        <v>5</v>
      </c>
      <c r="P897" t="inlineStr">
        <is>
          <t>12:45</t>
        </is>
      </c>
      <c r="Q897" t="inlineStr">
        <is>
          <t>14:00</t>
        </is>
      </c>
    </row>
    <row r="898">
      <c r="A898" t="inlineStr">
        <is>
          <t>Tuyay Mon</t>
        </is>
      </c>
      <c r="B898" t="inlineStr">
        <is>
          <t>TCNz001PH:Internal operations</t>
        </is>
      </c>
      <c r="D898">
        <f>L898</f>
        <v/>
      </c>
      <c r="E898">
        <f>SUMIFS(J:J, G:G,             A898, H:H, B898, L:L, L898)</f>
        <v/>
      </c>
      <c r="F898" t="inlineStr">
        <is>
          <t>PH0002</t>
        </is>
      </c>
      <c r="G898" t="inlineStr">
        <is>
          <t>Tuyay Mon</t>
        </is>
      </c>
      <c r="H898" t="inlineStr">
        <is>
          <t>TCNz001PH:Internal operations</t>
        </is>
      </c>
      <c r="I898" s="1" t="n">
        <v>45940</v>
      </c>
      <c r="J898" t="n">
        <v>0.5</v>
      </c>
      <c r="K898" t="inlineStr">
        <is>
          <t>Renewal of HMO</t>
        </is>
      </c>
      <c r="L898">
        <f>IFERROR(LEFT(K898,             FIND(",", K898) - 1), "-")</f>
        <v/>
      </c>
      <c r="M898">
        <f>IFERROR(MID(K898,             FIND(",", K898) + 1, LEN(K898) - FIND(",", K898)), K898)</f>
        <v/>
      </c>
      <c r="N898" t="n">
        <v>5</v>
      </c>
      <c r="P898" t="inlineStr">
        <is>
          <t>15:00</t>
        </is>
      </c>
      <c r="Q898" t="inlineStr">
        <is>
          <t>15:30</t>
        </is>
      </c>
    </row>
    <row r="899">
      <c r="A899" t="inlineStr">
        <is>
          <t>Tuyay Mon</t>
        </is>
      </c>
      <c r="B899" t="inlineStr">
        <is>
          <t>TCNz001PH:Internal operations</t>
        </is>
      </c>
      <c r="D899">
        <f>L899</f>
        <v/>
      </c>
      <c r="E899">
        <f>SUMIFS(J:J, G:G,             A899, H:H, B899, L:L, L899)</f>
        <v/>
      </c>
      <c r="F899" t="inlineStr">
        <is>
          <t>PH0002</t>
        </is>
      </c>
      <c r="G899" t="inlineStr">
        <is>
          <t>Tuyay Mon</t>
        </is>
      </c>
      <c r="H899" t="inlineStr">
        <is>
          <t>TCNz001PH:Internal operations</t>
        </is>
      </c>
      <c r="I899" s="1" t="n">
        <v>45945</v>
      </c>
      <c r="J899" t="n">
        <v>0.75</v>
      </c>
      <c r="K899" t="inlineStr">
        <is>
          <t>Renewal of HMO</t>
        </is>
      </c>
      <c r="L899">
        <f>IFERROR(LEFT(K899,             FIND(",", K899) - 1), "-")</f>
        <v/>
      </c>
      <c r="M899">
        <f>IFERROR(MID(K899,             FIND(",", K899) + 1, LEN(K899) - FIND(",", K899)), K899)</f>
        <v/>
      </c>
      <c r="N899" t="n">
        <v>5</v>
      </c>
      <c r="P899" t="inlineStr">
        <is>
          <t>10:15</t>
        </is>
      </c>
      <c r="Q899" t="inlineStr">
        <is>
          <t>11:00</t>
        </is>
      </c>
    </row>
    <row r="900">
      <c r="A900" t="inlineStr">
        <is>
          <t>Tuyay Mon</t>
        </is>
      </c>
      <c r="B900" t="inlineStr">
        <is>
          <t>TCNz001PH:Internal operations</t>
        </is>
      </c>
      <c r="D900">
        <f>L900</f>
        <v/>
      </c>
      <c r="E900">
        <f>SUMIFS(J:J, G:G,             A900, H:H, B900, L:L, L900)</f>
        <v/>
      </c>
      <c r="F900" t="inlineStr">
        <is>
          <t>PH0002</t>
        </is>
      </c>
      <c r="G900" t="inlineStr">
        <is>
          <t>Tuyay Mon</t>
        </is>
      </c>
      <c r="H900" t="inlineStr">
        <is>
          <t>TCNz001PH:Internal operations</t>
        </is>
      </c>
      <c r="I900" s="1" t="n">
        <v>45945</v>
      </c>
      <c r="J900" t="n">
        <v>0.75</v>
      </c>
      <c r="K900" t="inlineStr">
        <is>
          <t>Renewal of HMO</t>
        </is>
      </c>
      <c r="L900">
        <f>IFERROR(LEFT(K900,             FIND(",", K900) - 1), "-")</f>
        <v/>
      </c>
      <c r="M900">
        <f>IFERROR(MID(K900,             FIND(",", K900) + 1, LEN(K900) - FIND(",", K900)), K900)</f>
        <v/>
      </c>
      <c r="N900" t="n">
        <v>5</v>
      </c>
      <c r="P900" t="inlineStr">
        <is>
          <t>13:00</t>
        </is>
      </c>
      <c r="Q900" t="inlineStr">
        <is>
          <t>13:45</t>
        </is>
      </c>
    </row>
    <row r="901">
      <c r="A901" t="inlineStr">
        <is>
          <t>Tuyay Mon</t>
        </is>
      </c>
      <c r="B901" t="inlineStr">
        <is>
          <t>TCNz001PH:Internal operations</t>
        </is>
      </c>
      <c r="D901">
        <f>L901</f>
        <v/>
      </c>
      <c r="E901">
        <f>SUMIFS(J:J, G:G,             A901, H:H, B901, L:L, L901)</f>
        <v/>
      </c>
      <c r="F901" t="inlineStr">
        <is>
          <t>PH0002</t>
        </is>
      </c>
      <c r="G901" t="inlineStr">
        <is>
          <t>Tuyay Mon</t>
        </is>
      </c>
      <c r="H901" t="inlineStr">
        <is>
          <t>TCNz001PH:Internal operations</t>
        </is>
      </c>
      <c r="I901" s="1" t="n">
        <v>45947</v>
      </c>
      <c r="J901" t="n">
        <v>1</v>
      </c>
      <c r="K901" t="inlineStr">
        <is>
          <t>Renewal of HMO</t>
        </is>
      </c>
      <c r="L901">
        <f>IFERROR(LEFT(K901,             FIND(",", K901) - 1), "-")</f>
        <v/>
      </c>
      <c r="M901">
        <f>IFERROR(MID(K901,             FIND(",", K901) + 1, LEN(K901) - FIND(",", K901)), K901)</f>
        <v/>
      </c>
      <c r="N901" t="n">
        <v>5</v>
      </c>
      <c r="P901" t="inlineStr">
        <is>
          <t>13:30</t>
        </is>
      </c>
      <c r="Q901" t="inlineStr">
        <is>
          <t>14:30</t>
        </is>
      </c>
    </row>
    <row r="902">
      <c r="A902" t="inlineStr">
        <is>
          <t>Tuyay Mon</t>
        </is>
      </c>
      <c r="B902" t="inlineStr">
        <is>
          <t>TCNz001PH:Internal operations</t>
        </is>
      </c>
      <c r="D902">
        <f>L902</f>
        <v/>
      </c>
      <c r="E902">
        <f>SUMIFS(J:J, G:G,             A902, H:H, B902, L:L, L902)</f>
        <v/>
      </c>
      <c r="F902" t="inlineStr">
        <is>
          <t>PH0002</t>
        </is>
      </c>
      <c r="G902" t="inlineStr">
        <is>
          <t>Tuyay Mon</t>
        </is>
      </c>
      <c r="H902" t="inlineStr">
        <is>
          <t>TCNz001PH:Internal operations</t>
        </is>
      </c>
      <c r="I902" s="1" t="n">
        <v>45944</v>
      </c>
      <c r="J902" t="n">
        <v>1</v>
      </c>
      <c r="K902" t="inlineStr">
        <is>
          <t>VSD and Accountant</t>
        </is>
      </c>
      <c r="L902">
        <f>IFERROR(LEFT(K902,             FIND(",", K902) - 1), "-")</f>
        <v/>
      </c>
      <c r="M902">
        <f>IFERROR(MID(K902,             FIND(",", K902) + 1, LEN(K902) - FIND(",", K902)), K902)</f>
        <v/>
      </c>
      <c r="N902" t="n">
        <v>5</v>
      </c>
      <c r="P902" t="inlineStr">
        <is>
          <t>10:00</t>
        </is>
      </c>
      <c r="Q902" t="inlineStr">
        <is>
          <t>11:00</t>
        </is>
      </c>
    </row>
    <row r="903">
      <c r="A903" t="inlineStr">
        <is>
          <t>Tuyay Mon</t>
        </is>
      </c>
      <c r="B903" t="inlineStr">
        <is>
          <t>TCNz001PH:Internal operations</t>
        </is>
      </c>
      <c r="D903">
        <f>L903</f>
        <v/>
      </c>
      <c r="E903">
        <f>SUMIFS(J:J, G:G,             A903, H:H, B903, L:L, L903)</f>
        <v/>
      </c>
      <c r="F903" t="inlineStr">
        <is>
          <t>PH0002</t>
        </is>
      </c>
      <c r="G903" t="inlineStr">
        <is>
          <t>Tuyay Mon</t>
        </is>
      </c>
      <c r="H903" t="inlineStr">
        <is>
          <t>TCNz001PH:Internal operations</t>
        </is>
      </c>
      <c r="I903" s="1" t="n">
        <v>45931</v>
      </c>
      <c r="J903" t="n">
        <v>0.75</v>
      </c>
      <c r="L903">
        <f>IFERROR(LEFT(K903,             FIND(",", K903) - 1), "-")</f>
        <v/>
      </c>
      <c r="M903">
        <f>IFERROR(MID(K903,             FIND(",", K903) + 1, LEN(K903) - FIND(",", K903)), K903)</f>
        <v/>
      </c>
      <c r="N903" t="n">
        <v>5</v>
      </c>
      <c r="P903" t="inlineStr">
        <is>
          <t>08:00</t>
        </is>
      </c>
      <c r="Q903" t="inlineStr">
        <is>
          <t>08:45</t>
        </is>
      </c>
    </row>
    <row r="904">
      <c r="A904" t="inlineStr">
        <is>
          <t>Tuyay Mon</t>
        </is>
      </c>
      <c r="B904" t="inlineStr">
        <is>
          <t>TCNz001PH:Internal operations</t>
        </is>
      </c>
      <c r="D904">
        <f>L904</f>
        <v/>
      </c>
      <c r="E904">
        <f>SUMIFS(J:J, G:G,             A904, H:H, B904, L:L, L904)</f>
        <v/>
      </c>
      <c r="F904" t="inlineStr">
        <is>
          <t>PH0002</t>
        </is>
      </c>
      <c r="G904" t="inlineStr">
        <is>
          <t>Tuyay Mon</t>
        </is>
      </c>
      <c r="H904" t="inlineStr">
        <is>
          <t>TCNz001PH:Internal operations</t>
        </is>
      </c>
      <c r="I904" s="1" t="n">
        <v>45932</v>
      </c>
      <c r="J904" t="n">
        <v>0.75</v>
      </c>
      <c r="L904">
        <f>IFERROR(LEFT(K904,             FIND(",", K904) - 1), "-")</f>
        <v/>
      </c>
      <c r="M904">
        <f>IFERROR(MID(K904,             FIND(",", K904) + 1, LEN(K904) - FIND(",", K904)), K904)</f>
        <v/>
      </c>
      <c r="N904" t="n">
        <v>5</v>
      </c>
      <c r="P904" t="inlineStr">
        <is>
          <t>08:00</t>
        </is>
      </c>
      <c r="Q904" t="inlineStr">
        <is>
          <t>08:45</t>
        </is>
      </c>
    </row>
    <row r="905">
      <c r="A905" t="inlineStr">
        <is>
          <t>Tuyay Mon</t>
        </is>
      </c>
      <c r="B905" t="inlineStr">
        <is>
          <t>TCNz001PH:Internal operations</t>
        </is>
      </c>
      <c r="D905">
        <f>L905</f>
        <v/>
      </c>
      <c r="E905">
        <f>SUMIFS(J:J, G:G,             A905, H:H, B905, L:L, L905)</f>
        <v/>
      </c>
      <c r="F905" t="inlineStr">
        <is>
          <t>PH0002</t>
        </is>
      </c>
      <c r="G905" t="inlineStr">
        <is>
          <t>Tuyay Mon</t>
        </is>
      </c>
      <c r="H905" t="inlineStr">
        <is>
          <t>TCNz001PH:Internal operations</t>
        </is>
      </c>
      <c r="I905" s="1" t="n">
        <v>45936</v>
      </c>
      <c r="J905" t="n">
        <v>1</v>
      </c>
      <c r="L905">
        <f>IFERROR(LEFT(K905,             FIND(",", K905) - 1), "-")</f>
        <v/>
      </c>
      <c r="M905">
        <f>IFERROR(MID(K905,             FIND(",", K905) + 1, LEN(K905) - FIND(",", K905)), K905)</f>
        <v/>
      </c>
      <c r="N905" t="n">
        <v>5</v>
      </c>
      <c r="P905" t="inlineStr">
        <is>
          <t>08:00</t>
        </is>
      </c>
      <c r="Q905" t="inlineStr">
        <is>
          <t>09:00</t>
        </is>
      </c>
    </row>
    <row r="906">
      <c r="A906" t="inlineStr">
        <is>
          <t>Tuyay Mon</t>
        </is>
      </c>
      <c r="B906" t="inlineStr">
        <is>
          <t>TCNz001PH:Internal operations</t>
        </is>
      </c>
      <c r="D906">
        <f>L906</f>
        <v/>
      </c>
      <c r="E906">
        <f>SUMIFS(J:J, G:G,             A906, H:H, B906, L:L, L906)</f>
        <v/>
      </c>
      <c r="F906" t="inlineStr">
        <is>
          <t>PH0002</t>
        </is>
      </c>
      <c r="G906" t="inlineStr">
        <is>
          <t>Tuyay Mon</t>
        </is>
      </c>
      <c r="H906" t="inlineStr">
        <is>
          <t>TCNz001PH:Internal operations</t>
        </is>
      </c>
      <c r="I906" s="1" t="n">
        <v>45937</v>
      </c>
      <c r="J906" t="n">
        <v>0.75</v>
      </c>
      <c r="L906">
        <f>IFERROR(LEFT(K906,             FIND(",", K906) - 1), "-")</f>
        <v/>
      </c>
      <c r="M906">
        <f>IFERROR(MID(K906,             FIND(",", K906) + 1, LEN(K906) - FIND(",", K906)), K906)</f>
        <v/>
      </c>
      <c r="N906" t="n">
        <v>5</v>
      </c>
      <c r="P906" t="inlineStr">
        <is>
          <t>08:00</t>
        </is>
      </c>
      <c r="Q906" t="inlineStr">
        <is>
          <t>08:45</t>
        </is>
      </c>
    </row>
    <row r="907">
      <c r="A907" t="inlineStr">
        <is>
          <t>Tuyay Mon</t>
        </is>
      </c>
      <c r="B907" t="inlineStr">
        <is>
          <t>TCNz001PH:Internal operations</t>
        </is>
      </c>
      <c r="D907">
        <f>L907</f>
        <v/>
      </c>
      <c r="E907">
        <f>SUMIFS(J:J, G:G,             A907, H:H, B907, L:L, L907)</f>
        <v/>
      </c>
      <c r="F907" t="inlineStr">
        <is>
          <t>PH0002</t>
        </is>
      </c>
      <c r="G907" t="inlineStr">
        <is>
          <t>Tuyay Mon</t>
        </is>
      </c>
      <c r="H907" t="inlineStr">
        <is>
          <t>TCNz001PH:Internal operations</t>
        </is>
      </c>
      <c r="I907" s="1" t="n">
        <v>45938</v>
      </c>
      <c r="J907" t="n">
        <v>0.5</v>
      </c>
      <c r="L907">
        <f>IFERROR(LEFT(K907,             FIND(",", K907) - 1), "-")</f>
        <v/>
      </c>
      <c r="M907">
        <f>IFERROR(MID(K907,             FIND(",", K907) + 1, LEN(K907) - FIND(",", K907)), K907)</f>
        <v/>
      </c>
      <c r="N907" t="n">
        <v>5</v>
      </c>
      <c r="P907" t="inlineStr">
        <is>
          <t>08:00</t>
        </is>
      </c>
      <c r="Q907" t="inlineStr">
        <is>
          <t>08:30</t>
        </is>
      </c>
    </row>
    <row r="908">
      <c r="A908" t="inlineStr">
        <is>
          <t>Tuyay Mon</t>
        </is>
      </c>
      <c r="B908" t="inlineStr">
        <is>
          <t>TCNz001PH:Internal operations</t>
        </is>
      </c>
      <c r="D908">
        <f>L908</f>
        <v/>
      </c>
      <c r="E908">
        <f>SUMIFS(J:J, G:G,             A908, H:H, B908, L:L, L908)</f>
        <v/>
      </c>
      <c r="F908" t="inlineStr">
        <is>
          <t>PH0002</t>
        </is>
      </c>
      <c r="G908" t="inlineStr">
        <is>
          <t>Tuyay Mon</t>
        </is>
      </c>
      <c r="H908" t="inlineStr">
        <is>
          <t>TCNz001PH:Internal operations</t>
        </is>
      </c>
      <c r="I908" s="1" t="n">
        <v>45939</v>
      </c>
      <c r="J908" t="n">
        <v>1</v>
      </c>
      <c r="L908">
        <f>IFERROR(LEFT(K908,             FIND(",", K908) - 1), "-")</f>
        <v/>
      </c>
      <c r="M908">
        <f>IFERROR(MID(K908,             FIND(",", K908) + 1, LEN(K908) - FIND(",", K908)), K908)</f>
        <v/>
      </c>
      <c r="N908" t="n">
        <v>5</v>
      </c>
      <c r="P908" t="inlineStr">
        <is>
          <t>08:00</t>
        </is>
      </c>
      <c r="Q908" t="inlineStr">
        <is>
          <t>09:00</t>
        </is>
      </c>
    </row>
    <row r="909">
      <c r="A909" t="inlineStr">
        <is>
          <t>Tuyay Mon</t>
        </is>
      </c>
      <c r="B909" t="inlineStr">
        <is>
          <t>TCNz001PH:Internal operations</t>
        </is>
      </c>
      <c r="D909">
        <f>L909</f>
        <v/>
      </c>
      <c r="E909">
        <f>SUMIFS(J:J, G:G,             A909, H:H, B909, L:L, L909)</f>
        <v/>
      </c>
      <c r="F909" t="inlineStr">
        <is>
          <t>PH0002</t>
        </is>
      </c>
      <c r="G909" t="inlineStr">
        <is>
          <t>Tuyay Mon</t>
        </is>
      </c>
      <c r="H909" t="inlineStr">
        <is>
          <t>TCNz001PH:Internal operations</t>
        </is>
      </c>
      <c r="I909" s="1" t="n">
        <v>45943</v>
      </c>
      <c r="J909" t="n">
        <v>0.75</v>
      </c>
      <c r="L909">
        <f>IFERROR(LEFT(K909,             FIND(",", K909) - 1), "-")</f>
        <v/>
      </c>
      <c r="M909">
        <f>IFERROR(MID(K909,             FIND(",", K909) + 1, LEN(K909) - FIND(",", K909)), K909)</f>
        <v/>
      </c>
      <c r="N909" t="n">
        <v>5</v>
      </c>
      <c r="P909" t="inlineStr">
        <is>
          <t>08:00</t>
        </is>
      </c>
      <c r="Q909" t="inlineStr">
        <is>
          <t>08:45</t>
        </is>
      </c>
    </row>
    <row r="910">
      <c r="A910" t="inlineStr">
        <is>
          <t>Tuyay Mon</t>
        </is>
      </c>
      <c r="B910" t="inlineStr">
        <is>
          <t>TCNz001PH:Internal operations</t>
        </is>
      </c>
      <c r="D910">
        <f>L910</f>
        <v/>
      </c>
      <c r="E910">
        <f>SUMIFS(J:J, G:G,             A910, H:H, B910, L:L, L910)</f>
        <v/>
      </c>
      <c r="F910" t="inlineStr">
        <is>
          <t>PH0002</t>
        </is>
      </c>
      <c r="G910" t="inlineStr">
        <is>
          <t>Tuyay Mon</t>
        </is>
      </c>
      <c r="H910" t="inlineStr">
        <is>
          <t>TCNz001PH:Internal operations</t>
        </is>
      </c>
      <c r="I910" s="1" t="n">
        <v>45944</v>
      </c>
      <c r="J910" t="n">
        <v>0.5</v>
      </c>
      <c r="L910">
        <f>IFERROR(LEFT(K910,             FIND(",", K910) - 1), "-")</f>
        <v/>
      </c>
      <c r="M910">
        <f>IFERROR(MID(K910,             FIND(",", K910) + 1, LEN(K910) - FIND(",", K910)), K910)</f>
        <v/>
      </c>
      <c r="N910" t="n">
        <v>5</v>
      </c>
      <c r="P910" t="inlineStr">
        <is>
          <t>08:00</t>
        </is>
      </c>
      <c r="Q910" t="inlineStr">
        <is>
          <t>08:30</t>
        </is>
      </c>
    </row>
    <row r="911">
      <c r="A911" t="inlineStr">
        <is>
          <t>Tuyay Mon</t>
        </is>
      </c>
      <c r="B911" t="inlineStr">
        <is>
          <t>TCNz001PH:Internal operations</t>
        </is>
      </c>
      <c r="D911">
        <f>L911</f>
        <v/>
      </c>
      <c r="E911">
        <f>SUMIFS(J:J, G:G,             A911, H:H, B911, L:L, L911)</f>
        <v/>
      </c>
      <c r="F911" t="inlineStr">
        <is>
          <t>PH0002</t>
        </is>
      </c>
      <c r="G911" t="inlineStr">
        <is>
          <t>Tuyay Mon</t>
        </is>
      </c>
      <c r="H911" t="inlineStr">
        <is>
          <t>TCNz001PH:Internal operations</t>
        </is>
      </c>
      <c r="I911" s="1" t="n">
        <v>45946</v>
      </c>
      <c r="J911" t="n">
        <v>0.75</v>
      </c>
      <c r="L911">
        <f>IFERROR(LEFT(K911,             FIND(",", K911) - 1), "-")</f>
        <v/>
      </c>
      <c r="M911">
        <f>IFERROR(MID(K911,             FIND(",", K911) + 1, LEN(K911) - FIND(",", K911)), K911)</f>
        <v/>
      </c>
      <c r="N911" t="n">
        <v>5</v>
      </c>
      <c r="P911" t="inlineStr">
        <is>
          <t>08:00</t>
        </is>
      </c>
      <c r="Q911" t="inlineStr">
        <is>
          <t>08:45</t>
        </is>
      </c>
    </row>
    <row r="912">
      <c r="A912" t="inlineStr">
        <is>
          <t>Tuyay Mon</t>
        </is>
      </c>
      <c r="B912" t="inlineStr">
        <is>
          <t>TCNz001PH:Internal operations</t>
        </is>
      </c>
      <c r="D912">
        <f>L912</f>
        <v/>
      </c>
      <c r="E912">
        <f>SUMIFS(J:J, G:G,             A912, H:H, B912, L:L, L912)</f>
        <v/>
      </c>
      <c r="F912" t="inlineStr">
        <is>
          <t>PH0002</t>
        </is>
      </c>
      <c r="G912" t="inlineStr">
        <is>
          <t>Tuyay Mon</t>
        </is>
      </c>
      <c r="H912" t="inlineStr">
        <is>
          <t>TCNz001PH:Internal operations</t>
        </is>
      </c>
      <c r="I912" s="1" t="n">
        <v>45950</v>
      </c>
      <c r="J912" t="n">
        <v>1</v>
      </c>
      <c r="L912">
        <f>IFERROR(LEFT(K912,             FIND(",", K912) - 1), "-")</f>
        <v/>
      </c>
      <c r="M912">
        <f>IFERROR(MID(K912,             FIND(",", K912) + 1, LEN(K912) - FIND(",", K912)), K912)</f>
        <v/>
      </c>
      <c r="N912" t="n">
        <v>5</v>
      </c>
      <c r="P912" t="inlineStr">
        <is>
          <t>08:00</t>
        </is>
      </c>
      <c r="Q912" t="inlineStr">
        <is>
          <t>09:00</t>
        </is>
      </c>
    </row>
    <row r="913">
      <c r="A913" t="inlineStr">
        <is>
          <t>Tuyay Mon</t>
        </is>
      </c>
      <c r="B913" t="inlineStr">
        <is>
          <t>TCNz001PH:Internal operations</t>
        </is>
      </c>
      <c r="D913">
        <f>L913</f>
        <v/>
      </c>
      <c r="E913">
        <f>SUMIFS(J:J, G:G,             A913, H:H, B913, L:L, L913)</f>
        <v/>
      </c>
      <c r="F913" t="inlineStr">
        <is>
          <t>PH0002</t>
        </is>
      </c>
      <c r="G913" t="inlineStr">
        <is>
          <t>Tuyay Mon</t>
        </is>
      </c>
      <c r="H913" t="inlineStr">
        <is>
          <t>TCNz001PH:Internal operations</t>
        </is>
      </c>
      <c r="I913" s="1" t="n">
        <v>45951</v>
      </c>
      <c r="J913" t="n">
        <v>0.5</v>
      </c>
      <c r="L913">
        <f>IFERROR(LEFT(K913,             FIND(",", K913) - 1), "-")</f>
        <v/>
      </c>
      <c r="M913">
        <f>IFERROR(MID(K913,             FIND(",", K913) + 1, LEN(K913) - FIND(",", K913)), K913)</f>
        <v/>
      </c>
      <c r="N913" t="n">
        <v>5</v>
      </c>
      <c r="P913" t="inlineStr">
        <is>
          <t>08:00</t>
        </is>
      </c>
      <c r="Q913" t="inlineStr">
        <is>
          <t>08:30</t>
        </is>
      </c>
    </row>
    <row r="914">
      <c r="A914" t="inlineStr">
        <is>
          <t>Tuyay Mon</t>
        </is>
      </c>
      <c r="B914" t="inlineStr">
        <is>
          <t>TCNz001PH:Internal operations</t>
        </is>
      </c>
      <c r="D914">
        <f>L914</f>
        <v/>
      </c>
      <c r="E914">
        <f>SUMIFS(J:J, G:G,             A914, H:H, B914, L:L, L914)</f>
        <v/>
      </c>
      <c r="F914" t="inlineStr">
        <is>
          <t>PH0002</t>
        </is>
      </c>
      <c r="G914" t="inlineStr">
        <is>
          <t>Tuyay Mon</t>
        </is>
      </c>
      <c r="H914" t="inlineStr">
        <is>
          <t>TCNz001PH:Internal operations</t>
        </is>
      </c>
      <c r="I914" s="1" t="n">
        <v>45953</v>
      </c>
      <c r="J914" t="n">
        <v>0.5</v>
      </c>
      <c r="L914">
        <f>IFERROR(LEFT(K914,             FIND(",", K914) - 1), "-")</f>
        <v/>
      </c>
      <c r="M914">
        <f>IFERROR(MID(K914,             FIND(",", K914) + 1, LEN(K914) - FIND(",", K914)), K914)</f>
        <v/>
      </c>
      <c r="N914" t="n">
        <v>5</v>
      </c>
      <c r="P914" t="inlineStr">
        <is>
          <t>08:00</t>
        </is>
      </c>
      <c r="Q914" t="inlineStr">
        <is>
          <t>08:30</t>
        </is>
      </c>
    </row>
    <row r="915">
      <c r="A915" t="inlineStr">
        <is>
          <t>Tuyay Mon</t>
        </is>
      </c>
      <c r="B915" t="inlineStr">
        <is>
          <t>TCNz004PH:SMS NewDev</t>
        </is>
      </c>
      <c r="C915">
        <f>SUMIFS(J:J, G:G,             A915, H:H, B915)</f>
        <v/>
      </c>
      <c r="D915">
        <f>L915</f>
        <v/>
      </c>
      <c r="E915">
        <f>SUMIFS(J:J, G:G,             A915, H:H, B915, L:L, L915)</f>
        <v/>
      </c>
      <c r="F915" t="inlineStr">
        <is>
          <t>PH0002</t>
        </is>
      </c>
      <c r="G915" t="inlineStr">
        <is>
          <t>Tuyay Mon</t>
        </is>
      </c>
      <c r="H915" t="inlineStr">
        <is>
          <t>TCNz004PH:SMS NewDev</t>
        </is>
      </c>
      <c r="I915" s="1" t="n">
        <v>45931</v>
      </c>
      <c r="J915" t="n">
        <v>1.25</v>
      </c>
      <c r="L915">
        <f>IFERROR(LEFT(K915,             FIND(",", K915) - 1), "-")</f>
        <v/>
      </c>
      <c r="M915">
        <f>IFERROR(MID(K915,             FIND(",", K915) + 1, LEN(K915) - FIND(",", K915)), K915)</f>
        <v/>
      </c>
      <c r="P915" t="inlineStr">
        <is>
          <t>08:45</t>
        </is>
      </c>
      <c r="Q915" t="inlineStr">
        <is>
          <t>10:00</t>
        </is>
      </c>
    </row>
    <row r="916">
      <c r="A916" t="inlineStr">
        <is>
          <t>Tuyay Mon</t>
        </is>
      </c>
      <c r="B916" t="inlineStr">
        <is>
          <t>TCNz004PH:SMS NewDev</t>
        </is>
      </c>
      <c r="D916">
        <f>L916</f>
        <v/>
      </c>
      <c r="E916">
        <f>SUMIFS(J:J, G:G,             A916, H:H, B916, L:L, L916)</f>
        <v/>
      </c>
      <c r="F916" t="inlineStr">
        <is>
          <t>PH0002</t>
        </is>
      </c>
      <c r="G916" t="inlineStr">
        <is>
          <t>Tuyay Mon</t>
        </is>
      </c>
      <c r="H916" t="inlineStr">
        <is>
          <t>TCNz004PH:SMS NewDev</t>
        </is>
      </c>
      <c r="I916" s="1" t="n">
        <v>45931</v>
      </c>
      <c r="J916" t="n">
        <v>1</v>
      </c>
      <c r="L916">
        <f>IFERROR(LEFT(K916,             FIND(",", K916) - 1), "-")</f>
        <v/>
      </c>
      <c r="M916">
        <f>IFERROR(MID(K916,             FIND(",", K916) + 1, LEN(K916) - FIND(",", K916)), K916)</f>
        <v/>
      </c>
      <c r="P916" t="inlineStr">
        <is>
          <t>12:00</t>
        </is>
      </c>
      <c r="Q916" t="inlineStr">
        <is>
          <t>13:00</t>
        </is>
      </c>
    </row>
    <row r="917">
      <c r="A917" t="inlineStr">
        <is>
          <t>Tuyay Mon</t>
        </is>
      </c>
      <c r="B917" t="inlineStr">
        <is>
          <t>TCNz004PH:SMS NewDev</t>
        </is>
      </c>
      <c r="D917">
        <f>L917</f>
        <v/>
      </c>
      <c r="E917">
        <f>SUMIFS(J:J, G:G,             A917, H:H, B917, L:L, L917)</f>
        <v/>
      </c>
      <c r="F917" t="inlineStr">
        <is>
          <t>PH0002</t>
        </is>
      </c>
      <c r="G917" t="inlineStr">
        <is>
          <t>Tuyay Mon</t>
        </is>
      </c>
      <c r="H917" t="inlineStr">
        <is>
          <t>TCNz004PH:SMS NewDev</t>
        </is>
      </c>
      <c r="I917" s="1" t="n">
        <v>45931</v>
      </c>
      <c r="J917" t="n">
        <v>1.5</v>
      </c>
      <c r="L917">
        <f>IFERROR(LEFT(K917,             FIND(",", K917) - 1), "-")</f>
        <v/>
      </c>
      <c r="M917">
        <f>IFERROR(MID(K917,             FIND(",", K917) + 1, LEN(K917) - FIND(",", K917)), K917)</f>
        <v/>
      </c>
      <c r="P917" t="inlineStr">
        <is>
          <t>16:00</t>
        </is>
      </c>
      <c r="Q917" t="inlineStr">
        <is>
          <t>17:30</t>
        </is>
      </c>
    </row>
    <row r="918">
      <c r="A918" t="inlineStr">
        <is>
          <t>Tuyay Mon</t>
        </is>
      </c>
      <c r="B918" t="inlineStr">
        <is>
          <t>TCNz004PH:SMS NewDev</t>
        </is>
      </c>
      <c r="D918">
        <f>L918</f>
        <v/>
      </c>
      <c r="E918">
        <f>SUMIFS(J:J, G:G,             A918, H:H, B918, L:L, L918)</f>
        <v/>
      </c>
      <c r="F918" t="inlineStr">
        <is>
          <t>PH0002</t>
        </is>
      </c>
      <c r="G918" t="inlineStr">
        <is>
          <t>Tuyay Mon</t>
        </is>
      </c>
      <c r="H918" t="inlineStr">
        <is>
          <t>TCNz004PH:SMS NewDev</t>
        </is>
      </c>
      <c r="I918" s="1" t="n">
        <v>45932</v>
      </c>
      <c r="J918" t="n">
        <v>1.25</v>
      </c>
      <c r="L918">
        <f>IFERROR(LEFT(K918,             FIND(",", K918) - 1), "-")</f>
        <v/>
      </c>
      <c r="M918">
        <f>IFERROR(MID(K918,             FIND(",", K918) + 1, LEN(K918) - FIND(",", K918)), K918)</f>
        <v/>
      </c>
      <c r="P918" t="inlineStr">
        <is>
          <t>08:45</t>
        </is>
      </c>
      <c r="Q918" t="inlineStr">
        <is>
          <t>10:00</t>
        </is>
      </c>
    </row>
    <row r="919">
      <c r="A919" t="inlineStr">
        <is>
          <t>Tuyay Mon</t>
        </is>
      </c>
      <c r="B919" t="inlineStr">
        <is>
          <t>TCNz004PH:SMS NewDev</t>
        </is>
      </c>
      <c r="D919">
        <f>L919</f>
        <v/>
      </c>
      <c r="E919">
        <f>SUMIFS(J:J, G:G,             A919, H:H, B919, L:L, L919)</f>
        <v/>
      </c>
      <c r="F919" t="inlineStr">
        <is>
          <t>PH0002</t>
        </is>
      </c>
      <c r="G919" t="inlineStr">
        <is>
          <t>Tuyay Mon</t>
        </is>
      </c>
      <c r="H919" t="inlineStr">
        <is>
          <t>TCNz004PH:SMS NewDev</t>
        </is>
      </c>
      <c r="I919" s="1" t="n">
        <v>45932</v>
      </c>
      <c r="J919" t="n">
        <v>1.5</v>
      </c>
      <c r="L919">
        <f>IFERROR(LEFT(K919,             FIND(",", K919) - 1), "-")</f>
        <v/>
      </c>
      <c r="M919">
        <f>IFERROR(MID(K919,             FIND(",", K919) + 1, LEN(K919) - FIND(",", K919)), K919)</f>
        <v/>
      </c>
      <c r="P919" t="inlineStr">
        <is>
          <t>12:00</t>
        </is>
      </c>
      <c r="Q919" t="inlineStr">
        <is>
          <t>13:30</t>
        </is>
      </c>
    </row>
    <row r="920">
      <c r="A920" t="inlineStr">
        <is>
          <t>Tuyay Mon</t>
        </is>
      </c>
      <c r="B920" t="inlineStr">
        <is>
          <t>TCNz004PH:SMS NewDev</t>
        </is>
      </c>
      <c r="D920">
        <f>L920</f>
        <v/>
      </c>
      <c r="E920">
        <f>SUMIFS(J:J, G:G,             A920, H:H, B920, L:L, L920)</f>
        <v/>
      </c>
      <c r="F920" t="inlineStr">
        <is>
          <t>PH0002</t>
        </is>
      </c>
      <c r="G920" t="inlineStr">
        <is>
          <t>Tuyay Mon</t>
        </is>
      </c>
      <c r="H920" t="inlineStr">
        <is>
          <t>TCNz004PH:SMS NewDev</t>
        </is>
      </c>
      <c r="I920" s="1" t="n">
        <v>45932</v>
      </c>
      <c r="J920" t="n">
        <v>0.75</v>
      </c>
      <c r="L920">
        <f>IFERROR(LEFT(K920,             FIND(",", K920) - 1), "-")</f>
        <v/>
      </c>
      <c r="M920">
        <f>IFERROR(MID(K920,             FIND(",", K920) + 1, LEN(K920) - FIND(",", K920)), K920)</f>
        <v/>
      </c>
      <c r="P920" t="inlineStr">
        <is>
          <t>14:30</t>
        </is>
      </c>
      <c r="Q920" t="inlineStr">
        <is>
          <t>15:15</t>
        </is>
      </c>
    </row>
    <row r="921">
      <c r="A921" t="inlineStr">
        <is>
          <t>Tuyay Mon</t>
        </is>
      </c>
      <c r="B921" t="inlineStr">
        <is>
          <t>TCNz004PH:SMS NewDev</t>
        </is>
      </c>
      <c r="D921">
        <f>L921</f>
        <v/>
      </c>
      <c r="E921">
        <f>SUMIFS(J:J, G:G,             A921, H:H, B921, L:L, L921)</f>
        <v/>
      </c>
      <c r="F921" t="inlineStr">
        <is>
          <t>PH0002</t>
        </is>
      </c>
      <c r="G921" t="inlineStr">
        <is>
          <t>Tuyay Mon</t>
        </is>
      </c>
      <c r="H921" t="inlineStr">
        <is>
          <t>TCNz004PH:SMS NewDev</t>
        </is>
      </c>
      <c r="I921" s="1" t="n">
        <v>45932</v>
      </c>
      <c r="J921" t="n">
        <v>1.25</v>
      </c>
      <c r="L921">
        <f>IFERROR(LEFT(K921,             FIND(",", K921) - 1), "-")</f>
        <v/>
      </c>
      <c r="M921">
        <f>IFERROR(MID(K921,             FIND(",", K921) + 1, LEN(K921) - FIND(",", K921)), K921)</f>
        <v/>
      </c>
      <c r="P921" t="inlineStr">
        <is>
          <t>16:15</t>
        </is>
      </c>
      <c r="Q921" t="inlineStr">
        <is>
          <t>17:30</t>
        </is>
      </c>
    </row>
    <row r="922">
      <c r="A922" t="inlineStr">
        <is>
          <t>Tuyay Mon</t>
        </is>
      </c>
      <c r="B922" t="inlineStr">
        <is>
          <t>TCNz004PH:SMS NewDev</t>
        </is>
      </c>
      <c r="D922">
        <f>L922</f>
        <v/>
      </c>
      <c r="E922">
        <f>SUMIFS(J:J, G:G,             A922, H:H, B922, L:L, L922)</f>
        <v/>
      </c>
      <c r="F922" t="inlineStr">
        <is>
          <t>PH0002</t>
        </is>
      </c>
      <c r="G922" t="inlineStr">
        <is>
          <t>Tuyay Mon</t>
        </is>
      </c>
      <c r="H922" t="inlineStr">
        <is>
          <t>TCNz004PH:SMS NewDev</t>
        </is>
      </c>
      <c r="I922" s="1" t="n">
        <v>45933</v>
      </c>
      <c r="J922" t="n">
        <v>1.5</v>
      </c>
      <c r="L922">
        <f>IFERROR(LEFT(K922,             FIND(",", K922) - 1), "-")</f>
        <v/>
      </c>
      <c r="M922">
        <f>IFERROR(MID(K922,             FIND(",", K922) + 1, LEN(K922) - FIND(",", K922)), K922)</f>
        <v/>
      </c>
      <c r="P922" t="inlineStr">
        <is>
          <t>09:00</t>
        </is>
      </c>
      <c r="Q922" t="inlineStr">
        <is>
          <t>10:30</t>
        </is>
      </c>
    </row>
    <row r="923">
      <c r="A923" t="inlineStr">
        <is>
          <t>Tuyay Mon</t>
        </is>
      </c>
      <c r="B923" t="inlineStr">
        <is>
          <t>TCNz004PH:SMS NewDev</t>
        </is>
      </c>
      <c r="D923">
        <f>L923</f>
        <v/>
      </c>
      <c r="E923">
        <f>SUMIFS(J:J, G:G,             A923, H:H, B923, L:L, L923)</f>
        <v/>
      </c>
      <c r="F923" t="inlineStr">
        <is>
          <t>PH0002</t>
        </is>
      </c>
      <c r="G923" t="inlineStr">
        <is>
          <t>Tuyay Mon</t>
        </is>
      </c>
      <c r="H923" t="inlineStr">
        <is>
          <t>TCNz004PH:SMS NewDev</t>
        </is>
      </c>
      <c r="I923" s="1" t="n">
        <v>45933</v>
      </c>
      <c r="J923" t="n">
        <v>2</v>
      </c>
      <c r="L923">
        <f>IFERROR(LEFT(K923,             FIND(",", K923) - 1), "-")</f>
        <v/>
      </c>
      <c r="M923">
        <f>IFERROR(MID(K923,             FIND(",", K923) + 1, LEN(K923) - FIND(",", K923)), K923)</f>
        <v/>
      </c>
      <c r="P923" t="inlineStr">
        <is>
          <t>12:30</t>
        </is>
      </c>
      <c r="Q923" t="inlineStr">
        <is>
          <t>14:30</t>
        </is>
      </c>
    </row>
    <row r="924">
      <c r="A924" t="inlineStr">
        <is>
          <t>Tuyay Mon</t>
        </is>
      </c>
      <c r="B924" t="inlineStr">
        <is>
          <t>TCNz004PH:SMS NewDev</t>
        </is>
      </c>
      <c r="D924">
        <f>L924</f>
        <v/>
      </c>
      <c r="E924">
        <f>SUMIFS(J:J, G:G,             A924, H:H, B924, L:L, L924)</f>
        <v/>
      </c>
      <c r="F924" t="inlineStr">
        <is>
          <t>PH0002</t>
        </is>
      </c>
      <c r="G924" t="inlineStr">
        <is>
          <t>Tuyay Mon</t>
        </is>
      </c>
      <c r="H924" t="inlineStr">
        <is>
          <t>TCNz004PH:SMS NewDev</t>
        </is>
      </c>
      <c r="I924" s="1" t="n">
        <v>45936</v>
      </c>
      <c r="J924" t="n">
        <v>1</v>
      </c>
      <c r="L924">
        <f>IFERROR(LEFT(K924,             FIND(",", K924) - 1), "-")</f>
        <v/>
      </c>
      <c r="M924">
        <f>IFERROR(MID(K924,             FIND(",", K924) + 1, LEN(K924) - FIND(",", K924)), K924)</f>
        <v/>
      </c>
      <c r="P924" t="inlineStr">
        <is>
          <t>09:00</t>
        </is>
      </c>
      <c r="Q924" t="inlineStr">
        <is>
          <t>10:00</t>
        </is>
      </c>
    </row>
    <row r="925">
      <c r="A925" t="inlineStr">
        <is>
          <t>Tuyay Mon</t>
        </is>
      </c>
      <c r="B925" t="inlineStr">
        <is>
          <t>TCNz004PH:SMS NewDev</t>
        </is>
      </c>
      <c r="D925">
        <f>L925</f>
        <v/>
      </c>
      <c r="E925">
        <f>SUMIFS(J:J, G:G,             A925, H:H, B925, L:L, L925)</f>
        <v/>
      </c>
      <c r="F925" t="inlineStr">
        <is>
          <t>PH0002</t>
        </is>
      </c>
      <c r="G925" t="inlineStr">
        <is>
          <t>Tuyay Mon</t>
        </is>
      </c>
      <c r="H925" t="inlineStr">
        <is>
          <t>TCNz004PH:SMS NewDev</t>
        </is>
      </c>
      <c r="I925" s="1" t="n">
        <v>45936</v>
      </c>
      <c r="J925" t="n">
        <v>1.75</v>
      </c>
      <c r="L925">
        <f>IFERROR(LEFT(K925,             FIND(",", K925) - 1), "-")</f>
        <v/>
      </c>
      <c r="M925">
        <f>IFERROR(MID(K925,             FIND(",", K925) + 1, LEN(K925) - FIND(",", K925)), K925)</f>
        <v/>
      </c>
      <c r="P925" t="inlineStr">
        <is>
          <t>12:00</t>
        </is>
      </c>
      <c r="Q925" t="inlineStr">
        <is>
          <t>13:45</t>
        </is>
      </c>
    </row>
    <row r="926">
      <c r="A926" t="inlineStr">
        <is>
          <t>Tuyay Mon</t>
        </is>
      </c>
      <c r="B926" t="inlineStr">
        <is>
          <t>TCNz004PH:SMS NewDev</t>
        </is>
      </c>
      <c r="D926">
        <f>L926</f>
        <v/>
      </c>
      <c r="E926">
        <f>SUMIFS(J:J, G:G,             A926, H:H, B926, L:L, L926)</f>
        <v/>
      </c>
      <c r="F926" t="inlineStr">
        <is>
          <t>PH0002</t>
        </is>
      </c>
      <c r="G926" t="inlineStr">
        <is>
          <t>Tuyay Mon</t>
        </is>
      </c>
      <c r="H926" t="inlineStr">
        <is>
          <t>TCNz004PH:SMS NewDev</t>
        </is>
      </c>
      <c r="I926" s="1" t="n">
        <v>45937</v>
      </c>
      <c r="J926" t="n">
        <v>1.25</v>
      </c>
      <c r="L926">
        <f>IFERROR(LEFT(K926,             FIND(",", K926) - 1), "-")</f>
        <v/>
      </c>
      <c r="M926">
        <f>IFERROR(MID(K926,             FIND(",", K926) + 1, LEN(K926) - FIND(",", K926)), K926)</f>
        <v/>
      </c>
      <c r="P926" t="inlineStr">
        <is>
          <t>08:45</t>
        </is>
      </c>
      <c r="Q926" t="inlineStr">
        <is>
          <t>10:00</t>
        </is>
      </c>
    </row>
    <row r="927">
      <c r="A927" t="inlineStr">
        <is>
          <t>Tuyay Mon</t>
        </is>
      </c>
      <c r="B927" t="inlineStr">
        <is>
          <t>TCNz004PH:SMS NewDev</t>
        </is>
      </c>
      <c r="D927">
        <f>L927</f>
        <v/>
      </c>
      <c r="E927">
        <f>SUMIFS(J:J, G:G,             A927, H:H, B927, L:L, L927)</f>
        <v/>
      </c>
      <c r="F927" t="inlineStr">
        <is>
          <t>PH0002</t>
        </is>
      </c>
      <c r="G927" t="inlineStr">
        <is>
          <t>Tuyay Mon</t>
        </is>
      </c>
      <c r="H927" t="inlineStr">
        <is>
          <t>TCNz004PH:SMS NewDev</t>
        </is>
      </c>
      <c r="I927" s="1" t="n">
        <v>45937</v>
      </c>
      <c r="J927" t="n">
        <v>1.5</v>
      </c>
      <c r="L927">
        <f>IFERROR(LEFT(K927,             FIND(",", K927) - 1), "-")</f>
        <v/>
      </c>
      <c r="M927">
        <f>IFERROR(MID(K927,             FIND(",", K927) + 1, LEN(K927) - FIND(",", K927)), K927)</f>
        <v/>
      </c>
      <c r="P927" t="inlineStr">
        <is>
          <t>14:30</t>
        </is>
      </c>
      <c r="Q927" t="inlineStr">
        <is>
          <t>16:00</t>
        </is>
      </c>
    </row>
    <row r="928">
      <c r="A928" t="inlineStr">
        <is>
          <t>Tuyay Mon</t>
        </is>
      </c>
      <c r="B928" t="inlineStr">
        <is>
          <t>TCNz004PH:SMS NewDev</t>
        </is>
      </c>
      <c r="D928">
        <f>L928</f>
        <v/>
      </c>
      <c r="E928">
        <f>SUMIFS(J:J, G:G,             A928, H:H, B928, L:L, L928)</f>
        <v/>
      </c>
      <c r="F928" t="inlineStr">
        <is>
          <t>PH0002</t>
        </is>
      </c>
      <c r="G928" t="inlineStr">
        <is>
          <t>Tuyay Mon</t>
        </is>
      </c>
      <c r="H928" t="inlineStr">
        <is>
          <t>TCNz004PH:SMS NewDev</t>
        </is>
      </c>
      <c r="I928" s="1" t="n">
        <v>45938</v>
      </c>
      <c r="J928" t="n">
        <v>1.5</v>
      </c>
      <c r="L928">
        <f>IFERROR(LEFT(K928,             FIND(",", K928) - 1), "-")</f>
        <v/>
      </c>
      <c r="M928">
        <f>IFERROR(MID(K928,             FIND(",", K928) + 1, LEN(K928) - FIND(",", K928)), K928)</f>
        <v/>
      </c>
      <c r="P928" t="inlineStr">
        <is>
          <t>08:30</t>
        </is>
      </c>
      <c r="Q928" t="inlineStr">
        <is>
          <t>10:00</t>
        </is>
      </c>
    </row>
    <row r="929">
      <c r="A929" t="inlineStr">
        <is>
          <t>Tuyay Mon</t>
        </is>
      </c>
      <c r="B929" t="inlineStr">
        <is>
          <t>TCNz004PH:SMS NewDev</t>
        </is>
      </c>
      <c r="D929">
        <f>L929</f>
        <v/>
      </c>
      <c r="E929">
        <f>SUMIFS(J:J, G:G,             A929, H:H, B929, L:L, L929)</f>
        <v/>
      </c>
      <c r="F929" t="inlineStr">
        <is>
          <t>PH0002</t>
        </is>
      </c>
      <c r="G929" t="inlineStr">
        <is>
          <t>Tuyay Mon</t>
        </is>
      </c>
      <c r="H929" t="inlineStr">
        <is>
          <t>TCNz004PH:SMS NewDev</t>
        </is>
      </c>
      <c r="I929" s="1" t="n">
        <v>45938</v>
      </c>
      <c r="J929" t="n">
        <v>1.75</v>
      </c>
      <c r="L929">
        <f>IFERROR(LEFT(K929,             FIND(",", K929) - 1), "-")</f>
        <v/>
      </c>
      <c r="M929">
        <f>IFERROR(MID(K929,             FIND(",", K929) + 1, LEN(K929) - FIND(",", K929)), K929)</f>
        <v/>
      </c>
      <c r="P929" t="inlineStr">
        <is>
          <t>12:00</t>
        </is>
      </c>
      <c r="Q929" t="inlineStr">
        <is>
          <t>13:45</t>
        </is>
      </c>
    </row>
    <row r="930">
      <c r="A930" t="inlineStr">
        <is>
          <t>Tuyay Mon</t>
        </is>
      </c>
      <c r="B930" t="inlineStr">
        <is>
          <t>TCNz004PH:SMS NewDev</t>
        </is>
      </c>
      <c r="D930">
        <f>L930</f>
        <v/>
      </c>
      <c r="E930">
        <f>SUMIFS(J:J, G:G,             A930, H:H, B930, L:L, L930)</f>
        <v/>
      </c>
      <c r="F930" t="inlineStr">
        <is>
          <t>PH0002</t>
        </is>
      </c>
      <c r="G930" t="inlineStr">
        <is>
          <t>Tuyay Mon</t>
        </is>
      </c>
      <c r="H930" t="inlineStr">
        <is>
          <t>TCNz004PH:SMS NewDev</t>
        </is>
      </c>
      <c r="I930" s="1" t="n">
        <v>45938</v>
      </c>
      <c r="J930" t="n">
        <v>0.75</v>
      </c>
      <c r="L930">
        <f>IFERROR(LEFT(K930,             FIND(",", K930) - 1), "-")</f>
        <v/>
      </c>
      <c r="M930">
        <f>IFERROR(MID(K930,             FIND(",", K930) + 1, LEN(K930) - FIND(",", K930)), K930)</f>
        <v/>
      </c>
      <c r="P930" t="inlineStr">
        <is>
          <t>16:15</t>
        </is>
      </c>
      <c r="Q930" t="inlineStr">
        <is>
          <t>17:00</t>
        </is>
      </c>
    </row>
    <row r="931">
      <c r="A931" t="inlineStr">
        <is>
          <t>Tuyay Mon</t>
        </is>
      </c>
      <c r="B931" t="inlineStr">
        <is>
          <t>TCNz004PH:SMS NewDev</t>
        </is>
      </c>
      <c r="D931">
        <f>L931</f>
        <v/>
      </c>
      <c r="E931">
        <f>SUMIFS(J:J, G:G,             A931, H:H, B931, L:L, L931)</f>
        <v/>
      </c>
      <c r="F931" t="inlineStr">
        <is>
          <t>PH0002</t>
        </is>
      </c>
      <c r="G931" t="inlineStr">
        <is>
          <t>Tuyay Mon</t>
        </is>
      </c>
      <c r="H931" t="inlineStr">
        <is>
          <t>TCNz004PH:SMS NewDev</t>
        </is>
      </c>
      <c r="I931" s="1" t="n">
        <v>45939</v>
      </c>
      <c r="J931" t="n">
        <v>0.75</v>
      </c>
      <c r="L931">
        <f>IFERROR(LEFT(K931,             FIND(",", K931) - 1), "-")</f>
        <v/>
      </c>
      <c r="M931">
        <f>IFERROR(MID(K931,             FIND(",", K931) + 1, LEN(K931) - FIND(",", K931)), K931)</f>
        <v/>
      </c>
      <c r="P931" t="inlineStr">
        <is>
          <t>10:15</t>
        </is>
      </c>
      <c r="Q931" t="inlineStr">
        <is>
          <t>11:00</t>
        </is>
      </c>
    </row>
    <row r="932">
      <c r="A932" t="inlineStr">
        <is>
          <t>Tuyay Mon</t>
        </is>
      </c>
      <c r="B932" t="inlineStr">
        <is>
          <t>TCNz004PH:SMS NewDev</t>
        </is>
      </c>
      <c r="D932">
        <f>L932</f>
        <v/>
      </c>
      <c r="E932">
        <f>SUMIFS(J:J, G:G,             A932, H:H, B932, L:L, L932)</f>
        <v/>
      </c>
      <c r="F932" t="inlineStr">
        <is>
          <t>PH0002</t>
        </is>
      </c>
      <c r="G932" t="inlineStr">
        <is>
          <t>Tuyay Mon</t>
        </is>
      </c>
      <c r="H932" t="inlineStr">
        <is>
          <t>TCNz004PH:SMS NewDev</t>
        </is>
      </c>
      <c r="I932" s="1" t="n">
        <v>45939</v>
      </c>
      <c r="J932" t="n">
        <v>2</v>
      </c>
      <c r="L932">
        <f>IFERROR(LEFT(K932,             FIND(",", K932) - 1), "-")</f>
        <v/>
      </c>
      <c r="M932">
        <f>IFERROR(MID(K932,             FIND(",", K932) + 1, LEN(K932) - FIND(",", K932)), K932)</f>
        <v/>
      </c>
      <c r="P932" t="inlineStr">
        <is>
          <t>14:00</t>
        </is>
      </c>
      <c r="Q932" t="inlineStr">
        <is>
          <t>16:00</t>
        </is>
      </c>
    </row>
    <row r="933">
      <c r="A933" t="inlineStr">
        <is>
          <t>Tuyay Mon</t>
        </is>
      </c>
      <c r="B933" t="inlineStr">
        <is>
          <t>TCNz004PH:SMS NewDev</t>
        </is>
      </c>
      <c r="D933">
        <f>L933</f>
        <v/>
      </c>
      <c r="E933">
        <f>SUMIFS(J:J, G:G,             A933, H:H, B933, L:L, L933)</f>
        <v/>
      </c>
      <c r="F933" t="inlineStr">
        <is>
          <t>PH0002</t>
        </is>
      </c>
      <c r="G933" t="inlineStr">
        <is>
          <t>Tuyay Mon</t>
        </is>
      </c>
      <c r="H933" t="inlineStr">
        <is>
          <t>TCNz004PH:SMS NewDev</t>
        </is>
      </c>
      <c r="I933" s="1" t="n">
        <v>45940</v>
      </c>
      <c r="J933" t="n">
        <v>1</v>
      </c>
      <c r="L933">
        <f>IFERROR(LEFT(K933,             FIND(",", K933) - 1), "-")</f>
        <v/>
      </c>
      <c r="M933">
        <f>IFERROR(MID(K933,             FIND(",", K933) + 1, LEN(K933) - FIND(",", K933)), K933)</f>
        <v/>
      </c>
      <c r="P933" t="inlineStr">
        <is>
          <t>08:30</t>
        </is>
      </c>
      <c r="Q933" t="inlineStr">
        <is>
          <t>09:30</t>
        </is>
      </c>
    </row>
    <row r="934">
      <c r="A934" t="inlineStr">
        <is>
          <t>Tuyay Mon</t>
        </is>
      </c>
      <c r="B934" t="inlineStr">
        <is>
          <t>TCNz004PH:SMS NewDev</t>
        </is>
      </c>
      <c r="D934">
        <f>L934</f>
        <v/>
      </c>
      <c r="E934">
        <f>SUMIFS(J:J, G:G,             A934, H:H, B934, L:L, L934)</f>
        <v/>
      </c>
      <c r="F934" t="inlineStr">
        <is>
          <t>PH0002</t>
        </is>
      </c>
      <c r="G934" t="inlineStr">
        <is>
          <t>Tuyay Mon</t>
        </is>
      </c>
      <c r="H934" t="inlineStr">
        <is>
          <t>TCNz004PH:SMS NewDev</t>
        </is>
      </c>
      <c r="I934" s="1" t="n">
        <v>45940</v>
      </c>
      <c r="J934" t="n">
        <v>0.75</v>
      </c>
      <c r="L934">
        <f>IFERROR(LEFT(K934,             FIND(",", K934) - 1), "-")</f>
        <v/>
      </c>
      <c r="M934">
        <f>IFERROR(MID(K934,             FIND(",", K934) + 1, LEN(K934) - FIND(",", K934)), K934)</f>
        <v/>
      </c>
      <c r="P934" t="inlineStr">
        <is>
          <t>10:15</t>
        </is>
      </c>
      <c r="Q934" t="inlineStr">
        <is>
          <t>11:00</t>
        </is>
      </c>
    </row>
    <row r="935">
      <c r="A935" t="inlineStr">
        <is>
          <t>Tuyay Mon</t>
        </is>
      </c>
      <c r="B935" t="inlineStr">
        <is>
          <t>TCNz004PH:SMS NewDev</t>
        </is>
      </c>
      <c r="D935">
        <f>L935</f>
        <v/>
      </c>
      <c r="E935">
        <f>SUMIFS(J:J, G:G,             A935, H:H, B935, L:L, L935)</f>
        <v/>
      </c>
      <c r="F935" t="inlineStr">
        <is>
          <t>PH0002</t>
        </is>
      </c>
      <c r="G935" t="inlineStr">
        <is>
          <t>Tuyay Mon</t>
        </is>
      </c>
      <c r="H935" t="inlineStr">
        <is>
          <t>TCNz004PH:SMS NewDev</t>
        </is>
      </c>
      <c r="I935" s="1" t="n">
        <v>45940</v>
      </c>
      <c r="J935" t="n">
        <v>2.5</v>
      </c>
      <c r="L935">
        <f>IFERROR(LEFT(K935,             FIND(",", K935) - 1), "-")</f>
        <v/>
      </c>
      <c r="M935">
        <f>IFERROR(MID(K935,             FIND(",", K935) + 1, LEN(K935) - FIND(",", K935)), K935)</f>
        <v/>
      </c>
      <c r="P935" t="inlineStr">
        <is>
          <t>15:30</t>
        </is>
      </c>
      <c r="Q935" t="inlineStr">
        <is>
          <t>18:00</t>
        </is>
      </c>
    </row>
    <row r="936">
      <c r="A936" t="inlineStr">
        <is>
          <t>Tuyay Mon</t>
        </is>
      </c>
      <c r="B936" t="inlineStr">
        <is>
          <t>TCNz004PH:SMS NewDev</t>
        </is>
      </c>
      <c r="D936">
        <f>L936</f>
        <v/>
      </c>
      <c r="E936">
        <f>SUMIFS(J:J, G:G,             A936, H:H, B936, L:L, L936)</f>
        <v/>
      </c>
      <c r="F936" t="inlineStr">
        <is>
          <t>PH0002</t>
        </is>
      </c>
      <c r="G936" t="inlineStr">
        <is>
          <t>Tuyay Mon</t>
        </is>
      </c>
      <c r="H936" t="inlineStr">
        <is>
          <t>TCNz004PH:SMS NewDev</t>
        </is>
      </c>
      <c r="I936" s="1" t="n">
        <v>45943</v>
      </c>
      <c r="J936" t="n">
        <v>1.75</v>
      </c>
      <c r="L936">
        <f>IFERROR(LEFT(K936,             FIND(",", K936) - 1), "-")</f>
        <v/>
      </c>
      <c r="M936">
        <f>IFERROR(MID(K936,             FIND(",", K936) + 1, LEN(K936) - FIND(",", K936)), K936)</f>
        <v/>
      </c>
      <c r="P936" t="inlineStr">
        <is>
          <t>08:45</t>
        </is>
      </c>
      <c r="Q936" t="inlineStr">
        <is>
          <t>10:30</t>
        </is>
      </c>
    </row>
    <row r="937">
      <c r="A937" t="inlineStr">
        <is>
          <t>Tuyay Mon</t>
        </is>
      </c>
      <c r="B937" t="inlineStr">
        <is>
          <t>TCNz004PH:SMS NewDev</t>
        </is>
      </c>
      <c r="D937">
        <f>L937</f>
        <v/>
      </c>
      <c r="E937">
        <f>SUMIFS(J:J, G:G,             A937, H:H, B937, L:L, L937)</f>
        <v/>
      </c>
      <c r="F937" t="inlineStr">
        <is>
          <t>PH0002</t>
        </is>
      </c>
      <c r="G937" t="inlineStr">
        <is>
          <t>Tuyay Mon</t>
        </is>
      </c>
      <c r="H937" t="inlineStr">
        <is>
          <t>TCNz004PH:SMS NewDev</t>
        </is>
      </c>
      <c r="I937" s="1" t="n">
        <v>45943</v>
      </c>
      <c r="J937" t="n">
        <v>1</v>
      </c>
      <c r="L937">
        <f>IFERROR(LEFT(K937,             FIND(",", K937) - 1), "-")</f>
        <v/>
      </c>
      <c r="M937">
        <f>IFERROR(MID(K937,             FIND(",", K937) + 1, LEN(K937) - FIND(",", K937)), K937)</f>
        <v/>
      </c>
      <c r="P937" t="inlineStr">
        <is>
          <t>14:00</t>
        </is>
      </c>
      <c r="Q937" t="inlineStr">
        <is>
          <t>15:00</t>
        </is>
      </c>
    </row>
    <row r="938">
      <c r="A938" t="inlineStr">
        <is>
          <t>Tuyay Mon</t>
        </is>
      </c>
      <c r="B938" t="inlineStr">
        <is>
          <t>TCNz004PH:SMS NewDev</t>
        </is>
      </c>
      <c r="D938">
        <f>L938</f>
        <v/>
      </c>
      <c r="E938">
        <f>SUMIFS(J:J, G:G,             A938, H:H, B938, L:L, L938)</f>
        <v/>
      </c>
      <c r="F938" t="inlineStr">
        <is>
          <t>PH0002</t>
        </is>
      </c>
      <c r="G938" t="inlineStr">
        <is>
          <t>Tuyay Mon</t>
        </is>
      </c>
      <c r="H938" t="inlineStr">
        <is>
          <t>TCNz004PH:SMS NewDev</t>
        </is>
      </c>
      <c r="I938" s="1" t="n">
        <v>45943</v>
      </c>
      <c r="J938" t="n">
        <v>1.25</v>
      </c>
      <c r="L938">
        <f>IFERROR(LEFT(K938,             FIND(",", K938) - 1), "-")</f>
        <v/>
      </c>
      <c r="M938">
        <f>IFERROR(MID(K938,             FIND(",", K938) + 1, LEN(K938) - FIND(",", K938)), K938)</f>
        <v/>
      </c>
      <c r="P938" t="inlineStr">
        <is>
          <t>16:00</t>
        </is>
      </c>
      <c r="Q938" t="inlineStr">
        <is>
          <t>17:15</t>
        </is>
      </c>
    </row>
    <row r="939">
      <c r="A939" t="inlineStr">
        <is>
          <t>Tuyay Mon</t>
        </is>
      </c>
      <c r="B939" t="inlineStr">
        <is>
          <t>TCNz004PH:SMS NewDev</t>
        </is>
      </c>
      <c r="D939">
        <f>L939</f>
        <v/>
      </c>
      <c r="E939">
        <f>SUMIFS(J:J, G:G,             A939, H:H, B939, L:L, L939)</f>
        <v/>
      </c>
      <c r="F939" t="inlineStr">
        <is>
          <t>PH0002</t>
        </is>
      </c>
      <c r="G939" t="inlineStr">
        <is>
          <t>Tuyay Mon</t>
        </is>
      </c>
      <c r="H939" t="inlineStr">
        <is>
          <t>TCNz004PH:SMS NewDev</t>
        </is>
      </c>
      <c r="I939" s="1" t="n">
        <v>45944</v>
      </c>
      <c r="J939" t="n">
        <v>1.5</v>
      </c>
      <c r="L939">
        <f>IFERROR(LEFT(K939,             FIND(",", K939) - 1), "-")</f>
        <v/>
      </c>
      <c r="M939">
        <f>IFERROR(MID(K939,             FIND(",", K939) + 1, LEN(K939) - FIND(",", K939)), K939)</f>
        <v/>
      </c>
      <c r="P939" t="inlineStr">
        <is>
          <t>08:30</t>
        </is>
      </c>
      <c r="Q939" t="inlineStr">
        <is>
          <t>10:00</t>
        </is>
      </c>
    </row>
    <row r="940">
      <c r="A940" t="inlineStr">
        <is>
          <t>Tuyay Mon</t>
        </is>
      </c>
      <c r="B940" t="inlineStr">
        <is>
          <t>TCNz004PH:SMS NewDev</t>
        </is>
      </c>
      <c r="D940">
        <f>L940</f>
        <v/>
      </c>
      <c r="E940">
        <f>SUMIFS(J:J, G:G,             A940, H:H, B940, L:L, L940)</f>
        <v/>
      </c>
      <c r="F940" t="inlineStr">
        <is>
          <t>PH0002</t>
        </is>
      </c>
      <c r="G940" t="inlineStr">
        <is>
          <t>Tuyay Mon</t>
        </is>
      </c>
      <c r="H940" t="inlineStr">
        <is>
          <t>TCNz004PH:SMS NewDev</t>
        </is>
      </c>
      <c r="I940" s="1" t="n">
        <v>45944</v>
      </c>
      <c r="J940" t="n">
        <v>1</v>
      </c>
      <c r="L940">
        <f>IFERROR(LEFT(K940,             FIND(",", K940) - 1), "-")</f>
        <v/>
      </c>
      <c r="M940">
        <f>IFERROR(MID(K940,             FIND(",", K940) + 1, LEN(K940) - FIND(",", K940)), K940)</f>
        <v/>
      </c>
      <c r="P940" t="inlineStr">
        <is>
          <t>12:00</t>
        </is>
      </c>
      <c r="Q940" t="inlineStr">
        <is>
          <t>13:00</t>
        </is>
      </c>
    </row>
    <row r="941">
      <c r="A941" t="inlineStr">
        <is>
          <t>Tuyay Mon</t>
        </is>
      </c>
      <c r="B941" t="inlineStr">
        <is>
          <t>TCNz004PH:SMS NewDev</t>
        </is>
      </c>
      <c r="D941">
        <f>L941</f>
        <v/>
      </c>
      <c r="E941">
        <f>SUMIFS(J:J, G:G,             A941, H:H, B941, L:L, L941)</f>
        <v/>
      </c>
      <c r="F941" t="inlineStr">
        <is>
          <t>PH0002</t>
        </is>
      </c>
      <c r="G941" t="inlineStr">
        <is>
          <t>Tuyay Mon</t>
        </is>
      </c>
      <c r="H941" t="inlineStr">
        <is>
          <t>TCNz004PH:SMS NewDev</t>
        </is>
      </c>
      <c r="I941" s="1" t="n">
        <v>45944</v>
      </c>
      <c r="J941" t="n">
        <v>3</v>
      </c>
      <c r="L941">
        <f>IFERROR(LEFT(K941,             FIND(",", K941) - 1), "-")</f>
        <v/>
      </c>
      <c r="M941">
        <f>IFERROR(MID(K941,             FIND(",", K941) + 1, LEN(K941) - FIND(",", K941)), K941)</f>
        <v/>
      </c>
      <c r="P941" t="inlineStr">
        <is>
          <t>15:00</t>
        </is>
      </c>
      <c r="Q941" t="inlineStr">
        <is>
          <t>18:00</t>
        </is>
      </c>
    </row>
    <row r="942">
      <c r="A942" t="inlineStr">
        <is>
          <t>Tuyay Mon</t>
        </is>
      </c>
      <c r="B942" t="inlineStr">
        <is>
          <t>TCNz004PH:SMS NewDev</t>
        </is>
      </c>
      <c r="D942">
        <f>L942</f>
        <v/>
      </c>
      <c r="E942">
        <f>SUMIFS(J:J, G:G,             A942, H:H, B942, L:L, L942)</f>
        <v/>
      </c>
      <c r="F942" t="inlineStr">
        <is>
          <t>PH0002</t>
        </is>
      </c>
      <c r="G942" t="inlineStr">
        <is>
          <t>Tuyay Mon</t>
        </is>
      </c>
      <c r="H942" t="inlineStr">
        <is>
          <t>TCNz004PH:SMS NewDev</t>
        </is>
      </c>
      <c r="I942" s="1" t="n">
        <v>45945</v>
      </c>
      <c r="J942" t="n">
        <v>1</v>
      </c>
      <c r="L942">
        <f>IFERROR(LEFT(K942,             FIND(",", K942) - 1), "-")</f>
        <v/>
      </c>
      <c r="M942">
        <f>IFERROR(MID(K942,             FIND(",", K942) + 1, LEN(K942) - FIND(",", K942)), K942)</f>
        <v/>
      </c>
      <c r="P942" t="inlineStr">
        <is>
          <t>08:30</t>
        </is>
      </c>
      <c r="Q942" t="inlineStr">
        <is>
          <t>09:30</t>
        </is>
      </c>
    </row>
    <row r="943">
      <c r="A943" t="inlineStr">
        <is>
          <t>Tuyay Mon</t>
        </is>
      </c>
      <c r="B943" t="inlineStr">
        <is>
          <t>TCNz004PH:SMS NewDev</t>
        </is>
      </c>
      <c r="D943">
        <f>L943</f>
        <v/>
      </c>
      <c r="E943">
        <f>SUMIFS(J:J, G:G,             A943, H:H, B943, L:L, L943)</f>
        <v/>
      </c>
      <c r="F943" t="inlineStr">
        <is>
          <t>PH0002</t>
        </is>
      </c>
      <c r="G943" t="inlineStr">
        <is>
          <t>Tuyay Mon</t>
        </is>
      </c>
      <c r="H943" t="inlineStr">
        <is>
          <t>TCNz004PH:SMS NewDev</t>
        </is>
      </c>
      <c r="I943" s="1" t="n">
        <v>45945</v>
      </c>
      <c r="J943" t="n">
        <v>1</v>
      </c>
      <c r="L943">
        <f>IFERROR(LEFT(K943,             FIND(",", K943) - 1), "-")</f>
        <v/>
      </c>
      <c r="M943">
        <f>IFERROR(MID(K943,             FIND(",", K943) + 1, LEN(K943) - FIND(",", K943)), K943)</f>
        <v/>
      </c>
      <c r="P943" t="inlineStr">
        <is>
          <t>12:00</t>
        </is>
      </c>
      <c r="Q943" t="inlineStr">
        <is>
          <t>13:00</t>
        </is>
      </c>
    </row>
    <row r="944">
      <c r="A944" t="inlineStr">
        <is>
          <t>Tuyay Mon</t>
        </is>
      </c>
      <c r="B944" t="inlineStr">
        <is>
          <t>TCNz004PH:SMS NewDev</t>
        </is>
      </c>
      <c r="D944">
        <f>L944</f>
        <v/>
      </c>
      <c r="E944">
        <f>SUMIFS(J:J, G:G,             A944, H:H, B944, L:L, L944)</f>
        <v/>
      </c>
      <c r="F944" t="inlineStr">
        <is>
          <t>PH0002</t>
        </is>
      </c>
      <c r="G944" t="inlineStr">
        <is>
          <t>Tuyay Mon</t>
        </is>
      </c>
      <c r="H944" t="inlineStr">
        <is>
          <t>TCNz004PH:SMS NewDev</t>
        </is>
      </c>
      <c r="I944" s="1" t="n">
        <v>45945</v>
      </c>
      <c r="J944" t="n">
        <v>1.5</v>
      </c>
      <c r="L944">
        <f>IFERROR(LEFT(K944,             FIND(",", K944) - 1), "-")</f>
        <v/>
      </c>
      <c r="M944">
        <f>IFERROR(MID(K944,             FIND(",", K944) + 1, LEN(K944) - FIND(",", K944)), K944)</f>
        <v/>
      </c>
      <c r="P944" t="inlineStr">
        <is>
          <t>13:45</t>
        </is>
      </c>
      <c r="Q944" t="inlineStr">
        <is>
          <t>15:15</t>
        </is>
      </c>
    </row>
    <row r="945">
      <c r="A945" t="inlineStr">
        <is>
          <t>Tuyay Mon</t>
        </is>
      </c>
      <c r="B945" t="inlineStr">
        <is>
          <t>TCNz004PH:SMS NewDev</t>
        </is>
      </c>
      <c r="D945">
        <f>L945</f>
        <v/>
      </c>
      <c r="E945">
        <f>SUMIFS(J:J, G:G,             A945, H:H, B945, L:L, L945)</f>
        <v/>
      </c>
      <c r="F945" t="inlineStr">
        <is>
          <t>PH0002</t>
        </is>
      </c>
      <c r="G945" t="inlineStr">
        <is>
          <t>Tuyay Mon</t>
        </is>
      </c>
      <c r="H945" t="inlineStr">
        <is>
          <t>TCNz004PH:SMS NewDev</t>
        </is>
      </c>
      <c r="I945" s="1" t="n">
        <v>45945</v>
      </c>
      <c r="J945" t="n">
        <v>0.5</v>
      </c>
      <c r="L945">
        <f>IFERROR(LEFT(K945,             FIND(",", K945) - 1), "-")</f>
        <v/>
      </c>
      <c r="M945">
        <f>IFERROR(MID(K945,             FIND(",", K945) + 1, LEN(K945) - FIND(",", K945)), K945)</f>
        <v/>
      </c>
      <c r="P945" t="inlineStr">
        <is>
          <t>16:00</t>
        </is>
      </c>
      <c r="Q945" t="inlineStr">
        <is>
          <t>16:30</t>
        </is>
      </c>
    </row>
    <row r="946">
      <c r="A946" t="inlineStr">
        <is>
          <t>Tuyay Mon</t>
        </is>
      </c>
      <c r="B946" t="inlineStr">
        <is>
          <t>TCNz004PH:SMS NewDev</t>
        </is>
      </c>
      <c r="D946">
        <f>L946</f>
        <v/>
      </c>
      <c r="E946">
        <f>SUMIFS(J:J, G:G,             A946, H:H, B946, L:L, L946)</f>
        <v/>
      </c>
      <c r="F946" t="inlineStr">
        <is>
          <t>PH0002</t>
        </is>
      </c>
      <c r="G946" t="inlineStr">
        <is>
          <t>Tuyay Mon</t>
        </is>
      </c>
      <c r="H946" t="inlineStr">
        <is>
          <t>TCNz004PH:SMS NewDev</t>
        </is>
      </c>
      <c r="I946" s="1" t="n">
        <v>45946</v>
      </c>
      <c r="J946" t="n">
        <v>1.5</v>
      </c>
      <c r="L946">
        <f>IFERROR(LEFT(K946,             FIND(",", K946) - 1), "-")</f>
        <v/>
      </c>
      <c r="M946">
        <f>IFERROR(MID(K946,             FIND(",", K946) + 1, LEN(K946) - FIND(",", K946)), K946)</f>
        <v/>
      </c>
      <c r="P946" t="inlineStr">
        <is>
          <t>09:30</t>
        </is>
      </c>
      <c r="Q946" t="inlineStr">
        <is>
          <t>11:00</t>
        </is>
      </c>
    </row>
    <row r="947">
      <c r="A947" t="inlineStr">
        <is>
          <t>Tuyay Mon</t>
        </is>
      </c>
      <c r="B947" t="inlineStr">
        <is>
          <t>TCNz004PH:SMS NewDev</t>
        </is>
      </c>
      <c r="D947">
        <f>L947</f>
        <v/>
      </c>
      <c r="E947">
        <f>SUMIFS(J:J, G:G,             A947, H:H, B947, L:L, L947)</f>
        <v/>
      </c>
      <c r="F947" t="inlineStr">
        <is>
          <t>PH0002</t>
        </is>
      </c>
      <c r="G947" t="inlineStr">
        <is>
          <t>Tuyay Mon</t>
        </is>
      </c>
      <c r="H947" t="inlineStr">
        <is>
          <t>TCNz004PH:SMS NewDev</t>
        </is>
      </c>
      <c r="I947" s="1" t="n">
        <v>45946</v>
      </c>
      <c r="J947" t="n">
        <v>3.5</v>
      </c>
      <c r="L947">
        <f>IFERROR(LEFT(K947,             FIND(",", K947) - 1), "-")</f>
        <v/>
      </c>
      <c r="M947">
        <f>IFERROR(MID(K947,             FIND(",", K947) + 1, LEN(K947) - FIND(",", K947)), K947)</f>
        <v/>
      </c>
      <c r="P947" t="inlineStr">
        <is>
          <t>13:15</t>
        </is>
      </c>
      <c r="Q947" t="inlineStr">
        <is>
          <t>16:45</t>
        </is>
      </c>
    </row>
    <row r="948">
      <c r="A948" t="inlineStr">
        <is>
          <t>Tuyay Mon</t>
        </is>
      </c>
      <c r="B948" t="inlineStr">
        <is>
          <t>TCNz004PH:SMS NewDev</t>
        </is>
      </c>
      <c r="D948">
        <f>L948</f>
        <v/>
      </c>
      <c r="E948">
        <f>SUMIFS(J:J, G:G,             A948, H:H, B948, L:L, L948)</f>
        <v/>
      </c>
      <c r="F948" t="inlineStr">
        <is>
          <t>PH0002</t>
        </is>
      </c>
      <c r="G948" t="inlineStr">
        <is>
          <t>Tuyay Mon</t>
        </is>
      </c>
      <c r="H948" t="inlineStr">
        <is>
          <t>TCNz004PH:SMS NewDev</t>
        </is>
      </c>
      <c r="I948" s="1" t="n">
        <v>45947</v>
      </c>
      <c r="J948" t="n">
        <v>1</v>
      </c>
      <c r="L948">
        <f>IFERROR(LEFT(K948,             FIND(",", K948) - 1), "-")</f>
        <v/>
      </c>
      <c r="M948">
        <f>IFERROR(MID(K948,             FIND(",", K948) + 1, LEN(K948) - FIND(",", K948)), K948)</f>
        <v/>
      </c>
      <c r="P948" t="inlineStr">
        <is>
          <t>08:30</t>
        </is>
      </c>
      <c r="Q948" t="inlineStr">
        <is>
          <t>09:30</t>
        </is>
      </c>
    </row>
    <row r="949">
      <c r="A949" t="inlineStr">
        <is>
          <t>Tuyay Mon</t>
        </is>
      </c>
      <c r="B949" t="inlineStr">
        <is>
          <t>TCNz004PH:SMS NewDev</t>
        </is>
      </c>
      <c r="D949">
        <f>L949</f>
        <v/>
      </c>
      <c r="E949">
        <f>SUMIFS(J:J, G:G,             A949, H:H, B949, L:L, L949)</f>
        <v/>
      </c>
      <c r="F949" t="inlineStr">
        <is>
          <t>PH0002</t>
        </is>
      </c>
      <c r="G949" t="inlineStr">
        <is>
          <t>Tuyay Mon</t>
        </is>
      </c>
      <c r="H949" t="inlineStr">
        <is>
          <t>TCNz004PH:SMS NewDev</t>
        </is>
      </c>
      <c r="I949" s="1" t="n">
        <v>45947</v>
      </c>
      <c r="J949" t="n">
        <v>0.5</v>
      </c>
      <c r="L949">
        <f>IFERROR(LEFT(K949,             FIND(",", K949) - 1), "-")</f>
        <v/>
      </c>
      <c r="M949">
        <f>IFERROR(MID(K949,             FIND(",", K949) + 1, LEN(K949) - FIND(",", K949)), K949)</f>
        <v/>
      </c>
      <c r="P949" t="inlineStr">
        <is>
          <t>10:30</t>
        </is>
      </c>
      <c r="Q949" t="inlineStr">
        <is>
          <t>11:00</t>
        </is>
      </c>
    </row>
    <row r="950">
      <c r="A950" t="inlineStr">
        <is>
          <t>Tuyay Mon</t>
        </is>
      </c>
      <c r="B950" t="inlineStr">
        <is>
          <t>TCNz004PH:SMS NewDev</t>
        </is>
      </c>
      <c r="D950">
        <f>L950</f>
        <v/>
      </c>
      <c r="E950">
        <f>SUMIFS(J:J, G:G,             A950, H:H, B950, L:L, L950)</f>
        <v/>
      </c>
      <c r="F950" t="inlineStr">
        <is>
          <t>PH0002</t>
        </is>
      </c>
      <c r="G950" t="inlineStr">
        <is>
          <t>Tuyay Mon</t>
        </is>
      </c>
      <c r="H950" t="inlineStr">
        <is>
          <t>TCNz004PH:SMS NewDev</t>
        </is>
      </c>
      <c r="I950" s="1" t="n">
        <v>45947</v>
      </c>
      <c r="J950" t="n">
        <v>1.5</v>
      </c>
      <c r="L950">
        <f>IFERROR(LEFT(K950,             FIND(",", K950) - 1), "-")</f>
        <v/>
      </c>
      <c r="M950">
        <f>IFERROR(MID(K950,             FIND(",", K950) + 1, LEN(K950) - FIND(",", K950)), K950)</f>
        <v/>
      </c>
      <c r="P950" t="inlineStr">
        <is>
          <t>12:00</t>
        </is>
      </c>
      <c r="Q950" t="inlineStr">
        <is>
          <t>13:30</t>
        </is>
      </c>
    </row>
    <row r="951">
      <c r="A951" t="inlineStr">
        <is>
          <t>Tuyay Mon</t>
        </is>
      </c>
      <c r="B951" t="inlineStr">
        <is>
          <t>TCNz004PH:SMS NewDev</t>
        </is>
      </c>
      <c r="D951">
        <f>L951</f>
        <v/>
      </c>
      <c r="E951">
        <f>SUMIFS(J:J, G:G,             A951, H:H, B951, L:L, L951)</f>
        <v/>
      </c>
      <c r="F951" t="inlineStr">
        <is>
          <t>PH0002</t>
        </is>
      </c>
      <c r="G951" t="inlineStr">
        <is>
          <t>Tuyay Mon</t>
        </is>
      </c>
      <c r="H951" t="inlineStr">
        <is>
          <t>TCNz004PH:SMS NewDev</t>
        </is>
      </c>
      <c r="I951" s="1" t="n">
        <v>45947</v>
      </c>
      <c r="J951" t="n">
        <v>0.75</v>
      </c>
      <c r="L951">
        <f>IFERROR(LEFT(K951,             FIND(",", K951) - 1), "-")</f>
        <v/>
      </c>
      <c r="M951">
        <f>IFERROR(MID(K951,             FIND(",", K951) + 1, LEN(K951) - FIND(",", K951)), K951)</f>
        <v/>
      </c>
      <c r="P951" t="inlineStr">
        <is>
          <t>15:30</t>
        </is>
      </c>
      <c r="Q951" t="inlineStr">
        <is>
          <t>16:15</t>
        </is>
      </c>
    </row>
    <row r="952">
      <c r="A952" t="inlineStr">
        <is>
          <t>Tuyay Mon</t>
        </is>
      </c>
      <c r="B952" t="inlineStr">
        <is>
          <t>TCNz004PH:SMS NewDev</t>
        </is>
      </c>
      <c r="D952">
        <f>L952</f>
        <v/>
      </c>
      <c r="E952">
        <f>SUMIFS(J:J, G:G,             A952, H:H, B952, L:L, L952)</f>
        <v/>
      </c>
      <c r="F952" t="inlineStr">
        <is>
          <t>PH0002</t>
        </is>
      </c>
      <c r="G952" t="inlineStr">
        <is>
          <t>Tuyay Mon</t>
        </is>
      </c>
      <c r="H952" t="inlineStr">
        <is>
          <t>TCNz004PH:SMS NewDev</t>
        </is>
      </c>
      <c r="I952" s="1" t="n">
        <v>45950</v>
      </c>
      <c r="J952" t="n">
        <v>1</v>
      </c>
      <c r="L952">
        <f>IFERROR(LEFT(K952,             FIND(",", K952) - 1), "-")</f>
        <v/>
      </c>
      <c r="M952">
        <f>IFERROR(MID(K952,             FIND(",", K952) + 1, LEN(K952) - FIND(",", K952)), K952)</f>
        <v/>
      </c>
      <c r="P952" t="inlineStr">
        <is>
          <t>09:00</t>
        </is>
      </c>
      <c r="Q952" t="inlineStr">
        <is>
          <t>10:00</t>
        </is>
      </c>
    </row>
    <row r="953">
      <c r="A953" t="inlineStr">
        <is>
          <t>Tuyay Mon</t>
        </is>
      </c>
      <c r="B953" t="inlineStr">
        <is>
          <t>TCNz004PH:SMS NewDev</t>
        </is>
      </c>
      <c r="D953">
        <f>L953</f>
        <v/>
      </c>
      <c r="E953">
        <f>SUMIFS(J:J, G:G,             A953, H:H, B953, L:L, L953)</f>
        <v/>
      </c>
      <c r="F953" t="inlineStr">
        <is>
          <t>PH0002</t>
        </is>
      </c>
      <c r="G953" t="inlineStr">
        <is>
          <t>Tuyay Mon</t>
        </is>
      </c>
      <c r="H953" t="inlineStr">
        <is>
          <t>TCNz004PH:SMS NewDev</t>
        </is>
      </c>
      <c r="I953" s="1" t="n">
        <v>45950</v>
      </c>
      <c r="J953" t="n">
        <v>2</v>
      </c>
      <c r="L953">
        <f>IFERROR(LEFT(K953,             FIND(",", K953) - 1), "-")</f>
        <v/>
      </c>
      <c r="M953">
        <f>IFERROR(MID(K953,             FIND(",", K953) + 1, LEN(K953) - FIND(",", K953)), K953)</f>
        <v/>
      </c>
      <c r="P953" t="inlineStr">
        <is>
          <t>12:00</t>
        </is>
      </c>
      <c r="Q953" t="inlineStr">
        <is>
          <t>14:00</t>
        </is>
      </c>
    </row>
    <row r="954">
      <c r="A954" t="inlineStr">
        <is>
          <t>Tuyay Mon</t>
        </is>
      </c>
      <c r="B954" t="inlineStr">
        <is>
          <t>TCNz004PH:SMS NewDev</t>
        </is>
      </c>
      <c r="D954">
        <f>L954</f>
        <v/>
      </c>
      <c r="E954">
        <f>SUMIFS(J:J, G:G,             A954, H:H, B954, L:L, L954)</f>
        <v/>
      </c>
      <c r="F954" t="inlineStr">
        <is>
          <t>PH0002</t>
        </is>
      </c>
      <c r="G954" t="inlineStr">
        <is>
          <t>Tuyay Mon</t>
        </is>
      </c>
      <c r="H954" t="inlineStr">
        <is>
          <t>TCNz004PH:SMS NewDev</t>
        </is>
      </c>
      <c r="I954" s="1" t="n">
        <v>45950</v>
      </c>
      <c r="J954" t="n">
        <v>2.25</v>
      </c>
      <c r="L954">
        <f>IFERROR(LEFT(K954,             FIND(",", K954) - 1), "-")</f>
        <v/>
      </c>
      <c r="M954">
        <f>IFERROR(MID(K954,             FIND(",", K954) + 1, LEN(K954) - FIND(",", K954)), K954)</f>
        <v/>
      </c>
      <c r="P954" t="inlineStr">
        <is>
          <t>15:00</t>
        </is>
      </c>
      <c r="Q954" t="inlineStr">
        <is>
          <t>17:15</t>
        </is>
      </c>
    </row>
    <row r="955">
      <c r="A955" t="inlineStr">
        <is>
          <t>Tuyay Mon</t>
        </is>
      </c>
      <c r="B955" t="inlineStr">
        <is>
          <t>TCNz004PH:SMS NewDev</t>
        </is>
      </c>
      <c r="D955">
        <f>L955</f>
        <v/>
      </c>
      <c r="E955">
        <f>SUMIFS(J:J, G:G,             A955, H:H, B955, L:L, L955)</f>
        <v/>
      </c>
      <c r="F955" t="inlineStr">
        <is>
          <t>PH0002</t>
        </is>
      </c>
      <c r="G955" t="inlineStr">
        <is>
          <t>Tuyay Mon</t>
        </is>
      </c>
      <c r="H955" t="inlineStr">
        <is>
          <t>TCNz004PH:SMS NewDev</t>
        </is>
      </c>
      <c r="I955" s="1" t="n">
        <v>45951</v>
      </c>
      <c r="J955" t="n">
        <v>1.5</v>
      </c>
      <c r="L955">
        <f>IFERROR(LEFT(K955,             FIND(",", K955) - 1), "-")</f>
        <v/>
      </c>
      <c r="M955">
        <f>IFERROR(MID(K955,             FIND(",", K955) + 1, LEN(K955) - FIND(",", K955)), K955)</f>
        <v/>
      </c>
      <c r="P955" t="inlineStr">
        <is>
          <t>08:30</t>
        </is>
      </c>
      <c r="Q955" t="inlineStr">
        <is>
          <t>10:00</t>
        </is>
      </c>
    </row>
    <row r="956">
      <c r="A956" t="inlineStr">
        <is>
          <t>Tuyay Mon</t>
        </is>
      </c>
      <c r="B956" t="inlineStr">
        <is>
          <t>TCNz004PH:SMS NewDev</t>
        </is>
      </c>
      <c r="D956">
        <f>L956</f>
        <v/>
      </c>
      <c r="E956">
        <f>SUMIFS(J:J, G:G,             A956, H:H, B956, L:L, L956)</f>
        <v/>
      </c>
      <c r="F956" t="inlineStr">
        <is>
          <t>PH0002</t>
        </is>
      </c>
      <c r="G956" t="inlineStr">
        <is>
          <t>Tuyay Mon</t>
        </is>
      </c>
      <c r="H956" t="inlineStr">
        <is>
          <t>TCNz004PH:SMS NewDev</t>
        </is>
      </c>
      <c r="I956" s="1" t="n">
        <v>45951</v>
      </c>
      <c r="J956" t="n">
        <v>0.5</v>
      </c>
      <c r="L956">
        <f>IFERROR(LEFT(K956,             FIND(",", K956) - 1), "-")</f>
        <v/>
      </c>
      <c r="M956">
        <f>IFERROR(MID(K956,             FIND(",", K956) + 1, LEN(K956) - FIND(",", K956)), K956)</f>
        <v/>
      </c>
      <c r="P956" t="inlineStr">
        <is>
          <t>10:30</t>
        </is>
      </c>
      <c r="Q956" t="inlineStr">
        <is>
          <t>11:00</t>
        </is>
      </c>
    </row>
    <row r="957">
      <c r="A957" t="inlineStr">
        <is>
          <t>Tuyay Mon</t>
        </is>
      </c>
      <c r="B957" t="inlineStr">
        <is>
          <t>TCNz004PH:SMS NewDev</t>
        </is>
      </c>
      <c r="D957">
        <f>L957</f>
        <v/>
      </c>
      <c r="E957">
        <f>SUMIFS(J:J, G:G,             A957, H:H, B957, L:L, L957)</f>
        <v/>
      </c>
      <c r="F957" t="inlineStr">
        <is>
          <t>PH0002</t>
        </is>
      </c>
      <c r="G957" t="inlineStr">
        <is>
          <t>Tuyay Mon</t>
        </is>
      </c>
      <c r="H957" t="inlineStr">
        <is>
          <t>TCNz004PH:SMS NewDev</t>
        </is>
      </c>
      <c r="I957" s="1" t="n">
        <v>45951</v>
      </c>
      <c r="J957" t="n">
        <v>1</v>
      </c>
      <c r="L957">
        <f>IFERROR(LEFT(K957,             FIND(",", K957) - 1), "-")</f>
        <v/>
      </c>
      <c r="M957">
        <f>IFERROR(MID(K957,             FIND(",", K957) + 1, LEN(K957) - FIND(",", K957)), K957)</f>
        <v/>
      </c>
      <c r="P957" t="inlineStr">
        <is>
          <t>12:00</t>
        </is>
      </c>
      <c r="Q957" t="inlineStr">
        <is>
          <t>13:00</t>
        </is>
      </c>
    </row>
    <row r="958">
      <c r="A958" t="inlineStr">
        <is>
          <t>Tuyay Mon</t>
        </is>
      </c>
      <c r="B958" t="inlineStr">
        <is>
          <t>TCNz004PH:SMS NewDev</t>
        </is>
      </c>
      <c r="D958">
        <f>L958</f>
        <v/>
      </c>
      <c r="E958">
        <f>SUMIFS(J:J, G:G,             A958, H:H, B958, L:L, L958)</f>
        <v/>
      </c>
      <c r="F958" t="inlineStr">
        <is>
          <t>PH0002</t>
        </is>
      </c>
      <c r="G958" t="inlineStr">
        <is>
          <t>Tuyay Mon</t>
        </is>
      </c>
      <c r="H958" t="inlineStr">
        <is>
          <t>TCNz004PH:SMS NewDev</t>
        </is>
      </c>
      <c r="I958" s="1" t="n">
        <v>45951</v>
      </c>
      <c r="J958" t="n">
        <v>2.5</v>
      </c>
      <c r="L958">
        <f>IFERROR(LEFT(K958,             FIND(",", K958) - 1), "-")</f>
        <v/>
      </c>
      <c r="M958">
        <f>IFERROR(MID(K958,             FIND(",", K958) + 1, LEN(K958) - FIND(",", K958)), K958)</f>
        <v/>
      </c>
      <c r="P958" t="inlineStr">
        <is>
          <t>14:30</t>
        </is>
      </c>
      <c r="Q958" t="inlineStr">
        <is>
          <t>17:00</t>
        </is>
      </c>
    </row>
    <row r="959">
      <c r="A959" t="inlineStr">
        <is>
          <t>Tuyay Mon</t>
        </is>
      </c>
      <c r="B959" t="inlineStr">
        <is>
          <t>TCNz004PH:SMS NewDev</t>
        </is>
      </c>
      <c r="D959">
        <f>L959</f>
        <v/>
      </c>
      <c r="E959">
        <f>SUMIFS(J:J, G:G,             A959, H:H, B959, L:L, L959)</f>
        <v/>
      </c>
      <c r="F959" t="inlineStr">
        <is>
          <t>PH0002</t>
        </is>
      </c>
      <c r="G959" t="inlineStr">
        <is>
          <t>Tuyay Mon</t>
        </is>
      </c>
      <c r="H959" t="inlineStr">
        <is>
          <t>TCNz004PH:SMS NewDev</t>
        </is>
      </c>
      <c r="I959" s="1" t="n">
        <v>45952</v>
      </c>
      <c r="J959" t="n">
        <v>1.25</v>
      </c>
      <c r="L959">
        <f>IFERROR(LEFT(K959,             FIND(",", K959) - 1), "-")</f>
        <v/>
      </c>
      <c r="M959">
        <f>IFERROR(MID(K959,             FIND(",", K959) + 1, LEN(K959) - FIND(",", K959)), K959)</f>
        <v/>
      </c>
      <c r="P959" t="inlineStr">
        <is>
          <t>08:45</t>
        </is>
      </c>
      <c r="Q959" t="inlineStr">
        <is>
          <t>10:00</t>
        </is>
      </c>
    </row>
    <row r="960">
      <c r="A960" t="inlineStr">
        <is>
          <t>Tuyay Mon</t>
        </is>
      </c>
      <c r="B960" t="inlineStr">
        <is>
          <t>TCNz004PH:SMS NewDev</t>
        </is>
      </c>
      <c r="D960">
        <f>L960</f>
        <v/>
      </c>
      <c r="E960">
        <f>SUMIFS(J:J, G:G,             A960, H:H, B960, L:L, L960)</f>
        <v/>
      </c>
      <c r="F960" t="inlineStr">
        <is>
          <t>PH0002</t>
        </is>
      </c>
      <c r="G960" t="inlineStr">
        <is>
          <t>Tuyay Mon</t>
        </is>
      </c>
      <c r="H960" t="inlineStr">
        <is>
          <t>TCNz004PH:SMS NewDev</t>
        </is>
      </c>
      <c r="I960" s="1" t="n">
        <v>45952</v>
      </c>
      <c r="J960" t="n">
        <v>3.25</v>
      </c>
      <c r="L960">
        <f>IFERROR(LEFT(K960,             FIND(",", K960) - 1), "-")</f>
        <v/>
      </c>
      <c r="M960">
        <f>IFERROR(MID(K960,             FIND(",", K960) + 1, LEN(K960) - FIND(",", K960)), K960)</f>
        <v/>
      </c>
      <c r="P960" t="inlineStr">
        <is>
          <t>14:45</t>
        </is>
      </c>
      <c r="Q960" t="inlineStr">
        <is>
          <t>18:00</t>
        </is>
      </c>
    </row>
    <row r="961">
      <c r="A961" t="inlineStr">
        <is>
          <t>Tuyay Mon</t>
        </is>
      </c>
      <c r="B961" t="inlineStr">
        <is>
          <t>TCNz004PH:SMS NewDev</t>
        </is>
      </c>
      <c r="D961">
        <f>L961</f>
        <v/>
      </c>
      <c r="E961">
        <f>SUMIFS(J:J, G:G,             A961, H:H, B961, L:L, L961)</f>
        <v/>
      </c>
      <c r="F961" t="inlineStr">
        <is>
          <t>PH0002</t>
        </is>
      </c>
      <c r="G961" t="inlineStr">
        <is>
          <t>Tuyay Mon</t>
        </is>
      </c>
      <c r="H961" t="inlineStr">
        <is>
          <t>TCNz004PH:SMS NewDev</t>
        </is>
      </c>
      <c r="I961" s="1" t="n">
        <v>45953</v>
      </c>
      <c r="J961" t="n">
        <v>1.5</v>
      </c>
      <c r="L961">
        <f>IFERROR(LEFT(K961,             FIND(",", K961) - 1), "-")</f>
        <v/>
      </c>
      <c r="M961">
        <f>IFERROR(MID(K961,             FIND(",", K961) + 1, LEN(K961) - FIND(",", K961)), K961)</f>
        <v/>
      </c>
      <c r="P961" t="inlineStr">
        <is>
          <t>08:30</t>
        </is>
      </c>
      <c r="Q961" t="inlineStr">
        <is>
          <t>10:00</t>
        </is>
      </c>
    </row>
    <row r="962">
      <c r="A962" t="inlineStr">
        <is>
          <t>Tuyay Mon</t>
        </is>
      </c>
      <c r="B962" t="inlineStr">
        <is>
          <t>TCNz004PH:SMS NewDev</t>
        </is>
      </c>
      <c r="D962">
        <f>L962</f>
        <v/>
      </c>
      <c r="E962">
        <f>SUMIFS(J:J, G:G,             A962, H:H, B962, L:L, L962)</f>
        <v/>
      </c>
      <c r="F962" t="inlineStr">
        <is>
          <t>PH0002</t>
        </is>
      </c>
      <c r="G962" t="inlineStr">
        <is>
          <t>Tuyay Mon</t>
        </is>
      </c>
      <c r="H962" t="inlineStr">
        <is>
          <t>TCNz004PH:SMS NewDev</t>
        </is>
      </c>
      <c r="I962" s="1" t="n">
        <v>45953</v>
      </c>
      <c r="J962" t="n">
        <v>0.25</v>
      </c>
      <c r="L962">
        <f>IFERROR(LEFT(K962,             FIND(",", K962) - 1), "-")</f>
        <v/>
      </c>
      <c r="M962">
        <f>IFERROR(MID(K962,             FIND(",", K962) + 1, LEN(K962) - FIND(",", K962)), K962)</f>
        <v/>
      </c>
      <c r="P962" t="inlineStr">
        <is>
          <t>10:45</t>
        </is>
      </c>
      <c r="Q962" t="inlineStr">
        <is>
          <t>11:00</t>
        </is>
      </c>
    </row>
    <row r="963">
      <c r="A963" t="inlineStr">
        <is>
          <t>Tuyay Mon</t>
        </is>
      </c>
      <c r="B963" t="inlineStr">
        <is>
          <t>TCNz004PH:SMS NewDev</t>
        </is>
      </c>
      <c r="D963">
        <f>L963</f>
        <v/>
      </c>
      <c r="E963">
        <f>SUMIFS(J:J, G:G,             A963, H:H, B963, L:L, L963)</f>
        <v/>
      </c>
      <c r="F963" t="inlineStr">
        <is>
          <t>PH0002</t>
        </is>
      </c>
      <c r="G963" t="inlineStr">
        <is>
          <t>Tuyay Mon</t>
        </is>
      </c>
      <c r="H963" t="inlineStr">
        <is>
          <t>TCNz004PH:SMS NewDev</t>
        </is>
      </c>
      <c r="I963" s="1" t="n">
        <v>45953</v>
      </c>
      <c r="J963" t="n">
        <v>2.5</v>
      </c>
      <c r="L963">
        <f>IFERROR(LEFT(K963,             FIND(",", K963) - 1), "-")</f>
        <v/>
      </c>
      <c r="M963">
        <f>IFERROR(MID(K963,             FIND(",", K963) + 1, LEN(K963) - FIND(",", K963)), K963)</f>
        <v/>
      </c>
      <c r="P963" t="inlineStr">
        <is>
          <t>12:00</t>
        </is>
      </c>
      <c r="Q963" t="inlineStr">
        <is>
          <t>14:30</t>
        </is>
      </c>
    </row>
    <row r="964">
      <c r="A964" t="inlineStr">
        <is>
          <t>Tuyay Mon</t>
        </is>
      </c>
      <c r="B964" t="inlineStr">
        <is>
          <t>TCNz004PH:SMS NewDev</t>
        </is>
      </c>
      <c r="D964">
        <f>L964</f>
        <v/>
      </c>
      <c r="E964">
        <f>SUMIFS(J:J, G:G,             A964, H:H, B964, L:L, L964)</f>
        <v/>
      </c>
      <c r="F964" t="inlineStr">
        <is>
          <t>PH0002</t>
        </is>
      </c>
      <c r="G964" t="inlineStr">
        <is>
          <t>Tuyay Mon</t>
        </is>
      </c>
      <c r="H964" t="inlineStr">
        <is>
          <t>TCNz004PH:SMS NewDev</t>
        </is>
      </c>
      <c r="I964" s="1" t="n">
        <v>45953</v>
      </c>
      <c r="J964" t="n">
        <v>1.75</v>
      </c>
      <c r="L964">
        <f>IFERROR(LEFT(K964,             FIND(",", K964) - 1), "-")</f>
        <v/>
      </c>
      <c r="M964">
        <f>IFERROR(MID(K964,             FIND(",", K964) + 1, LEN(K964) - FIND(",", K964)), K964)</f>
        <v/>
      </c>
      <c r="P964" t="inlineStr">
        <is>
          <t>15:30</t>
        </is>
      </c>
      <c r="Q964" t="inlineStr">
        <is>
          <t>17:15</t>
        </is>
      </c>
    </row>
    <row r="965">
      <c r="A965" t="inlineStr">
        <is>
          <t>Tuyay Mon</t>
        </is>
      </c>
      <c r="B965" t="inlineStr">
        <is>
          <t>WAKS001PH:Wakeup support</t>
        </is>
      </c>
      <c r="C965">
        <f>SUMIFS(J:J, G:G,             A965, H:H, B965)</f>
        <v/>
      </c>
      <c r="D965">
        <f>L965</f>
        <v/>
      </c>
      <c r="E965">
        <f>SUMIFS(J:J, G:G,             A965, H:H, B965, L:L, L965)</f>
        <v/>
      </c>
      <c r="F965" t="inlineStr">
        <is>
          <t>PH0002</t>
        </is>
      </c>
      <c r="G965" t="inlineStr">
        <is>
          <t>Tuyay Mon</t>
        </is>
      </c>
      <c r="H965" t="inlineStr">
        <is>
          <t>WAKS001PH:Wakeup support</t>
        </is>
      </c>
      <c r="I965" s="1" t="n">
        <v>45933</v>
      </c>
      <c r="J965" t="n">
        <v>2</v>
      </c>
      <c r="L965">
        <f>IFERROR(LEFT(K965,             FIND(",", K965) - 1), "-")</f>
        <v/>
      </c>
      <c r="M965">
        <f>IFERROR(MID(K965,             FIND(",", K965) + 1, LEN(K965) - FIND(",", K965)), K965)</f>
        <v/>
      </c>
      <c r="N965" t="n">
        <v>4</v>
      </c>
      <c r="P965" t="inlineStr">
        <is>
          <t>14:30</t>
        </is>
      </c>
      <c r="Q965" t="inlineStr">
        <is>
          <t>16:30</t>
        </is>
      </c>
    </row>
    <row r="966">
      <c r="A966" t="inlineStr">
        <is>
          <t>Tuyay Mon</t>
        </is>
      </c>
      <c r="B966" t="inlineStr">
        <is>
          <t>WAKS001PH:Wakeup support</t>
        </is>
      </c>
      <c r="D966">
        <f>L966</f>
        <v/>
      </c>
      <c r="E966">
        <f>SUMIFS(J:J, G:G,             A966, H:H, B966, L:L, L966)</f>
        <v/>
      </c>
      <c r="F966" t="inlineStr">
        <is>
          <t>PH0002</t>
        </is>
      </c>
      <c r="G966" t="inlineStr">
        <is>
          <t>Tuyay Mon</t>
        </is>
      </c>
      <c r="H966" t="inlineStr">
        <is>
          <t>WAKS001PH:Wakeup support</t>
        </is>
      </c>
      <c r="I966" s="1" t="n">
        <v>45936</v>
      </c>
      <c r="J966" t="n">
        <v>1.25</v>
      </c>
      <c r="L966">
        <f>IFERROR(LEFT(K966,             FIND(",", K966) - 1), "-")</f>
        <v/>
      </c>
      <c r="M966">
        <f>IFERROR(MID(K966,             FIND(",", K966) + 1, LEN(K966) - FIND(",", K966)), K966)</f>
        <v/>
      </c>
      <c r="N966" t="n">
        <v>4</v>
      </c>
      <c r="P966" t="inlineStr">
        <is>
          <t>13:45</t>
        </is>
      </c>
      <c r="Q966" t="inlineStr">
        <is>
          <t>15:00</t>
        </is>
      </c>
    </row>
    <row r="967">
      <c r="A967" t="inlineStr">
        <is>
          <t>Tuyay Mon</t>
        </is>
      </c>
      <c r="B967" t="inlineStr">
        <is>
          <t>WAKS001PH:Wakeup support</t>
        </is>
      </c>
      <c r="D967">
        <f>L967</f>
        <v/>
      </c>
      <c r="E967">
        <f>SUMIFS(J:J, G:G,             A967, H:H, B967, L:L, L967)</f>
        <v/>
      </c>
      <c r="F967" t="inlineStr">
        <is>
          <t>PH0002</t>
        </is>
      </c>
      <c r="G967" t="inlineStr">
        <is>
          <t>Tuyay Mon</t>
        </is>
      </c>
      <c r="H967" t="inlineStr">
        <is>
          <t>WAKS001PH:Wakeup support</t>
        </is>
      </c>
      <c r="I967" s="1" t="n">
        <v>45937</v>
      </c>
      <c r="J967" t="n">
        <v>1</v>
      </c>
      <c r="L967">
        <f>IFERROR(LEFT(K967,             FIND(",", K967) - 1), "-")</f>
        <v/>
      </c>
      <c r="M967">
        <f>IFERROR(MID(K967,             FIND(",", K967) + 1, LEN(K967) - FIND(",", K967)), K967)</f>
        <v/>
      </c>
      <c r="N967" t="n">
        <v>4</v>
      </c>
      <c r="P967" t="inlineStr">
        <is>
          <t>10:00</t>
        </is>
      </c>
      <c r="Q967" t="inlineStr">
        <is>
          <t>11:00</t>
        </is>
      </c>
    </row>
    <row r="968">
      <c r="A968" t="inlineStr">
        <is>
          <t>Tuyay Mon</t>
        </is>
      </c>
      <c r="B968" t="inlineStr">
        <is>
          <t>WAKS001PH:Wakeup support</t>
        </is>
      </c>
      <c r="D968">
        <f>L968</f>
        <v/>
      </c>
      <c r="E968">
        <f>SUMIFS(J:J, G:G,             A968, H:H, B968, L:L, L968)</f>
        <v/>
      </c>
      <c r="F968" t="inlineStr">
        <is>
          <t>PH0002</t>
        </is>
      </c>
      <c r="G968" t="inlineStr">
        <is>
          <t>Tuyay Mon</t>
        </is>
      </c>
      <c r="H968" t="inlineStr">
        <is>
          <t>WAKS001PH:Wakeup support</t>
        </is>
      </c>
      <c r="I968" s="1" t="n">
        <v>45937</v>
      </c>
      <c r="J968" t="n">
        <v>1</v>
      </c>
      <c r="L968">
        <f>IFERROR(LEFT(K968,             FIND(",", K968) - 1), "-")</f>
        <v/>
      </c>
      <c r="M968">
        <f>IFERROR(MID(K968,             FIND(",", K968) + 1, LEN(K968) - FIND(",", K968)), K968)</f>
        <v/>
      </c>
      <c r="N968" t="n">
        <v>4</v>
      </c>
      <c r="P968" t="inlineStr">
        <is>
          <t>12:00</t>
        </is>
      </c>
      <c r="Q968" t="inlineStr">
        <is>
          <t>13:00</t>
        </is>
      </c>
    </row>
    <row r="969">
      <c r="A969" t="inlineStr">
        <is>
          <t>Tuyay Mon</t>
        </is>
      </c>
      <c r="B969" t="inlineStr">
        <is>
          <t>WAKS001PH:Wakeup support</t>
        </is>
      </c>
      <c r="D969">
        <f>L969</f>
        <v/>
      </c>
      <c r="E969">
        <f>SUMIFS(J:J, G:G,             A969, H:H, B969, L:L, L969)</f>
        <v/>
      </c>
      <c r="F969" t="inlineStr">
        <is>
          <t>PH0002</t>
        </is>
      </c>
      <c r="G969" t="inlineStr">
        <is>
          <t>Tuyay Mon</t>
        </is>
      </c>
      <c r="H969" t="inlineStr">
        <is>
          <t>WAKS001PH:Wakeup support</t>
        </is>
      </c>
      <c r="I969" s="1" t="n">
        <v>45937</v>
      </c>
      <c r="J969" t="n">
        <v>0.5</v>
      </c>
      <c r="L969">
        <f>IFERROR(LEFT(K969,             FIND(",", K969) - 1), "-")</f>
        <v/>
      </c>
      <c r="M969">
        <f>IFERROR(MID(K969,             FIND(",", K969) + 1, LEN(K969) - FIND(",", K969)), K969)</f>
        <v/>
      </c>
      <c r="N969" t="n">
        <v>4</v>
      </c>
      <c r="P969" t="inlineStr">
        <is>
          <t>14:00</t>
        </is>
      </c>
      <c r="Q969" t="inlineStr">
        <is>
          <t>14:30</t>
        </is>
      </c>
    </row>
    <row r="970">
      <c r="A970" t="inlineStr">
        <is>
          <t>Tuyay Mon</t>
        </is>
      </c>
      <c r="B970" t="inlineStr">
        <is>
          <t>WAKS001PH:Wakeup support</t>
        </is>
      </c>
      <c r="D970">
        <f>L970</f>
        <v/>
      </c>
      <c r="E970">
        <f>SUMIFS(J:J, G:G,             A970, H:H, B970, L:L, L970)</f>
        <v/>
      </c>
      <c r="F970" t="inlineStr">
        <is>
          <t>PH0002</t>
        </is>
      </c>
      <c r="G970" t="inlineStr">
        <is>
          <t>Tuyay Mon</t>
        </is>
      </c>
      <c r="H970" t="inlineStr">
        <is>
          <t>WAKS001PH:Wakeup support</t>
        </is>
      </c>
      <c r="I970" s="1" t="n">
        <v>45937</v>
      </c>
      <c r="J970" t="n">
        <v>0.5</v>
      </c>
      <c r="L970">
        <f>IFERROR(LEFT(K970,             FIND(",", K970) - 1), "-")</f>
        <v/>
      </c>
      <c r="M970">
        <f>IFERROR(MID(K970,             FIND(",", K970) + 1, LEN(K970) - FIND(",", K970)), K970)</f>
        <v/>
      </c>
      <c r="N970" t="n">
        <v>4</v>
      </c>
      <c r="P970" t="inlineStr">
        <is>
          <t>17:30</t>
        </is>
      </c>
      <c r="Q970" t="inlineStr">
        <is>
          <t>18:00</t>
        </is>
      </c>
    </row>
    <row r="971">
      <c r="A971" t="inlineStr">
        <is>
          <t>Tuyay Mon</t>
        </is>
      </c>
      <c r="B971" t="inlineStr">
        <is>
          <t>WAKS001PH:Wakeup support</t>
        </is>
      </c>
      <c r="D971">
        <f>L971</f>
        <v/>
      </c>
      <c r="E971">
        <f>SUMIFS(J:J, G:G,             A971, H:H, B971, L:L, L971)</f>
        <v/>
      </c>
      <c r="F971" t="inlineStr">
        <is>
          <t>PH0002</t>
        </is>
      </c>
      <c r="G971" t="inlineStr">
        <is>
          <t>Tuyay Mon</t>
        </is>
      </c>
      <c r="H971" t="inlineStr">
        <is>
          <t>WAKS001PH:Wakeup support</t>
        </is>
      </c>
      <c r="I971" s="1" t="n">
        <v>45938</v>
      </c>
      <c r="J971" t="n">
        <v>2</v>
      </c>
      <c r="L971">
        <f>IFERROR(LEFT(K971,             FIND(",", K971) - 1), "-")</f>
        <v/>
      </c>
      <c r="M971">
        <f>IFERROR(MID(K971,             FIND(",", K971) + 1, LEN(K971) - FIND(",", K971)), K971)</f>
        <v/>
      </c>
      <c r="N971" t="n">
        <v>4</v>
      </c>
      <c r="P971" t="inlineStr">
        <is>
          <t>17:00</t>
        </is>
      </c>
      <c r="Q971" t="inlineStr">
        <is>
          <t>19:00</t>
        </is>
      </c>
    </row>
    <row r="972">
      <c r="A972" t="inlineStr">
        <is>
          <t>Tuyay Mon</t>
        </is>
      </c>
      <c r="B972" t="inlineStr">
        <is>
          <t>YMHa003PH:YAMAHA WBS:Additional request</t>
        </is>
      </c>
      <c r="C972">
        <f>SUMIFS(J:J, G:G,             A972, H:H, B972)</f>
        <v/>
      </c>
      <c r="D972">
        <f>L972</f>
        <v/>
      </c>
      <c r="E972">
        <f>SUMIFS(J:J, G:G,             A972, H:H, B972, L:L, L972)</f>
        <v/>
      </c>
      <c r="F972" t="inlineStr">
        <is>
          <t>PH0002</t>
        </is>
      </c>
      <c r="G972" t="inlineStr">
        <is>
          <t>Tuyay Mon</t>
        </is>
      </c>
      <c r="H972" t="inlineStr">
        <is>
          <t>YMHa003PH:YAMAHA WBS:Additional request</t>
        </is>
      </c>
      <c r="I972" s="1" t="n">
        <v>45931</v>
      </c>
      <c r="J972" t="n">
        <v>1</v>
      </c>
      <c r="L972">
        <f>IFERROR(LEFT(K972,             FIND(",", K972) - 1), "-")</f>
        <v/>
      </c>
      <c r="M972">
        <f>IFERROR(MID(K972,             FIND(",", K972) + 1, LEN(K972) - FIND(",", K972)), K972)</f>
        <v/>
      </c>
      <c r="N972" t="n">
        <v>4</v>
      </c>
      <c r="P972" t="inlineStr">
        <is>
          <t>10:00</t>
        </is>
      </c>
      <c r="Q972" t="inlineStr">
        <is>
          <t>11:00</t>
        </is>
      </c>
    </row>
    <row r="973">
      <c r="A973" t="inlineStr">
        <is>
          <t>Tuyay Mon</t>
        </is>
      </c>
      <c r="B973" t="inlineStr">
        <is>
          <t>YMHa003PH:YAMAHA WBS:Additional request</t>
        </is>
      </c>
      <c r="D973">
        <f>L973</f>
        <v/>
      </c>
      <c r="E973">
        <f>SUMIFS(J:J, G:G,             A973, H:H, B973, L:L, L973)</f>
        <v/>
      </c>
      <c r="F973" t="inlineStr">
        <is>
          <t>PH0002</t>
        </is>
      </c>
      <c r="G973" t="inlineStr">
        <is>
          <t>Tuyay Mon</t>
        </is>
      </c>
      <c r="H973" t="inlineStr">
        <is>
          <t>YMHa003PH:YAMAHA WBS:Additional request</t>
        </is>
      </c>
      <c r="I973" s="1" t="n">
        <v>45932</v>
      </c>
      <c r="J973" t="n">
        <v>1</v>
      </c>
      <c r="L973">
        <f>IFERROR(LEFT(K973,             FIND(",", K973) - 1), "-")</f>
        <v/>
      </c>
      <c r="M973">
        <f>IFERROR(MID(K973,             FIND(",", K973) + 1, LEN(K973) - FIND(",", K973)), K973)</f>
        <v/>
      </c>
      <c r="N973" t="n">
        <v>4</v>
      </c>
      <c r="P973" t="inlineStr">
        <is>
          <t>15:15</t>
        </is>
      </c>
      <c r="Q973" t="inlineStr">
        <is>
          <t>16:15</t>
        </is>
      </c>
    </row>
    <row r="974">
      <c r="A974" t="inlineStr">
        <is>
          <t>Tuyay Mon</t>
        </is>
      </c>
      <c r="B974" t="inlineStr">
        <is>
          <t>ZZZa001PH:ModDev in general</t>
        </is>
      </c>
      <c r="C974">
        <f>SUMIFS(J:J, G:G,             A974, H:H, B974)</f>
        <v/>
      </c>
      <c r="D974">
        <f>L974</f>
        <v/>
      </c>
      <c r="E974">
        <f>SUMIFS(J:J, G:G,             A974, H:H, B974, L:L, L974)</f>
        <v/>
      </c>
      <c r="F974" t="inlineStr">
        <is>
          <t>PH0002</t>
        </is>
      </c>
      <c r="G974" t="inlineStr">
        <is>
          <t>Tuyay Mon</t>
        </is>
      </c>
      <c r="H974" t="inlineStr">
        <is>
          <t>ZZZa001PH:ModDev in general</t>
        </is>
      </c>
      <c r="I974" s="1" t="n">
        <v>45944</v>
      </c>
      <c r="J974" t="n">
        <v>1</v>
      </c>
      <c r="L974">
        <f>IFERROR(LEFT(K974,             FIND(",", K974) - 1), "-")</f>
        <v/>
      </c>
      <c r="M974">
        <f>IFERROR(MID(K974,             FIND(",", K974) + 1, LEN(K974) - FIND(",", K974)), K974)</f>
        <v/>
      </c>
      <c r="N974" t="n">
        <v>4</v>
      </c>
      <c r="P974" t="inlineStr">
        <is>
          <t>13:00</t>
        </is>
      </c>
      <c r="Q974" t="inlineStr">
        <is>
          <t>14:00</t>
        </is>
      </c>
    </row>
    <row r="975">
      <c r="A975" t="inlineStr">
        <is>
          <t>Tuyay Mon</t>
        </is>
      </c>
      <c r="B975" t="inlineStr">
        <is>
          <t>ZZZs001PH:Support in general</t>
        </is>
      </c>
      <c r="C975">
        <f>SUMIFS(J:J, G:G,             A975, H:H, B975)</f>
        <v/>
      </c>
      <c r="D975">
        <f>L975</f>
        <v/>
      </c>
      <c r="E975">
        <f>SUMIFS(J:J, G:G,             A975, H:H, B975, L:L, L975)</f>
        <v/>
      </c>
      <c r="F975" t="inlineStr">
        <is>
          <t>PH0002</t>
        </is>
      </c>
      <c r="G975" t="inlineStr">
        <is>
          <t>Tuyay Mon</t>
        </is>
      </c>
      <c r="H975" t="inlineStr">
        <is>
          <t>ZZZs001PH:Support in general</t>
        </is>
      </c>
      <c r="I975" s="1" t="n">
        <v>45931</v>
      </c>
      <c r="J975" t="n">
        <v>0.75</v>
      </c>
      <c r="L975">
        <f>IFERROR(LEFT(K975,             FIND(",", K975) - 1), "-")</f>
        <v/>
      </c>
      <c r="M975">
        <f>IFERROR(MID(K975,             FIND(",", K975) + 1, LEN(K975) - FIND(",", K975)), K975)</f>
        <v/>
      </c>
      <c r="N975" t="n">
        <v>2</v>
      </c>
      <c r="P975" t="inlineStr">
        <is>
          <t>15:15</t>
        </is>
      </c>
      <c r="Q975" t="inlineStr">
        <is>
          <t>16:00</t>
        </is>
      </c>
    </row>
    <row r="976">
      <c r="A976" t="inlineStr">
        <is>
          <t>Tuyay Mon</t>
        </is>
      </c>
      <c r="B976" t="inlineStr">
        <is>
          <t>ZZZs001PH:Support in general</t>
        </is>
      </c>
      <c r="D976">
        <f>L976</f>
        <v/>
      </c>
      <c r="E976">
        <f>SUMIFS(J:J, G:G,             A976, H:H, B976, L:L, L976)</f>
        <v/>
      </c>
      <c r="F976" t="inlineStr">
        <is>
          <t>PH0002</t>
        </is>
      </c>
      <c r="G976" t="inlineStr">
        <is>
          <t>Tuyay Mon</t>
        </is>
      </c>
      <c r="H976" t="inlineStr">
        <is>
          <t>ZZZs001PH:Support in general</t>
        </is>
      </c>
      <c r="I976" s="1" t="n">
        <v>45932</v>
      </c>
      <c r="J976" t="n">
        <v>1</v>
      </c>
      <c r="L976">
        <f>IFERROR(LEFT(K976,             FIND(",", K976) - 1), "-")</f>
        <v/>
      </c>
      <c r="M976">
        <f>IFERROR(MID(K976,             FIND(",", K976) + 1, LEN(K976) - FIND(",", K976)), K976)</f>
        <v/>
      </c>
      <c r="N976" t="n">
        <v>4</v>
      </c>
      <c r="P976" t="inlineStr">
        <is>
          <t>10:00</t>
        </is>
      </c>
      <c r="Q976" t="inlineStr">
        <is>
          <t>11:00</t>
        </is>
      </c>
    </row>
    <row r="977">
      <c r="A977" t="inlineStr">
        <is>
          <t>Tuyay Mon</t>
        </is>
      </c>
      <c r="B977" t="inlineStr">
        <is>
          <t>ZZZs001PH:Support in general</t>
        </is>
      </c>
      <c r="D977">
        <f>L977</f>
        <v/>
      </c>
      <c r="E977">
        <f>SUMIFS(J:J, G:G,             A977, H:H, B977, L:L, L977)</f>
        <v/>
      </c>
      <c r="F977" t="inlineStr">
        <is>
          <t>PH0002</t>
        </is>
      </c>
      <c r="G977" t="inlineStr">
        <is>
          <t>Tuyay Mon</t>
        </is>
      </c>
      <c r="H977" t="inlineStr">
        <is>
          <t>ZZZs001PH:Support in general</t>
        </is>
      </c>
      <c r="I977" s="1" t="n">
        <v>45932</v>
      </c>
      <c r="J977" t="n">
        <v>1</v>
      </c>
      <c r="L977">
        <f>IFERROR(LEFT(K977,             FIND(",", K977) - 1), "-")</f>
        <v/>
      </c>
      <c r="M977">
        <f>IFERROR(MID(K977,             FIND(",", K977) + 1, LEN(K977) - FIND(",", K977)), K977)</f>
        <v/>
      </c>
      <c r="N977" t="n">
        <v>2</v>
      </c>
      <c r="P977" t="inlineStr">
        <is>
          <t>13:30</t>
        </is>
      </c>
      <c r="Q977" t="inlineStr">
        <is>
          <t>14:30</t>
        </is>
      </c>
    </row>
    <row r="978">
      <c r="A978" t="inlineStr">
        <is>
          <t>Tuyay Mon</t>
        </is>
      </c>
      <c r="B978" t="inlineStr">
        <is>
          <t>ZZZs001PH:Support in general</t>
        </is>
      </c>
      <c r="D978">
        <f>L978</f>
        <v/>
      </c>
      <c r="E978">
        <f>SUMIFS(J:J, G:G,             A978, H:H, B978, L:L, L978)</f>
        <v/>
      </c>
      <c r="F978" t="inlineStr">
        <is>
          <t>PH0002</t>
        </is>
      </c>
      <c r="G978" t="inlineStr">
        <is>
          <t>Tuyay Mon</t>
        </is>
      </c>
      <c r="H978" t="inlineStr">
        <is>
          <t>ZZZs001PH:Support in general</t>
        </is>
      </c>
      <c r="I978" s="1" t="n">
        <v>45933</v>
      </c>
      <c r="J978" t="n">
        <v>0.5</v>
      </c>
      <c r="L978">
        <f>IFERROR(LEFT(K978,             FIND(",", K978) - 1), "-")</f>
        <v/>
      </c>
      <c r="M978">
        <f>IFERROR(MID(K978,             FIND(",", K978) + 1, LEN(K978) - FIND(",", K978)), K978)</f>
        <v/>
      </c>
      <c r="N978" t="n">
        <v>4</v>
      </c>
      <c r="P978" t="inlineStr">
        <is>
          <t>10:30</t>
        </is>
      </c>
      <c r="Q978" t="inlineStr">
        <is>
          <t>11:00</t>
        </is>
      </c>
    </row>
    <row r="979">
      <c r="A979" t="inlineStr">
        <is>
          <t>Tuyay Mon</t>
        </is>
      </c>
      <c r="B979" t="inlineStr">
        <is>
          <t>ZZZs001PH:Support in general</t>
        </is>
      </c>
      <c r="D979">
        <f>L979</f>
        <v/>
      </c>
      <c r="E979">
        <f>SUMIFS(J:J, G:G,             A979, H:H, B979, L:L, L979)</f>
        <v/>
      </c>
      <c r="F979" t="inlineStr">
        <is>
          <t>PH0002</t>
        </is>
      </c>
      <c r="G979" t="inlineStr">
        <is>
          <t>Tuyay Mon</t>
        </is>
      </c>
      <c r="H979" t="inlineStr">
        <is>
          <t>ZZZs001PH:Support in general</t>
        </is>
      </c>
      <c r="I979" s="1" t="n">
        <v>45933</v>
      </c>
      <c r="J979" t="n">
        <v>0.5</v>
      </c>
      <c r="L979">
        <f>IFERROR(LEFT(K979,             FIND(",", K979) - 1), "-")</f>
        <v/>
      </c>
      <c r="M979">
        <f>IFERROR(MID(K979,             FIND(",", K979) + 1, LEN(K979) - FIND(",", K979)), K979)</f>
        <v/>
      </c>
      <c r="N979" t="n">
        <v>4</v>
      </c>
      <c r="P979" t="inlineStr">
        <is>
          <t>12:00</t>
        </is>
      </c>
      <c r="Q979" t="inlineStr">
        <is>
          <t>12:30</t>
        </is>
      </c>
    </row>
    <row r="980">
      <c r="A980" t="inlineStr">
        <is>
          <t>Tuyay Mon</t>
        </is>
      </c>
      <c r="B980" t="inlineStr">
        <is>
          <t>ZZZs001PH:Support in general</t>
        </is>
      </c>
      <c r="D980">
        <f>L980</f>
        <v/>
      </c>
      <c r="E980">
        <f>SUMIFS(J:J, G:G,             A980, H:H, B980, L:L, L980)</f>
        <v/>
      </c>
      <c r="F980" t="inlineStr">
        <is>
          <t>PH0002</t>
        </is>
      </c>
      <c r="G980" t="inlineStr">
        <is>
          <t>Tuyay Mon</t>
        </is>
      </c>
      <c r="H980" t="inlineStr">
        <is>
          <t>ZZZs001PH:Support in general</t>
        </is>
      </c>
      <c r="I980" s="1" t="n">
        <v>45936</v>
      </c>
      <c r="J980" t="n">
        <v>1</v>
      </c>
      <c r="L980">
        <f>IFERROR(LEFT(K980,             FIND(",", K980) - 1), "-")</f>
        <v/>
      </c>
      <c r="M980">
        <f>IFERROR(MID(K980,             FIND(",", K980) + 1, LEN(K980) - FIND(",", K980)), K980)</f>
        <v/>
      </c>
      <c r="N980" t="n">
        <v>4</v>
      </c>
      <c r="P980" t="inlineStr">
        <is>
          <t>10:00</t>
        </is>
      </c>
      <c r="Q980" t="inlineStr">
        <is>
          <t>11:00</t>
        </is>
      </c>
    </row>
    <row r="981">
      <c r="A981" t="inlineStr">
        <is>
          <t>Tuyay Mon</t>
        </is>
      </c>
      <c r="B981" t="inlineStr">
        <is>
          <t>ZZZs001PH:Support in general</t>
        </is>
      </c>
      <c r="D981">
        <f>L981</f>
        <v/>
      </c>
      <c r="E981">
        <f>SUMIFS(J:J, G:G,             A981, H:H, B981, L:L, L981)</f>
        <v/>
      </c>
      <c r="F981" t="inlineStr">
        <is>
          <t>PH0002</t>
        </is>
      </c>
      <c r="G981" t="inlineStr">
        <is>
          <t>Tuyay Mon</t>
        </is>
      </c>
      <c r="H981" t="inlineStr">
        <is>
          <t>ZZZs001PH:Support in general</t>
        </is>
      </c>
      <c r="I981" s="1" t="n">
        <v>45938</v>
      </c>
      <c r="J981" t="n">
        <v>1.25</v>
      </c>
      <c r="L981">
        <f>IFERROR(LEFT(K981,             FIND(",", K981) - 1), "-")</f>
        <v/>
      </c>
      <c r="M981">
        <f>IFERROR(MID(K981,             FIND(",", K981) + 1, LEN(K981) - FIND(",", K981)), K981)</f>
        <v/>
      </c>
      <c r="N981" t="n">
        <v>4</v>
      </c>
      <c r="P981" t="inlineStr">
        <is>
          <t>13:45</t>
        </is>
      </c>
      <c r="Q981" t="inlineStr">
        <is>
          <t>15:00</t>
        </is>
      </c>
    </row>
    <row r="982">
      <c r="A982" t="inlineStr">
        <is>
          <t>Tuyay Mon</t>
        </is>
      </c>
      <c r="B982" t="inlineStr">
        <is>
          <t>ZZZs001PH:Support in general</t>
        </is>
      </c>
      <c r="D982">
        <f>L982</f>
        <v/>
      </c>
      <c r="E982">
        <f>SUMIFS(J:J, G:G,             A982, H:H, B982, L:L, L982)</f>
        <v/>
      </c>
      <c r="F982" t="inlineStr">
        <is>
          <t>PH0002</t>
        </is>
      </c>
      <c r="G982" t="inlineStr">
        <is>
          <t>Tuyay Mon</t>
        </is>
      </c>
      <c r="H982" t="inlineStr">
        <is>
          <t>ZZZs001PH:Support in general</t>
        </is>
      </c>
      <c r="I982" s="1" t="n">
        <v>45939</v>
      </c>
      <c r="J982" t="n">
        <v>0.5</v>
      </c>
      <c r="L982">
        <f>IFERROR(LEFT(K982,             FIND(",", K982) - 1), "-")</f>
        <v/>
      </c>
      <c r="M982">
        <f>IFERROR(MID(K982,             FIND(",", K982) + 1, LEN(K982) - FIND(",", K982)), K982)</f>
        <v/>
      </c>
      <c r="N982" t="n">
        <v>4</v>
      </c>
      <c r="P982" t="inlineStr">
        <is>
          <t>09:00</t>
        </is>
      </c>
      <c r="Q982" t="inlineStr">
        <is>
          <t>09:30</t>
        </is>
      </c>
    </row>
    <row r="983">
      <c r="A983" t="inlineStr">
        <is>
          <t>Tuyay Mon</t>
        </is>
      </c>
      <c r="B983" t="inlineStr">
        <is>
          <t>ZZZs001PH:Support in general</t>
        </is>
      </c>
      <c r="D983">
        <f>L983</f>
        <v/>
      </c>
      <c r="E983">
        <f>SUMIFS(J:J, G:G,             A983, H:H, B983, L:L, L983)</f>
        <v/>
      </c>
      <c r="F983" t="inlineStr">
        <is>
          <t>PH0002</t>
        </is>
      </c>
      <c r="G983" t="inlineStr">
        <is>
          <t>Tuyay Mon</t>
        </is>
      </c>
      <c r="H983" t="inlineStr">
        <is>
          <t>ZZZs001PH:Support in general</t>
        </is>
      </c>
      <c r="I983" s="1" t="n">
        <v>45940</v>
      </c>
      <c r="J983" t="n">
        <v>0.75</v>
      </c>
      <c r="L983">
        <f>IFERROR(LEFT(K983,             FIND(",", K983) - 1), "-")</f>
        <v/>
      </c>
      <c r="M983">
        <f>IFERROR(MID(K983,             FIND(",", K983) + 1, LEN(K983) - FIND(",", K983)), K983)</f>
        <v/>
      </c>
      <c r="N983" t="n">
        <v>4</v>
      </c>
      <c r="P983" t="inlineStr">
        <is>
          <t>09:30</t>
        </is>
      </c>
      <c r="Q983" t="inlineStr">
        <is>
          <t>10:15</t>
        </is>
      </c>
    </row>
    <row r="984">
      <c r="A984" t="inlineStr">
        <is>
          <t>Tuyay Mon</t>
        </is>
      </c>
      <c r="B984" t="inlineStr">
        <is>
          <t>ZZZs001PH:Support in general</t>
        </is>
      </c>
      <c r="D984">
        <f>L984</f>
        <v/>
      </c>
      <c r="E984">
        <f>SUMIFS(J:J, G:G,             A984, H:H, B984, L:L, L984)</f>
        <v/>
      </c>
      <c r="F984" t="inlineStr">
        <is>
          <t>PH0002</t>
        </is>
      </c>
      <c r="G984" t="inlineStr">
        <is>
          <t>Tuyay Mon</t>
        </is>
      </c>
      <c r="H984" t="inlineStr">
        <is>
          <t>ZZZs001PH:Support in general</t>
        </is>
      </c>
      <c r="I984" s="1" t="n">
        <v>45940</v>
      </c>
      <c r="J984" t="n">
        <v>1</v>
      </c>
      <c r="L984">
        <f>IFERROR(LEFT(K984,             FIND(",", K984) - 1), "-")</f>
        <v/>
      </c>
      <c r="M984">
        <f>IFERROR(MID(K984,             FIND(",", K984) + 1, LEN(K984) - FIND(",", K984)), K984)</f>
        <v/>
      </c>
      <c r="N984" t="n">
        <v>2</v>
      </c>
      <c r="P984" t="inlineStr">
        <is>
          <t>14:00</t>
        </is>
      </c>
      <c r="Q984" t="inlineStr">
        <is>
          <t>15:00</t>
        </is>
      </c>
    </row>
    <row r="985">
      <c r="A985" t="inlineStr">
        <is>
          <t>Tuyay Mon</t>
        </is>
      </c>
      <c r="B985" t="inlineStr">
        <is>
          <t>ZZZs001PH:Support in general</t>
        </is>
      </c>
      <c r="D985">
        <f>L985</f>
        <v/>
      </c>
      <c r="E985">
        <f>SUMIFS(J:J, G:G,             A985, H:H, B985, L:L, L985)</f>
        <v/>
      </c>
      <c r="F985" t="inlineStr">
        <is>
          <t>PH0002</t>
        </is>
      </c>
      <c r="G985" t="inlineStr">
        <is>
          <t>Tuyay Mon</t>
        </is>
      </c>
      <c r="H985" t="inlineStr">
        <is>
          <t>ZZZs001PH:Support in general</t>
        </is>
      </c>
      <c r="I985" s="1" t="n">
        <v>45943</v>
      </c>
      <c r="J985" t="n">
        <v>0.5</v>
      </c>
      <c r="L985">
        <f>IFERROR(LEFT(K985,             FIND(",", K985) - 1), "-")</f>
        <v/>
      </c>
      <c r="M985">
        <f>IFERROR(MID(K985,             FIND(",", K985) + 1, LEN(K985) - FIND(",", K985)), K985)</f>
        <v/>
      </c>
      <c r="N985" t="n">
        <v>4</v>
      </c>
      <c r="P985" t="inlineStr">
        <is>
          <t>10:30</t>
        </is>
      </c>
      <c r="Q985" t="inlineStr">
        <is>
          <t>11:00</t>
        </is>
      </c>
    </row>
    <row r="986">
      <c r="A986" t="inlineStr">
        <is>
          <t>Tuyay Mon</t>
        </is>
      </c>
      <c r="B986" t="inlineStr">
        <is>
          <t>ZZZs001PH:Support in general</t>
        </is>
      </c>
      <c r="D986">
        <f>L986</f>
        <v/>
      </c>
      <c r="E986">
        <f>SUMIFS(J:J, G:G,             A986, H:H, B986, L:L, L986)</f>
        <v/>
      </c>
      <c r="F986" t="inlineStr">
        <is>
          <t>PH0002</t>
        </is>
      </c>
      <c r="G986" t="inlineStr">
        <is>
          <t>Tuyay Mon</t>
        </is>
      </c>
      <c r="H986" t="inlineStr">
        <is>
          <t>ZZZs001PH:Support in general</t>
        </is>
      </c>
      <c r="I986" s="1" t="n">
        <v>45943</v>
      </c>
      <c r="J986" t="n">
        <v>1</v>
      </c>
      <c r="L986">
        <f>IFERROR(LEFT(K986,             FIND(",", K986) - 1), "-")</f>
        <v/>
      </c>
      <c r="M986">
        <f>IFERROR(MID(K986,             FIND(",", K986) + 1, LEN(K986) - FIND(",", K986)), K986)</f>
        <v/>
      </c>
      <c r="N986" t="n">
        <v>4</v>
      </c>
      <c r="P986" t="inlineStr">
        <is>
          <t>12:00</t>
        </is>
      </c>
      <c r="Q986" t="inlineStr">
        <is>
          <t>13:00</t>
        </is>
      </c>
    </row>
    <row r="987">
      <c r="A987" t="inlineStr">
        <is>
          <t>Tuyay Mon</t>
        </is>
      </c>
      <c r="B987" t="inlineStr">
        <is>
          <t>ZZZs001PH:Support in general</t>
        </is>
      </c>
      <c r="D987">
        <f>L987</f>
        <v/>
      </c>
      <c r="E987">
        <f>SUMIFS(J:J, G:G,             A987, H:H, B987, L:L, L987)</f>
        <v/>
      </c>
      <c r="F987" t="inlineStr">
        <is>
          <t>PH0002</t>
        </is>
      </c>
      <c r="G987" t="inlineStr">
        <is>
          <t>Tuyay Mon</t>
        </is>
      </c>
      <c r="H987" t="inlineStr">
        <is>
          <t>ZZZs001PH:Support in general</t>
        </is>
      </c>
      <c r="I987" s="1" t="n">
        <v>45943</v>
      </c>
      <c r="J987" t="n">
        <v>1</v>
      </c>
      <c r="L987">
        <f>IFERROR(LEFT(K987,             FIND(",", K987) - 1), "-")</f>
        <v/>
      </c>
      <c r="M987">
        <f>IFERROR(MID(K987,             FIND(",", K987) + 1, LEN(K987) - FIND(",", K987)), K987)</f>
        <v/>
      </c>
      <c r="N987" t="n">
        <v>4</v>
      </c>
      <c r="P987" t="inlineStr">
        <is>
          <t>15:00</t>
        </is>
      </c>
      <c r="Q987" t="inlineStr">
        <is>
          <t>16:00</t>
        </is>
      </c>
    </row>
    <row r="988">
      <c r="A988" t="inlineStr">
        <is>
          <t>Tuyay Mon</t>
        </is>
      </c>
      <c r="B988" t="inlineStr">
        <is>
          <t>ZZZs001PH:Support in general</t>
        </is>
      </c>
      <c r="D988">
        <f>L988</f>
        <v/>
      </c>
      <c r="E988">
        <f>SUMIFS(J:J, G:G,             A988, H:H, B988, L:L, L988)</f>
        <v/>
      </c>
      <c r="F988" t="inlineStr">
        <is>
          <t>PH0002</t>
        </is>
      </c>
      <c r="G988" t="inlineStr">
        <is>
          <t>Tuyay Mon</t>
        </is>
      </c>
      <c r="H988" t="inlineStr">
        <is>
          <t>ZZZs001PH:Support in general</t>
        </is>
      </c>
      <c r="I988" s="1" t="n">
        <v>45946</v>
      </c>
      <c r="J988" t="n">
        <v>0.75</v>
      </c>
      <c r="L988">
        <f>IFERROR(LEFT(K988,             FIND(",", K988) - 1), "-")</f>
        <v/>
      </c>
      <c r="M988">
        <f>IFERROR(MID(K988,             FIND(",", K988) + 1, LEN(K988) - FIND(",", K988)), K988)</f>
        <v/>
      </c>
      <c r="N988" t="n">
        <v>4</v>
      </c>
      <c r="P988" t="inlineStr">
        <is>
          <t>08:45</t>
        </is>
      </c>
      <c r="Q988" t="inlineStr">
        <is>
          <t>09:30</t>
        </is>
      </c>
    </row>
    <row r="989">
      <c r="A989" t="inlineStr">
        <is>
          <t>Tuyay Mon</t>
        </is>
      </c>
      <c r="B989" t="inlineStr">
        <is>
          <t>ZZZs001PH:Support in general</t>
        </is>
      </c>
      <c r="D989">
        <f>L989</f>
        <v/>
      </c>
      <c r="E989">
        <f>SUMIFS(J:J, G:G,             A989, H:H, B989, L:L, L989)</f>
        <v/>
      </c>
      <c r="F989" t="inlineStr">
        <is>
          <t>PH0002</t>
        </is>
      </c>
      <c r="G989" t="inlineStr">
        <is>
          <t>Tuyay Mon</t>
        </is>
      </c>
      <c r="H989" t="inlineStr">
        <is>
          <t>ZZZs001PH:Support in general</t>
        </is>
      </c>
      <c r="I989" s="1" t="n">
        <v>45947</v>
      </c>
      <c r="J989" t="n">
        <v>1</v>
      </c>
      <c r="L989">
        <f>IFERROR(LEFT(K989,             FIND(",", K989) - 1), "-")</f>
        <v/>
      </c>
      <c r="M989">
        <f>IFERROR(MID(K989,             FIND(",", K989) + 1, LEN(K989) - FIND(",", K989)), K989)</f>
        <v/>
      </c>
      <c r="N989" t="n">
        <v>4</v>
      </c>
      <c r="P989" t="inlineStr">
        <is>
          <t>14:30</t>
        </is>
      </c>
      <c r="Q989" t="inlineStr">
        <is>
          <t>15:30</t>
        </is>
      </c>
    </row>
    <row r="990">
      <c r="A990" t="inlineStr">
        <is>
          <t>Tuyay Mon</t>
        </is>
      </c>
      <c r="B990" t="inlineStr">
        <is>
          <t>ZZZs001PH:Support in general</t>
        </is>
      </c>
      <c r="D990">
        <f>L990</f>
        <v/>
      </c>
      <c r="E990">
        <f>SUMIFS(J:J, G:G,             A990, H:H, B990, L:L, L990)</f>
        <v/>
      </c>
      <c r="F990" t="inlineStr">
        <is>
          <t>PH0002</t>
        </is>
      </c>
      <c r="G990" t="inlineStr">
        <is>
          <t>Tuyay Mon</t>
        </is>
      </c>
      <c r="H990" t="inlineStr">
        <is>
          <t>ZZZs001PH:Support in general</t>
        </is>
      </c>
      <c r="I990" s="1" t="n">
        <v>45950</v>
      </c>
      <c r="J990" t="n">
        <v>1</v>
      </c>
      <c r="L990">
        <f>IFERROR(LEFT(K990,             FIND(",", K990) - 1), "-")</f>
        <v/>
      </c>
      <c r="M990">
        <f>IFERROR(MID(K990,             FIND(",", K990) + 1, LEN(K990) - FIND(",", K990)), K990)</f>
        <v/>
      </c>
      <c r="N990" t="n">
        <v>4</v>
      </c>
      <c r="P990" t="inlineStr">
        <is>
          <t>10:00</t>
        </is>
      </c>
      <c r="Q990" t="inlineStr">
        <is>
          <t>11:00</t>
        </is>
      </c>
    </row>
    <row r="991">
      <c r="A991" t="inlineStr">
        <is>
          <t>Tuyay Mon</t>
        </is>
      </c>
      <c r="B991" t="inlineStr">
        <is>
          <t>ZZZs001PH:Support in general</t>
        </is>
      </c>
      <c r="D991">
        <f>L991</f>
        <v/>
      </c>
      <c r="E991">
        <f>SUMIFS(J:J, G:G,             A991, H:H, B991, L:L, L991)</f>
        <v/>
      </c>
      <c r="F991" t="inlineStr">
        <is>
          <t>PH0002</t>
        </is>
      </c>
      <c r="G991" t="inlineStr">
        <is>
          <t>Tuyay Mon</t>
        </is>
      </c>
      <c r="H991" t="inlineStr">
        <is>
          <t>ZZZs001PH:Support in general</t>
        </is>
      </c>
      <c r="I991" s="1" t="n">
        <v>45951</v>
      </c>
      <c r="J991" t="n">
        <v>0.5</v>
      </c>
      <c r="L991">
        <f>IFERROR(LEFT(K991,             FIND(",", K991) - 1), "-")</f>
        <v/>
      </c>
      <c r="M991">
        <f>IFERROR(MID(K991,             FIND(",", K991) + 1, LEN(K991) - FIND(",", K991)), K991)</f>
        <v/>
      </c>
      <c r="N991" t="n">
        <v>4</v>
      </c>
      <c r="P991" t="inlineStr">
        <is>
          <t>10:00</t>
        </is>
      </c>
      <c r="Q991" t="inlineStr">
        <is>
          <t>10:30</t>
        </is>
      </c>
    </row>
    <row r="992">
      <c r="A992" t="inlineStr">
        <is>
          <t>Tuyay Mon</t>
        </is>
      </c>
      <c r="B992" t="inlineStr">
        <is>
          <t>ZZZs001PH:Support in general</t>
        </is>
      </c>
      <c r="D992">
        <f>L992</f>
        <v/>
      </c>
      <c r="E992">
        <f>SUMIFS(J:J, G:G,             A992, H:H, B992, L:L, L992)</f>
        <v/>
      </c>
      <c r="F992" t="inlineStr">
        <is>
          <t>PH0002</t>
        </is>
      </c>
      <c r="G992" t="inlineStr">
        <is>
          <t>Tuyay Mon</t>
        </is>
      </c>
      <c r="H992" t="inlineStr">
        <is>
          <t>ZZZs001PH:Support in general</t>
        </is>
      </c>
      <c r="I992" s="1" t="n">
        <v>45952</v>
      </c>
      <c r="J992" t="n">
        <v>0.75</v>
      </c>
      <c r="L992">
        <f>IFERROR(LEFT(K992,             FIND(",", K992) - 1), "-")</f>
        <v/>
      </c>
      <c r="M992">
        <f>IFERROR(MID(K992,             FIND(",", K992) + 1, LEN(K992) - FIND(",", K992)), K992)</f>
        <v/>
      </c>
      <c r="N992" t="n">
        <v>4</v>
      </c>
      <c r="P992" t="inlineStr">
        <is>
          <t>14:00</t>
        </is>
      </c>
      <c r="Q992" t="inlineStr">
        <is>
          <t>14:45</t>
        </is>
      </c>
    </row>
    <row r="993">
      <c r="A993" t="inlineStr">
        <is>
          <t>Tuyay Mon</t>
        </is>
      </c>
      <c r="B993" t="inlineStr">
        <is>
          <t>ZZZs001PH:Support in general</t>
        </is>
      </c>
      <c r="D993">
        <f>L993</f>
        <v/>
      </c>
      <c r="E993">
        <f>SUMIFS(J:J, G:G,             A993, H:H, B993, L:L, L993)</f>
        <v/>
      </c>
      <c r="F993" t="inlineStr">
        <is>
          <t>PH0002</t>
        </is>
      </c>
      <c r="G993" t="inlineStr">
        <is>
          <t>Tuyay Mon</t>
        </is>
      </c>
      <c r="H993" t="inlineStr">
        <is>
          <t>ZZZs001PH:Support in general</t>
        </is>
      </c>
      <c r="I993" s="1" t="n">
        <v>45953</v>
      </c>
      <c r="J993" t="n">
        <v>0.75</v>
      </c>
      <c r="L993">
        <f>IFERROR(LEFT(K993,             FIND(",", K993) - 1), "-")</f>
        <v/>
      </c>
      <c r="M993">
        <f>IFERROR(MID(K993,             FIND(",", K993) + 1, LEN(K993) - FIND(",", K993)), K993)</f>
        <v/>
      </c>
      <c r="N993" t="n">
        <v>4</v>
      </c>
      <c r="P993" t="inlineStr">
        <is>
          <t>10:00</t>
        </is>
      </c>
      <c r="Q993" t="inlineStr">
        <is>
          <t>10:45</t>
        </is>
      </c>
    </row>
    <row r="994">
      <c r="A994" t="inlineStr">
        <is>
          <t>Tuyay Mon</t>
        </is>
      </c>
      <c r="B994" t="inlineStr">
        <is>
          <t>ZZZs001PH:Support in general</t>
        </is>
      </c>
      <c r="D994">
        <f>L994</f>
        <v/>
      </c>
      <c r="E994">
        <f>SUMIFS(J:J, G:G,             A994, H:H, B994, L:L, L994)</f>
        <v/>
      </c>
      <c r="F994" t="inlineStr">
        <is>
          <t>PH0002</t>
        </is>
      </c>
      <c r="G994" t="inlineStr">
        <is>
          <t>Tuyay Mon</t>
        </is>
      </c>
      <c r="H994" t="inlineStr">
        <is>
          <t>ZZZs001PH:Support in general</t>
        </is>
      </c>
      <c r="I994" s="1" t="n">
        <v>45953</v>
      </c>
      <c r="J994" t="n">
        <v>1</v>
      </c>
      <c r="L994">
        <f>IFERROR(LEFT(K994,             FIND(",", K994) - 1), "-")</f>
        <v/>
      </c>
      <c r="M994">
        <f>IFERROR(MID(K994,             FIND(",", K994) + 1, LEN(K994) - FIND(",", K994)), K994)</f>
        <v/>
      </c>
      <c r="N994" t="n">
        <v>2</v>
      </c>
      <c r="P994" t="inlineStr">
        <is>
          <t>14:30</t>
        </is>
      </c>
      <c r="Q994" t="inlineStr">
        <is>
          <t>15:30</t>
        </is>
      </c>
    </row>
    <row r="995">
      <c r="A995" t="inlineStr">
        <is>
          <t>下重 真貴子</t>
        </is>
      </c>
      <c r="B995" t="inlineStr">
        <is>
          <t>SSKs001:酒類総研 サポート</t>
        </is>
      </c>
      <c r="C995">
        <f>SUMIFS(J:J, G:G,             A995, H:H, B995)</f>
        <v/>
      </c>
      <c r="D995">
        <f>L995</f>
        <v/>
      </c>
      <c r="E995">
        <f>SUMIFS(J:J, G:G,             A995, H:H, B995, L:L, L995)</f>
        <v/>
      </c>
      <c r="F995" t="inlineStr">
        <is>
          <t>26</t>
        </is>
      </c>
      <c r="G995" t="inlineStr">
        <is>
          <t>下重 真貴子</t>
        </is>
      </c>
      <c r="H995" t="inlineStr">
        <is>
          <t>SSKs001:酒類総研 サポート</t>
        </is>
      </c>
      <c r="I995" s="1" t="n">
        <v>45932</v>
      </c>
      <c r="J995" t="n">
        <v>1</v>
      </c>
      <c r="L995">
        <f>IFERROR(LEFT(K995,             FIND(",", K995) - 1), "-")</f>
        <v/>
      </c>
      <c r="M995">
        <f>IFERROR(MID(K995,             FIND(",", K995) + 1, LEN(K995) - FIND(",", K995)), K995)</f>
        <v/>
      </c>
      <c r="N995" t="n">
        <v>3</v>
      </c>
      <c r="P995" t="inlineStr">
        <is>
          <t>14:00</t>
        </is>
      </c>
      <c r="Q995" t="inlineStr">
        <is>
          <t>15:00</t>
        </is>
      </c>
    </row>
    <row r="996">
      <c r="A996" t="inlineStr">
        <is>
          <t>下重 真貴子</t>
        </is>
      </c>
      <c r="B996" t="inlineStr">
        <is>
          <t>TCNZ001:社内業務等</t>
        </is>
      </c>
      <c r="C996">
        <f>SUMIFS(J:J, G:G,             A996, H:H, B996)</f>
        <v/>
      </c>
      <c r="D996">
        <f>L996</f>
        <v/>
      </c>
      <c r="E996">
        <f>SUMIFS(J:J, G:G,             A996, H:H, B996, L:L, L996)</f>
        <v/>
      </c>
      <c r="F996" t="inlineStr">
        <is>
          <t>26</t>
        </is>
      </c>
      <c r="G996" t="inlineStr">
        <is>
          <t>下重 真貴子</t>
        </is>
      </c>
      <c r="H996" t="inlineStr">
        <is>
          <t>TCNZ001:社内業務等</t>
        </is>
      </c>
      <c r="I996" s="1" t="n">
        <v>45936</v>
      </c>
      <c r="J996" t="n">
        <v>2.5</v>
      </c>
      <c r="K996" t="inlineStr">
        <is>
          <t>健康診断</t>
        </is>
      </c>
      <c r="L996">
        <f>IFERROR(LEFT(K996,             FIND(",", K996) - 1), "-")</f>
        <v/>
      </c>
      <c r="M996">
        <f>IFERROR(MID(K996,             FIND(",", K996) + 1, LEN(K996) - FIND(",", K996)), K996)</f>
        <v/>
      </c>
      <c r="N996" t="n">
        <v>5</v>
      </c>
      <c r="P996" t="inlineStr">
        <is>
          <t>16:00</t>
        </is>
      </c>
      <c r="Q996" t="inlineStr">
        <is>
          <t>18:30</t>
        </is>
      </c>
    </row>
    <row r="997">
      <c r="A997" t="inlineStr">
        <is>
          <t>下重 真貴子</t>
        </is>
      </c>
      <c r="B997" t="inlineStr">
        <is>
          <t>TCNZ001:社内業務等</t>
        </is>
      </c>
      <c r="D997">
        <f>L997</f>
        <v/>
      </c>
      <c r="E997">
        <f>SUMIFS(J:J, G:G,             A997, H:H, B997, L:L, L997)</f>
        <v/>
      </c>
      <c r="F997" t="inlineStr">
        <is>
          <t>26</t>
        </is>
      </c>
      <c r="G997" t="inlineStr">
        <is>
          <t>下重 真貴子</t>
        </is>
      </c>
      <c r="H997" t="inlineStr">
        <is>
          <t>TCNZ001:社内業務等</t>
        </is>
      </c>
      <c r="I997" s="1" t="n">
        <v>45933</v>
      </c>
      <c r="J997" t="n">
        <v>1</v>
      </c>
      <c r="L997">
        <f>IFERROR(LEFT(K997,             FIND(",", K997) - 1), "-")</f>
        <v/>
      </c>
      <c r="M997">
        <f>IFERROR(MID(K997,             FIND(",", K997) + 1, LEN(K997) - FIND(",", K997)), K997)</f>
        <v/>
      </c>
      <c r="N997" t="n">
        <v>5</v>
      </c>
      <c r="P997" t="inlineStr">
        <is>
          <t>17:00</t>
        </is>
      </c>
      <c r="Q997" t="inlineStr">
        <is>
          <t>18:00</t>
        </is>
      </c>
    </row>
    <row r="998">
      <c r="A998" t="inlineStr">
        <is>
          <t>下重 真貴子</t>
        </is>
      </c>
      <c r="B998" t="inlineStr">
        <is>
          <t>TCNZ001:社内業務等</t>
        </is>
      </c>
      <c r="D998">
        <f>L998</f>
        <v/>
      </c>
      <c r="E998">
        <f>SUMIFS(J:J, G:G,             A998, H:H, B998, L:L, L998)</f>
        <v/>
      </c>
      <c r="F998" t="inlineStr">
        <is>
          <t>26</t>
        </is>
      </c>
      <c r="G998" t="inlineStr">
        <is>
          <t>下重 真貴子</t>
        </is>
      </c>
      <c r="H998" t="inlineStr">
        <is>
          <t>TCNZ001:社内業務等</t>
        </is>
      </c>
      <c r="I998" s="1" t="n">
        <v>45947</v>
      </c>
      <c r="J998" t="n">
        <v>0.75</v>
      </c>
      <c r="L998">
        <f>IFERROR(LEFT(K998,             FIND(",", K998) - 1), "-")</f>
        <v/>
      </c>
      <c r="M998">
        <f>IFERROR(MID(K998,             FIND(",", K998) + 1, LEN(K998) - FIND(",", K998)), K998)</f>
        <v/>
      </c>
      <c r="N998" t="n">
        <v>5</v>
      </c>
      <c r="P998" t="inlineStr">
        <is>
          <t>18:00</t>
        </is>
      </c>
      <c r="Q998" t="inlineStr">
        <is>
          <t>18:45</t>
        </is>
      </c>
    </row>
    <row r="999">
      <c r="A999" t="inlineStr">
        <is>
          <t>下重 真貴子</t>
        </is>
      </c>
      <c r="B999" t="inlineStr">
        <is>
          <t>TCNz004:新SMS開発</t>
        </is>
      </c>
      <c r="C999">
        <f>SUMIFS(J:J, G:G,             A999, H:H, B999)</f>
        <v/>
      </c>
      <c r="D999">
        <f>L999</f>
        <v/>
      </c>
      <c r="E999">
        <f>SUMIFS(J:J, G:G,             A999, H:H, B999, L:L, L999)</f>
        <v/>
      </c>
      <c r="F999" t="inlineStr">
        <is>
          <t>26</t>
        </is>
      </c>
      <c r="G999" t="inlineStr">
        <is>
          <t>下重 真貴子</t>
        </is>
      </c>
      <c r="H999" t="inlineStr">
        <is>
          <t>TCNz004:新SMS開発</t>
        </is>
      </c>
      <c r="I999" s="1" t="n">
        <v>45931</v>
      </c>
      <c r="J999" t="n">
        <v>3</v>
      </c>
      <c r="L999">
        <f>IFERROR(LEFT(K999,             FIND(",", K999) - 1), "-")</f>
        <v/>
      </c>
      <c r="M999">
        <f>IFERROR(MID(K999,             FIND(",", K999) + 1, LEN(K999) - FIND(",", K999)), K999)</f>
        <v/>
      </c>
      <c r="N999" t="n">
        <v>5</v>
      </c>
      <c r="P999" t="inlineStr">
        <is>
          <t>09:00</t>
        </is>
      </c>
      <c r="Q999" t="inlineStr">
        <is>
          <t>12:00</t>
        </is>
      </c>
    </row>
    <row r="1000">
      <c r="A1000" t="inlineStr">
        <is>
          <t>下重 真貴子</t>
        </is>
      </c>
      <c r="B1000" t="inlineStr">
        <is>
          <t>TCNz004:新SMS開発</t>
        </is>
      </c>
      <c r="D1000">
        <f>L1000</f>
        <v/>
      </c>
      <c r="E1000">
        <f>SUMIFS(J:J, G:G,             A1000, H:H, B1000, L:L, L1000)</f>
        <v/>
      </c>
      <c r="F1000" t="inlineStr">
        <is>
          <t>26</t>
        </is>
      </c>
      <c r="G1000" t="inlineStr">
        <is>
          <t>下重 真貴子</t>
        </is>
      </c>
      <c r="H1000" t="inlineStr">
        <is>
          <t>TCNz004:新SMS開発</t>
        </is>
      </c>
      <c r="I1000" s="1" t="n">
        <v>45931</v>
      </c>
      <c r="J1000" t="n">
        <v>5.25</v>
      </c>
      <c r="L1000">
        <f>IFERROR(LEFT(K1000,             FIND(",", K1000) - 1), "-")</f>
        <v/>
      </c>
      <c r="M1000">
        <f>IFERROR(MID(K1000,             FIND(",", K1000) + 1, LEN(K1000) - FIND(",", K1000)), K1000)</f>
        <v/>
      </c>
      <c r="N1000" t="n">
        <v>5</v>
      </c>
      <c r="P1000" t="inlineStr">
        <is>
          <t>13:00</t>
        </is>
      </c>
      <c r="Q1000" t="inlineStr">
        <is>
          <t>18:15</t>
        </is>
      </c>
    </row>
    <row r="1001">
      <c r="A1001" t="inlineStr">
        <is>
          <t>下重 真貴子</t>
        </is>
      </c>
      <c r="B1001" t="inlineStr">
        <is>
          <t>TCNz004:新SMS開発</t>
        </is>
      </c>
      <c r="D1001">
        <f>L1001</f>
        <v/>
      </c>
      <c r="E1001">
        <f>SUMIFS(J:J, G:G,             A1001, H:H, B1001, L:L, L1001)</f>
        <v/>
      </c>
      <c r="F1001" t="inlineStr">
        <is>
          <t>26</t>
        </is>
      </c>
      <c r="G1001" t="inlineStr">
        <is>
          <t>下重 真貴子</t>
        </is>
      </c>
      <c r="H1001" t="inlineStr">
        <is>
          <t>TCNz004:新SMS開発</t>
        </is>
      </c>
      <c r="I1001" s="1" t="n">
        <v>45932</v>
      </c>
      <c r="J1001" t="n">
        <v>3</v>
      </c>
      <c r="L1001">
        <f>IFERROR(LEFT(K1001,             FIND(",", K1001) - 1), "-")</f>
        <v/>
      </c>
      <c r="M1001">
        <f>IFERROR(MID(K1001,             FIND(",", K1001) + 1, LEN(K1001) - FIND(",", K1001)), K1001)</f>
        <v/>
      </c>
      <c r="N1001" t="n">
        <v>5</v>
      </c>
      <c r="P1001" t="inlineStr">
        <is>
          <t>09:00</t>
        </is>
      </c>
      <c r="Q1001" t="inlineStr">
        <is>
          <t>12:00</t>
        </is>
      </c>
    </row>
    <row r="1002">
      <c r="A1002" t="inlineStr">
        <is>
          <t>下重 真貴子</t>
        </is>
      </c>
      <c r="B1002" t="inlineStr">
        <is>
          <t>TCNz004:新SMS開発</t>
        </is>
      </c>
      <c r="D1002">
        <f>L1002</f>
        <v/>
      </c>
      <c r="E1002">
        <f>SUMIFS(J:J, G:G,             A1002, H:H, B1002, L:L, L1002)</f>
        <v/>
      </c>
      <c r="F1002" t="inlineStr">
        <is>
          <t>26</t>
        </is>
      </c>
      <c r="G1002" t="inlineStr">
        <is>
          <t>下重 真貴子</t>
        </is>
      </c>
      <c r="H1002" t="inlineStr">
        <is>
          <t>TCNz004:新SMS開発</t>
        </is>
      </c>
      <c r="I1002" s="1" t="n">
        <v>45932</v>
      </c>
      <c r="J1002" t="n">
        <v>1</v>
      </c>
      <c r="L1002">
        <f>IFERROR(LEFT(K1002,             FIND(",", K1002) - 1), "-")</f>
        <v/>
      </c>
      <c r="M1002">
        <f>IFERROR(MID(K1002,             FIND(",", K1002) + 1, LEN(K1002) - FIND(",", K1002)), K1002)</f>
        <v/>
      </c>
      <c r="N1002" t="n">
        <v>5</v>
      </c>
      <c r="P1002" t="inlineStr">
        <is>
          <t>13:00</t>
        </is>
      </c>
      <c r="Q1002" t="inlineStr">
        <is>
          <t>14:00</t>
        </is>
      </c>
    </row>
    <row r="1003">
      <c r="A1003" t="inlineStr">
        <is>
          <t>下重 真貴子</t>
        </is>
      </c>
      <c r="B1003" t="inlineStr">
        <is>
          <t>TCNz004:新SMS開発</t>
        </is>
      </c>
      <c r="D1003">
        <f>L1003</f>
        <v/>
      </c>
      <c r="E1003">
        <f>SUMIFS(J:J, G:G,             A1003, H:H, B1003, L:L, L1003)</f>
        <v/>
      </c>
      <c r="F1003" t="inlineStr">
        <is>
          <t>26</t>
        </is>
      </c>
      <c r="G1003" t="inlineStr">
        <is>
          <t>下重 真貴子</t>
        </is>
      </c>
      <c r="H1003" t="inlineStr">
        <is>
          <t>TCNz004:新SMS開発</t>
        </is>
      </c>
      <c r="I1003" s="1" t="n">
        <v>45933</v>
      </c>
      <c r="J1003" t="n">
        <v>3</v>
      </c>
      <c r="L1003">
        <f>IFERROR(LEFT(K1003,             FIND(",", K1003) - 1), "-")</f>
        <v/>
      </c>
      <c r="M1003">
        <f>IFERROR(MID(K1003,             FIND(",", K1003) + 1, LEN(K1003) - FIND(",", K1003)), K1003)</f>
        <v/>
      </c>
      <c r="N1003" t="n">
        <v>5</v>
      </c>
      <c r="P1003" t="inlineStr">
        <is>
          <t>09:00</t>
        </is>
      </c>
      <c r="Q1003" t="inlineStr">
        <is>
          <t>12:00</t>
        </is>
      </c>
    </row>
    <row r="1004">
      <c r="A1004" t="inlineStr">
        <is>
          <t>下重 真貴子</t>
        </is>
      </c>
      <c r="B1004" t="inlineStr">
        <is>
          <t>TCNz004:新SMS開発</t>
        </is>
      </c>
      <c r="D1004">
        <f>L1004</f>
        <v/>
      </c>
      <c r="E1004">
        <f>SUMIFS(J:J, G:G,             A1004, H:H, B1004, L:L, L1004)</f>
        <v/>
      </c>
      <c r="F1004" t="inlineStr">
        <is>
          <t>26</t>
        </is>
      </c>
      <c r="G1004" t="inlineStr">
        <is>
          <t>下重 真貴子</t>
        </is>
      </c>
      <c r="H1004" t="inlineStr">
        <is>
          <t>TCNz004:新SMS開発</t>
        </is>
      </c>
      <c r="I1004" s="1" t="n">
        <v>45933</v>
      </c>
      <c r="J1004" t="n">
        <v>4</v>
      </c>
      <c r="L1004">
        <f>IFERROR(LEFT(K1004,             FIND(",", K1004) - 1), "-")</f>
        <v/>
      </c>
      <c r="M1004">
        <f>IFERROR(MID(K1004,             FIND(",", K1004) + 1, LEN(K1004) - FIND(",", K1004)), K1004)</f>
        <v/>
      </c>
      <c r="N1004" t="n">
        <v>5</v>
      </c>
      <c r="P1004" t="inlineStr">
        <is>
          <t>13:00</t>
        </is>
      </c>
      <c r="Q1004" t="inlineStr">
        <is>
          <t>17:00</t>
        </is>
      </c>
    </row>
    <row r="1005">
      <c r="A1005" t="inlineStr">
        <is>
          <t>下重 真貴子</t>
        </is>
      </c>
      <c r="B1005" t="inlineStr">
        <is>
          <t>TCNz004:新SMS開発</t>
        </is>
      </c>
      <c r="D1005">
        <f>L1005</f>
        <v/>
      </c>
      <c r="E1005">
        <f>SUMIFS(J:J, G:G,             A1005, H:H, B1005, L:L, L1005)</f>
        <v/>
      </c>
      <c r="F1005" t="inlineStr">
        <is>
          <t>26</t>
        </is>
      </c>
      <c r="G1005" t="inlineStr">
        <is>
          <t>下重 真貴子</t>
        </is>
      </c>
      <c r="H1005" t="inlineStr">
        <is>
          <t>TCNz004:新SMS開発</t>
        </is>
      </c>
      <c r="I1005" s="1" t="n">
        <v>45936</v>
      </c>
      <c r="J1005" t="n">
        <v>3</v>
      </c>
      <c r="L1005">
        <f>IFERROR(LEFT(K1005,             FIND(",", K1005) - 1), "-")</f>
        <v/>
      </c>
      <c r="M1005">
        <f>IFERROR(MID(K1005,             FIND(",", K1005) + 1, LEN(K1005) - FIND(",", K1005)), K1005)</f>
        <v/>
      </c>
      <c r="N1005" t="n">
        <v>5</v>
      </c>
      <c r="P1005" t="inlineStr">
        <is>
          <t>09:00</t>
        </is>
      </c>
      <c r="Q1005" t="inlineStr">
        <is>
          <t>12:00</t>
        </is>
      </c>
    </row>
    <row r="1006">
      <c r="A1006" t="inlineStr">
        <is>
          <t>下重 真貴子</t>
        </is>
      </c>
      <c r="B1006" t="inlineStr">
        <is>
          <t>TCNz004:新SMS開発</t>
        </is>
      </c>
      <c r="D1006">
        <f>L1006</f>
        <v/>
      </c>
      <c r="E1006">
        <f>SUMIFS(J:J, G:G,             A1006, H:H, B1006, L:L, L1006)</f>
        <v/>
      </c>
      <c r="F1006" t="inlineStr">
        <is>
          <t>26</t>
        </is>
      </c>
      <c r="G1006" t="inlineStr">
        <is>
          <t>下重 真貴子</t>
        </is>
      </c>
      <c r="H1006" t="inlineStr">
        <is>
          <t>TCNz004:新SMS開発</t>
        </is>
      </c>
      <c r="I1006" s="1" t="n">
        <v>45936</v>
      </c>
      <c r="J1006" t="n">
        <v>3</v>
      </c>
      <c r="L1006">
        <f>IFERROR(LEFT(K1006,             FIND(",", K1006) - 1), "-")</f>
        <v/>
      </c>
      <c r="M1006">
        <f>IFERROR(MID(K1006,             FIND(",", K1006) + 1, LEN(K1006) - FIND(",", K1006)), K1006)</f>
        <v/>
      </c>
      <c r="N1006" t="n">
        <v>5</v>
      </c>
      <c r="P1006" t="inlineStr">
        <is>
          <t>13:00</t>
        </is>
      </c>
      <c r="Q1006" t="inlineStr">
        <is>
          <t>16:00</t>
        </is>
      </c>
    </row>
    <row r="1007">
      <c r="A1007" t="inlineStr">
        <is>
          <t>下重 真貴子</t>
        </is>
      </c>
      <c r="B1007" t="inlineStr">
        <is>
          <t>TCNz004:新SMS開発</t>
        </is>
      </c>
      <c r="D1007">
        <f>L1007</f>
        <v/>
      </c>
      <c r="E1007">
        <f>SUMIFS(J:J, G:G,             A1007, H:H, B1007, L:L, L1007)</f>
        <v/>
      </c>
      <c r="F1007" t="inlineStr">
        <is>
          <t>26</t>
        </is>
      </c>
      <c r="G1007" t="inlineStr">
        <is>
          <t>下重 真貴子</t>
        </is>
      </c>
      <c r="H1007" t="inlineStr">
        <is>
          <t>TCNz004:新SMS開発</t>
        </is>
      </c>
      <c r="I1007" s="1" t="n">
        <v>45937</v>
      </c>
      <c r="J1007" t="n">
        <v>3</v>
      </c>
      <c r="L1007">
        <f>IFERROR(LEFT(K1007,             FIND(",", K1007) - 1), "-")</f>
        <v/>
      </c>
      <c r="M1007">
        <f>IFERROR(MID(K1007,             FIND(",", K1007) + 1, LEN(K1007) - FIND(",", K1007)), K1007)</f>
        <v/>
      </c>
      <c r="N1007" t="n">
        <v>5</v>
      </c>
      <c r="P1007" t="inlineStr">
        <is>
          <t>09:00</t>
        </is>
      </c>
      <c r="Q1007" t="inlineStr">
        <is>
          <t>12:00</t>
        </is>
      </c>
    </row>
    <row r="1008">
      <c r="A1008" t="inlineStr">
        <is>
          <t>下重 真貴子</t>
        </is>
      </c>
      <c r="B1008" t="inlineStr">
        <is>
          <t>TCNz004:新SMS開発</t>
        </is>
      </c>
      <c r="D1008">
        <f>L1008</f>
        <v/>
      </c>
      <c r="E1008">
        <f>SUMIFS(J:J, G:G,             A1008, H:H, B1008, L:L, L1008)</f>
        <v/>
      </c>
      <c r="F1008" t="inlineStr">
        <is>
          <t>26</t>
        </is>
      </c>
      <c r="G1008" t="inlineStr">
        <is>
          <t>下重 真貴子</t>
        </is>
      </c>
      <c r="H1008" t="inlineStr">
        <is>
          <t>TCNz004:新SMS開発</t>
        </is>
      </c>
      <c r="I1008" s="1" t="n">
        <v>45937</v>
      </c>
      <c r="J1008" t="n">
        <v>5.25</v>
      </c>
      <c r="L1008">
        <f>IFERROR(LEFT(K1008,             FIND(",", K1008) - 1), "-")</f>
        <v/>
      </c>
      <c r="M1008">
        <f>IFERROR(MID(K1008,             FIND(",", K1008) + 1, LEN(K1008) - FIND(",", K1008)), K1008)</f>
        <v/>
      </c>
      <c r="N1008" t="n">
        <v>5</v>
      </c>
      <c r="P1008" t="inlineStr">
        <is>
          <t>13:00</t>
        </is>
      </c>
      <c r="Q1008" t="inlineStr">
        <is>
          <t>18:15</t>
        </is>
      </c>
    </row>
    <row r="1009">
      <c r="A1009" t="inlineStr">
        <is>
          <t>下重 真貴子</t>
        </is>
      </c>
      <c r="B1009" t="inlineStr">
        <is>
          <t>TCNz004:新SMS開発</t>
        </is>
      </c>
      <c r="D1009">
        <f>L1009</f>
        <v/>
      </c>
      <c r="E1009">
        <f>SUMIFS(J:J, G:G,             A1009, H:H, B1009, L:L, L1009)</f>
        <v/>
      </c>
      <c r="F1009" t="inlineStr">
        <is>
          <t>26</t>
        </is>
      </c>
      <c r="G1009" t="inlineStr">
        <is>
          <t>下重 真貴子</t>
        </is>
      </c>
      <c r="H1009" t="inlineStr">
        <is>
          <t>TCNz004:新SMS開発</t>
        </is>
      </c>
      <c r="I1009" s="1" t="n">
        <v>45938</v>
      </c>
      <c r="J1009" t="n">
        <v>3</v>
      </c>
      <c r="L1009">
        <f>IFERROR(LEFT(K1009,             FIND(",", K1009) - 1), "-")</f>
        <v/>
      </c>
      <c r="M1009">
        <f>IFERROR(MID(K1009,             FIND(",", K1009) + 1, LEN(K1009) - FIND(",", K1009)), K1009)</f>
        <v/>
      </c>
      <c r="N1009" t="n">
        <v>5</v>
      </c>
      <c r="P1009" t="inlineStr">
        <is>
          <t>09:00</t>
        </is>
      </c>
      <c r="Q1009" t="inlineStr">
        <is>
          <t>12:00</t>
        </is>
      </c>
    </row>
    <row r="1010">
      <c r="A1010" t="inlineStr">
        <is>
          <t>下重 真貴子</t>
        </is>
      </c>
      <c r="B1010" t="inlineStr">
        <is>
          <t>TCNz004:新SMS開発</t>
        </is>
      </c>
      <c r="D1010">
        <f>L1010</f>
        <v/>
      </c>
      <c r="E1010">
        <f>SUMIFS(J:J, G:G,             A1010, H:H, B1010, L:L, L1010)</f>
        <v/>
      </c>
      <c r="F1010" t="inlineStr">
        <is>
          <t>26</t>
        </is>
      </c>
      <c r="G1010" t="inlineStr">
        <is>
          <t>下重 真貴子</t>
        </is>
      </c>
      <c r="H1010" t="inlineStr">
        <is>
          <t>TCNz004:新SMS開発</t>
        </is>
      </c>
      <c r="I1010" s="1" t="n">
        <v>45938</v>
      </c>
      <c r="J1010" t="n">
        <v>6</v>
      </c>
      <c r="L1010">
        <f>IFERROR(LEFT(K1010,             FIND(",", K1010) - 1), "-")</f>
        <v/>
      </c>
      <c r="M1010">
        <f>IFERROR(MID(K1010,             FIND(",", K1010) + 1, LEN(K1010) - FIND(",", K1010)), K1010)</f>
        <v/>
      </c>
      <c r="N1010" t="n">
        <v>5</v>
      </c>
      <c r="P1010" t="inlineStr">
        <is>
          <t>13:00</t>
        </is>
      </c>
      <c r="Q1010" t="inlineStr">
        <is>
          <t>19:00</t>
        </is>
      </c>
    </row>
    <row r="1011">
      <c r="A1011" t="inlineStr">
        <is>
          <t>下重 真貴子</t>
        </is>
      </c>
      <c r="B1011" t="inlineStr">
        <is>
          <t>TCNz004:新SMS開発</t>
        </is>
      </c>
      <c r="D1011">
        <f>L1011</f>
        <v/>
      </c>
      <c r="E1011">
        <f>SUMIFS(J:J, G:G,             A1011, H:H, B1011, L:L, L1011)</f>
        <v/>
      </c>
      <c r="F1011" t="inlineStr">
        <is>
          <t>26</t>
        </is>
      </c>
      <c r="G1011" t="inlineStr">
        <is>
          <t>下重 真貴子</t>
        </is>
      </c>
      <c r="H1011" t="inlineStr">
        <is>
          <t>TCNz004:新SMS開発</t>
        </is>
      </c>
      <c r="I1011" s="1" t="n">
        <v>45939</v>
      </c>
      <c r="J1011" t="n">
        <v>3</v>
      </c>
      <c r="L1011">
        <f>IFERROR(LEFT(K1011,             FIND(",", K1011) - 1), "-")</f>
        <v/>
      </c>
      <c r="M1011">
        <f>IFERROR(MID(K1011,             FIND(",", K1011) + 1, LEN(K1011) - FIND(",", K1011)), K1011)</f>
        <v/>
      </c>
      <c r="N1011" t="n">
        <v>5</v>
      </c>
      <c r="P1011" t="inlineStr">
        <is>
          <t>09:00</t>
        </is>
      </c>
      <c r="Q1011" t="inlineStr">
        <is>
          <t>12:00</t>
        </is>
      </c>
    </row>
    <row r="1012">
      <c r="A1012" t="inlineStr">
        <is>
          <t>下重 真貴子</t>
        </is>
      </c>
      <c r="B1012" t="inlineStr">
        <is>
          <t>TCNz004:新SMS開発</t>
        </is>
      </c>
      <c r="D1012">
        <f>L1012</f>
        <v/>
      </c>
      <c r="E1012">
        <f>SUMIFS(J:J, G:G,             A1012, H:H, B1012, L:L, L1012)</f>
        <v/>
      </c>
      <c r="F1012" t="inlineStr">
        <is>
          <t>26</t>
        </is>
      </c>
      <c r="G1012" t="inlineStr">
        <is>
          <t>下重 真貴子</t>
        </is>
      </c>
      <c r="H1012" t="inlineStr">
        <is>
          <t>TCNz004:新SMS開発</t>
        </is>
      </c>
      <c r="I1012" s="1" t="n">
        <v>45939</v>
      </c>
      <c r="J1012" t="n">
        <v>6</v>
      </c>
      <c r="L1012">
        <f>IFERROR(LEFT(K1012,             FIND(",", K1012) - 1), "-")</f>
        <v/>
      </c>
      <c r="M1012">
        <f>IFERROR(MID(K1012,             FIND(",", K1012) + 1, LEN(K1012) - FIND(",", K1012)), K1012)</f>
        <v/>
      </c>
      <c r="N1012" t="n">
        <v>5</v>
      </c>
      <c r="P1012" t="inlineStr">
        <is>
          <t>13:00</t>
        </is>
      </c>
      <c r="Q1012" t="inlineStr">
        <is>
          <t>19:00</t>
        </is>
      </c>
    </row>
    <row r="1013">
      <c r="A1013" t="inlineStr">
        <is>
          <t>下重 真貴子</t>
        </is>
      </c>
      <c r="B1013" t="inlineStr">
        <is>
          <t>TCNz004:新SMS開発</t>
        </is>
      </c>
      <c r="D1013">
        <f>L1013</f>
        <v/>
      </c>
      <c r="E1013">
        <f>SUMIFS(J:J, G:G,             A1013, H:H, B1013, L:L, L1013)</f>
        <v/>
      </c>
      <c r="F1013" t="inlineStr">
        <is>
          <t>26</t>
        </is>
      </c>
      <c r="G1013" t="inlineStr">
        <is>
          <t>下重 真貴子</t>
        </is>
      </c>
      <c r="H1013" t="inlineStr">
        <is>
          <t>TCNz004:新SMS開発</t>
        </is>
      </c>
      <c r="I1013" s="1" t="n">
        <v>45940</v>
      </c>
      <c r="J1013" t="n">
        <v>3</v>
      </c>
      <c r="L1013">
        <f>IFERROR(LEFT(K1013,             FIND(",", K1013) - 1), "-")</f>
        <v/>
      </c>
      <c r="M1013">
        <f>IFERROR(MID(K1013,             FIND(",", K1013) + 1, LEN(K1013) - FIND(",", K1013)), K1013)</f>
        <v/>
      </c>
      <c r="N1013" t="n">
        <v>5</v>
      </c>
      <c r="P1013" t="inlineStr">
        <is>
          <t>09:00</t>
        </is>
      </c>
      <c r="Q1013" t="inlineStr">
        <is>
          <t>12:00</t>
        </is>
      </c>
    </row>
    <row r="1014">
      <c r="A1014" t="inlineStr">
        <is>
          <t>下重 真貴子</t>
        </is>
      </c>
      <c r="B1014" t="inlineStr">
        <is>
          <t>TCNz004:新SMS開発</t>
        </is>
      </c>
      <c r="D1014">
        <f>L1014</f>
        <v/>
      </c>
      <c r="E1014">
        <f>SUMIFS(J:J, G:G,             A1014, H:H, B1014, L:L, L1014)</f>
        <v/>
      </c>
      <c r="F1014" t="inlineStr">
        <is>
          <t>26</t>
        </is>
      </c>
      <c r="G1014" t="inlineStr">
        <is>
          <t>下重 真貴子</t>
        </is>
      </c>
      <c r="H1014" t="inlineStr">
        <is>
          <t>TCNz004:新SMS開発</t>
        </is>
      </c>
      <c r="I1014" s="1" t="n">
        <v>45940</v>
      </c>
      <c r="J1014" t="n">
        <v>5.5</v>
      </c>
      <c r="L1014">
        <f>IFERROR(LEFT(K1014,             FIND(",", K1014) - 1), "-")</f>
        <v/>
      </c>
      <c r="M1014">
        <f>IFERROR(MID(K1014,             FIND(",", K1014) + 1, LEN(K1014) - FIND(",", K1014)), K1014)</f>
        <v/>
      </c>
      <c r="N1014" t="n">
        <v>5</v>
      </c>
      <c r="P1014" t="inlineStr">
        <is>
          <t>13:00</t>
        </is>
      </c>
      <c r="Q1014" t="inlineStr">
        <is>
          <t>18:30</t>
        </is>
      </c>
    </row>
    <row r="1015">
      <c r="A1015" t="inlineStr">
        <is>
          <t>下重 真貴子</t>
        </is>
      </c>
      <c r="B1015" t="inlineStr">
        <is>
          <t>TCNz004:新SMS開発</t>
        </is>
      </c>
      <c r="D1015">
        <f>L1015</f>
        <v/>
      </c>
      <c r="E1015">
        <f>SUMIFS(J:J, G:G,             A1015, H:H, B1015, L:L, L1015)</f>
        <v/>
      </c>
      <c r="F1015" t="inlineStr">
        <is>
          <t>26</t>
        </is>
      </c>
      <c r="G1015" t="inlineStr">
        <is>
          <t>下重 真貴子</t>
        </is>
      </c>
      <c r="H1015" t="inlineStr">
        <is>
          <t>TCNz004:新SMS開発</t>
        </is>
      </c>
      <c r="I1015" s="1" t="n">
        <v>45944</v>
      </c>
      <c r="J1015" t="n">
        <v>3</v>
      </c>
      <c r="L1015">
        <f>IFERROR(LEFT(K1015,             FIND(",", K1015) - 1), "-")</f>
        <v/>
      </c>
      <c r="M1015">
        <f>IFERROR(MID(K1015,             FIND(",", K1015) + 1, LEN(K1015) - FIND(",", K1015)), K1015)</f>
        <v/>
      </c>
      <c r="N1015" t="n">
        <v>5</v>
      </c>
      <c r="P1015" t="inlineStr">
        <is>
          <t>09:00</t>
        </is>
      </c>
      <c r="Q1015" t="inlineStr">
        <is>
          <t>12:00</t>
        </is>
      </c>
    </row>
    <row r="1016">
      <c r="A1016" t="inlineStr">
        <is>
          <t>下重 真貴子</t>
        </is>
      </c>
      <c r="B1016" t="inlineStr">
        <is>
          <t>TCNz004:新SMS開発</t>
        </is>
      </c>
      <c r="D1016">
        <f>L1016</f>
        <v/>
      </c>
      <c r="E1016">
        <f>SUMIFS(J:J, G:G,             A1016, H:H, B1016, L:L, L1016)</f>
        <v/>
      </c>
      <c r="F1016" t="inlineStr">
        <is>
          <t>26</t>
        </is>
      </c>
      <c r="G1016" t="inlineStr">
        <is>
          <t>下重 真貴子</t>
        </is>
      </c>
      <c r="H1016" t="inlineStr">
        <is>
          <t>TCNz004:新SMS開発</t>
        </is>
      </c>
      <c r="I1016" s="1" t="n">
        <v>45944</v>
      </c>
      <c r="J1016" t="n">
        <v>5</v>
      </c>
      <c r="L1016">
        <f>IFERROR(LEFT(K1016,             FIND(",", K1016) - 1), "-")</f>
        <v/>
      </c>
      <c r="M1016">
        <f>IFERROR(MID(K1016,             FIND(",", K1016) + 1, LEN(K1016) - FIND(",", K1016)), K1016)</f>
        <v/>
      </c>
      <c r="N1016" t="n">
        <v>5</v>
      </c>
      <c r="P1016" t="inlineStr">
        <is>
          <t>13:00</t>
        </is>
      </c>
      <c r="Q1016" t="inlineStr">
        <is>
          <t>18:00</t>
        </is>
      </c>
    </row>
    <row r="1017">
      <c r="A1017" t="inlineStr">
        <is>
          <t>下重 真貴子</t>
        </is>
      </c>
      <c r="B1017" t="inlineStr">
        <is>
          <t>TCNz004:新SMS開発</t>
        </is>
      </c>
      <c r="D1017">
        <f>L1017</f>
        <v/>
      </c>
      <c r="E1017">
        <f>SUMIFS(J:J, G:G,             A1017, H:H, B1017, L:L, L1017)</f>
        <v/>
      </c>
      <c r="F1017" t="inlineStr">
        <is>
          <t>26</t>
        </is>
      </c>
      <c r="G1017" t="inlineStr">
        <is>
          <t>下重 真貴子</t>
        </is>
      </c>
      <c r="H1017" t="inlineStr">
        <is>
          <t>TCNz004:新SMS開発</t>
        </is>
      </c>
      <c r="I1017" s="1" t="n">
        <v>45945</v>
      </c>
      <c r="J1017" t="n">
        <v>3</v>
      </c>
      <c r="L1017">
        <f>IFERROR(LEFT(K1017,             FIND(",", K1017) - 1), "-")</f>
        <v/>
      </c>
      <c r="M1017">
        <f>IFERROR(MID(K1017,             FIND(",", K1017) + 1, LEN(K1017) - FIND(",", K1017)), K1017)</f>
        <v/>
      </c>
      <c r="N1017" t="n">
        <v>5</v>
      </c>
      <c r="P1017" t="inlineStr">
        <is>
          <t>09:00</t>
        </is>
      </c>
      <c r="Q1017" t="inlineStr">
        <is>
          <t>12:00</t>
        </is>
      </c>
    </row>
    <row r="1018">
      <c r="A1018" t="inlineStr">
        <is>
          <t>下重 真貴子</t>
        </is>
      </c>
      <c r="B1018" t="inlineStr">
        <is>
          <t>TCNz004:新SMS開発</t>
        </is>
      </c>
      <c r="D1018">
        <f>L1018</f>
        <v/>
      </c>
      <c r="E1018">
        <f>SUMIFS(J:J, G:G,             A1018, H:H, B1018, L:L, L1018)</f>
        <v/>
      </c>
      <c r="F1018" t="inlineStr">
        <is>
          <t>26</t>
        </is>
      </c>
      <c r="G1018" t="inlineStr">
        <is>
          <t>下重 真貴子</t>
        </is>
      </c>
      <c r="H1018" t="inlineStr">
        <is>
          <t>TCNz004:新SMS開発</t>
        </is>
      </c>
      <c r="I1018" s="1" t="n">
        <v>45945</v>
      </c>
      <c r="J1018" t="n">
        <v>5.5</v>
      </c>
      <c r="L1018">
        <f>IFERROR(LEFT(K1018,             FIND(",", K1018) - 1), "-")</f>
        <v/>
      </c>
      <c r="M1018">
        <f>IFERROR(MID(K1018,             FIND(",", K1018) + 1, LEN(K1018) - FIND(",", K1018)), K1018)</f>
        <v/>
      </c>
      <c r="N1018" t="n">
        <v>5</v>
      </c>
      <c r="P1018" t="inlineStr">
        <is>
          <t>13:00</t>
        </is>
      </c>
      <c r="Q1018" t="inlineStr">
        <is>
          <t>18:30</t>
        </is>
      </c>
    </row>
    <row r="1019">
      <c r="A1019" t="inlineStr">
        <is>
          <t>下重 真貴子</t>
        </is>
      </c>
      <c r="B1019" t="inlineStr">
        <is>
          <t>TCNz004:新SMS開発</t>
        </is>
      </c>
      <c r="D1019">
        <f>L1019</f>
        <v/>
      </c>
      <c r="E1019">
        <f>SUMIFS(J:J, G:G,             A1019, H:H, B1019, L:L, L1019)</f>
        <v/>
      </c>
      <c r="F1019" t="inlineStr">
        <is>
          <t>26</t>
        </is>
      </c>
      <c r="G1019" t="inlineStr">
        <is>
          <t>下重 真貴子</t>
        </is>
      </c>
      <c r="H1019" t="inlineStr">
        <is>
          <t>TCNz004:新SMS開発</t>
        </is>
      </c>
      <c r="I1019" s="1" t="n">
        <v>45946</v>
      </c>
      <c r="J1019" t="n">
        <v>3</v>
      </c>
      <c r="L1019">
        <f>IFERROR(LEFT(K1019,             FIND(",", K1019) - 1), "-")</f>
        <v/>
      </c>
      <c r="M1019">
        <f>IFERROR(MID(K1019,             FIND(",", K1019) + 1, LEN(K1019) - FIND(",", K1019)), K1019)</f>
        <v/>
      </c>
      <c r="N1019" t="n">
        <v>5</v>
      </c>
      <c r="P1019" t="inlineStr">
        <is>
          <t>09:00</t>
        </is>
      </c>
      <c r="Q1019" t="inlineStr">
        <is>
          <t>12:00</t>
        </is>
      </c>
    </row>
    <row r="1020">
      <c r="A1020" t="inlineStr">
        <is>
          <t>下重 真貴子</t>
        </is>
      </c>
      <c r="B1020" t="inlineStr">
        <is>
          <t>TCNz004:新SMS開発</t>
        </is>
      </c>
      <c r="D1020">
        <f>L1020</f>
        <v/>
      </c>
      <c r="E1020">
        <f>SUMIFS(J:J, G:G,             A1020, H:H, B1020, L:L, L1020)</f>
        <v/>
      </c>
      <c r="F1020" t="inlineStr">
        <is>
          <t>26</t>
        </is>
      </c>
      <c r="G1020" t="inlineStr">
        <is>
          <t>下重 真貴子</t>
        </is>
      </c>
      <c r="H1020" t="inlineStr">
        <is>
          <t>TCNz004:新SMS開発</t>
        </is>
      </c>
      <c r="I1020" s="1" t="n">
        <v>45946</v>
      </c>
      <c r="J1020" t="n">
        <v>5</v>
      </c>
      <c r="L1020">
        <f>IFERROR(LEFT(K1020,             FIND(",", K1020) - 1), "-")</f>
        <v/>
      </c>
      <c r="M1020">
        <f>IFERROR(MID(K1020,             FIND(",", K1020) + 1, LEN(K1020) - FIND(",", K1020)), K1020)</f>
        <v/>
      </c>
      <c r="N1020" t="n">
        <v>5</v>
      </c>
      <c r="P1020" t="inlineStr">
        <is>
          <t>13:00</t>
        </is>
      </c>
      <c r="Q1020" t="inlineStr">
        <is>
          <t>18:00</t>
        </is>
      </c>
    </row>
    <row r="1021">
      <c r="A1021" t="inlineStr">
        <is>
          <t>下重 真貴子</t>
        </is>
      </c>
      <c r="B1021" t="inlineStr">
        <is>
          <t>TCNz004:新SMS開発</t>
        </is>
      </c>
      <c r="D1021">
        <f>L1021</f>
        <v/>
      </c>
      <c r="E1021">
        <f>SUMIFS(J:J, G:G,             A1021, H:H, B1021, L:L, L1021)</f>
        <v/>
      </c>
      <c r="F1021" t="inlineStr">
        <is>
          <t>26</t>
        </is>
      </c>
      <c r="G1021" t="inlineStr">
        <is>
          <t>下重 真貴子</t>
        </is>
      </c>
      <c r="H1021" t="inlineStr">
        <is>
          <t>TCNz004:新SMS開発</t>
        </is>
      </c>
      <c r="I1021" s="1" t="n">
        <v>45947</v>
      </c>
      <c r="J1021" t="n">
        <v>3</v>
      </c>
      <c r="L1021">
        <f>IFERROR(LEFT(K1021,             FIND(",", K1021) - 1), "-")</f>
        <v/>
      </c>
      <c r="M1021">
        <f>IFERROR(MID(K1021,             FIND(",", K1021) + 1, LEN(K1021) - FIND(",", K1021)), K1021)</f>
        <v/>
      </c>
      <c r="N1021" t="n">
        <v>5</v>
      </c>
      <c r="P1021" t="inlineStr">
        <is>
          <t>09:00</t>
        </is>
      </c>
      <c r="Q1021" t="inlineStr">
        <is>
          <t>12:00</t>
        </is>
      </c>
    </row>
    <row r="1022">
      <c r="A1022" t="inlineStr">
        <is>
          <t>下重 真貴子</t>
        </is>
      </c>
      <c r="B1022" t="inlineStr">
        <is>
          <t>TCNz004:新SMS開発</t>
        </is>
      </c>
      <c r="D1022">
        <f>L1022</f>
        <v/>
      </c>
      <c r="E1022">
        <f>SUMIFS(J:J, G:G,             A1022, H:H, B1022, L:L, L1022)</f>
        <v/>
      </c>
      <c r="F1022" t="inlineStr">
        <is>
          <t>26</t>
        </is>
      </c>
      <c r="G1022" t="inlineStr">
        <is>
          <t>下重 真貴子</t>
        </is>
      </c>
      <c r="H1022" t="inlineStr">
        <is>
          <t>TCNz004:新SMS開発</t>
        </is>
      </c>
      <c r="I1022" s="1" t="n">
        <v>45947</v>
      </c>
      <c r="J1022" t="n">
        <v>5</v>
      </c>
      <c r="L1022">
        <f>IFERROR(LEFT(K1022,             FIND(",", K1022) - 1), "-")</f>
        <v/>
      </c>
      <c r="M1022">
        <f>IFERROR(MID(K1022,             FIND(",", K1022) + 1, LEN(K1022) - FIND(",", K1022)), K1022)</f>
        <v/>
      </c>
      <c r="N1022" t="n">
        <v>5</v>
      </c>
      <c r="P1022" t="inlineStr">
        <is>
          <t>13:00</t>
        </is>
      </c>
      <c r="Q1022" t="inlineStr">
        <is>
          <t>18:00</t>
        </is>
      </c>
    </row>
    <row r="1023">
      <c r="A1023" t="inlineStr">
        <is>
          <t>下重 真貴子</t>
        </is>
      </c>
      <c r="B1023" t="inlineStr">
        <is>
          <t>TCNz005:JP-Phサポート</t>
        </is>
      </c>
      <c r="C1023">
        <f>SUMIFS(J:J, G:G,             A1023, H:H, B1023)</f>
        <v/>
      </c>
      <c r="D1023">
        <f>L1023</f>
        <v/>
      </c>
      <c r="E1023">
        <f>SUMIFS(J:J, G:G,             A1023, H:H, B1023, L:L, L1023)</f>
        <v/>
      </c>
      <c r="F1023" t="inlineStr">
        <is>
          <t>26</t>
        </is>
      </c>
      <c r="G1023" t="inlineStr">
        <is>
          <t>下重 真貴子</t>
        </is>
      </c>
      <c r="H1023" t="inlineStr">
        <is>
          <t>TCNz005:JP-Phサポート</t>
        </is>
      </c>
      <c r="I1023" s="1" t="n">
        <v>45932</v>
      </c>
      <c r="J1023" t="n">
        <v>0.5</v>
      </c>
      <c r="L1023">
        <f>IFERROR(LEFT(K1023,             FIND(",", K1023) - 1), "-")</f>
        <v/>
      </c>
      <c r="M1023">
        <f>IFERROR(MID(K1023,             FIND(",", K1023) + 1, LEN(K1023) - FIND(",", K1023)), K1023)</f>
        <v/>
      </c>
      <c r="N1023" t="n">
        <v>5</v>
      </c>
      <c r="P1023" t="inlineStr">
        <is>
          <t>15:00</t>
        </is>
      </c>
      <c r="Q1023" t="inlineStr">
        <is>
          <t>15:30</t>
        </is>
      </c>
    </row>
    <row r="1024">
      <c r="A1024" t="inlineStr">
        <is>
          <t>下重 真貴子</t>
        </is>
      </c>
      <c r="B1024" t="inlineStr">
        <is>
          <t>TCNz005:JP-Phサポート</t>
        </is>
      </c>
      <c r="D1024">
        <f>L1024</f>
        <v/>
      </c>
      <c r="E1024">
        <f>SUMIFS(J:J, G:G,             A1024, H:H, B1024, L:L, L1024)</f>
        <v/>
      </c>
      <c r="F1024" t="inlineStr">
        <is>
          <t>26</t>
        </is>
      </c>
      <c r="G1024" t="inlineStr">
        <is>
          <t>下重 真貴子</t>
        </is>
      </c>
      <c r="H1024" t="inlineStr">
        <is>
          <t>TCNz005:JP-Phサポート</t>
        </is>
      </c>
      <c r="I1024" s="1" t="n">
        <v>45946</v>
      </c>
      <c r="J1024" t="n">
        <v>0.5</v>
      </c>
      <c r="L1024">
        <f>IFERROR(LEFT(K1024,             FIND(",", K1024) - 1), "-")</f>
        <v/>
      </c>
      <c r="M1024">
        <f>IFERROR(MID(K1024,             FIND(",", K1024) + 1, LEN(K1024) - FIND(",", K1024)), K1024)</f>
        <v/>
      </c>
      <c r="N1024" t="n">
        <v>5</v>
      </c>
      <c r="P1024" t="inlineStr">
        <is>
          <t>18:00</t>
        </is>
      </c>
      <c r="Q1024" t="inlineStr">
        <is>
          <t>18:30</t>
        </is>
      </c>
    </row>
    <row r="1025">
      <c r="A1025" t="inlineStr">
        <is>
          <t>中野 正昭</t>
        </is>
      </c>
      <c r="B1025" t="inlineStr">
        <is>
          <t>ITJS001:伊藤塾 サポート</t>
        </is>
      </c>
      <c r="C1025">
        <f>SUMIFS(J:J, G:G,             A1025, H:H, B1025)</f>
        <v/>
      </c>
      <c r="D1025">
        <f>L1025</f>
        <v/>
      </c>
      <c r="E1025">
        <f>SUMIFS(J:J, G:G,             A1025, H:H, B1025, L:L, L1025)</f>
        <v/>
      </c>
      <c r="F1025" t="inlineStr">
        <is>
          <t>O-34</t>
        </is>
      </c>
      <c r="G1025" t="inlineStr">
        <is>
          <t>中野 正昭</t>
        </is>
      </c>
      <c r="H1025" t="inlineStr">
        <is>
          <t>ITJS001:伊藤塾 サポート</t>
        </is>
      </c>
      <c r="I1025" s="1" t="n">
        <v>45931</v>
      </c>
      <c r="J1025" t="n">
        <v>2</v>
      </c>
      <c r="L1025">
        <f>IFERROR(LEFT(K1025,             FIND(",", K1025) - 1), "-")</f>
        <v/>
      </c>
      <c r="M1025">
        <f>IFERROR(MID(K1025,             FIND(",", K1025) + 1, LEN(K1025) - FIND(",", K1025)), K1025)</f>
        <v/>
      </c>
      <c r="N1025" t="n">
        <v>3</v>
      </c>
      <c r="P1025" t="inlineStr">
        <is>
          <t>10:00</t>
        </is>
      </c>
      <c r="Q1025" t="inlineStr">
        <is>
          <t>12:00</t>
        </is>
      </c>
    </row>
    <row r="1026">
      <c r="A1026" t="inlineStr">
        <is>
          <t>中野 正昭</t>
        </is>
      </c>
      <c r="B1026" t="inlineStr">
        <is>
          <t>ITJS001:伊藤塾 サポート</t>
        </is>
      </c>
      <c r="D1026">
        <f>L1026</f>
        <v/>
      </c>
      <c r="E1026">
        <f>SUMIFS(J:J, G:G,             A1026, H:H, B1026, L:L, L1026)</f>
        <v/>
      </c>
      <c r="F1026" t="inlineStr">
        <is>
          <t>O-34</t>
        </is>
      </c>
      <c r="G1026" t="inlineStr">
        <is>
          <t>中野 正昭</t>
        </is>
      </c>
      <c r="H1026" t="inlineStr">
        <is>
          <t>ITJS001:伊藤塾 サポート</t>
        </is>
      </c>
      <c r="I1026" s="1" t="n">
        <v>45931</v>
      </c>
      <c r="J1026" t="n">
        <v>4</v>
      </c>
      <c r="L1026">
        <f>IFERROR(LEFT(K1026,             FIND(",", K1026) - 1), "-")</f>
        <v/>
      </c>
      <c r="M1026">
        <f>IFERROR(MID(K1026,             FIND(",", K1026) + 1, LEN(K1026) - FIND(",", K1026)), K1026)</f>
        <v/>
      </c>
      <c r="N1026" t="n">
        <v>3</v>
      </c>
      <c r="P1026" t="inlineStr">
        <is>
          <t>13:00</t>
        </is>
      </c>
      <c r="Q1026" t="inlineStr">
        <is>
          <t>17:00</t>
        </is>
      </c>
    </row>
    <row r="1027">
      <c r="A1027" t="inlineStr">
        <is>
          <t>中野 正昭</t>
        </is>
      </c>
      <c r="B1027" t="inlineStr">
        <is>
          <t>ITJS001:伊藤塾 サポート</t>
        </is>
      </c>
      <c r="D1027">
        <f>L1027</f>
        <v/>
      </c>
      <c r="E1027">
        <f>SUMIFS(J:J, G:G,             A1027, H:H, B1027, L:L, L1027)</f>
        <v/>
      </c>
      <c r="F1027" t="inlineStr">
        <is>
          <t>O-34</t>
        </is>
      </c>
      <c r="G1027" t="inlineStr">
        <is>
          <t>中野 正昭</t>
        </is>
      </c>
      <c r="H1027" t="inlineStr">
        <is>
          <t>ITJS001:伊藤塾 サポート</t>
        </is>
      </c>
      <c r="I1027" s="1" t="n">
        <v>45932</v>
      </c>
      <c r="J1027" t="n">
        <v>2</v>
      </c>
      <c r="L1027">
        <f>IFERROR(LEFT(K1027,             FIND(",", K1027) - 1), "-")</f>
        <v/>
      </c>
      <c r="M1027">
        <f>IFERROR(MID(K1027,             FIND(",", K1027) + 1, LEN(K1027) - FIND(",", K1027)), K1027)</f>
        <v/>
      </c>
      <c r="N1027" t="n">
        <v>3</v>
      </c>
      <c r="P1027" t="inlineStr">
        <is>
          <t>10:00</t>
        </is>
      </c>
      <c r="Q1027" t="inlineStr">
        <is>
          <t>12:00</t>
        </is>
      </c>
    </row>
    <row r="1028">
      <c r="A1028" t="inlineStr">
        <is>
          <t>中野 正昭</t>
        </is>
      </c>
      <c r="B1028" t="inlineStr">
        <is>
          <t>ITJS001:伊藤塾 サポート</t>
        </is>
      </c>
      <c r="D1028">
        <f>L1028</f>
        <v/>
      </c>
      <c r="E1028">
        <f>SUMIFS(J:J, G:G,             A1028, H:H, B1028, L:L, L1028)</f>
        <v/>
      </c>
      <c r="F1028" t="inlineStr">
        <is>
          <t>O-34</t>
        </is>
      </c>
      <c r="G1028" t="inlineStr">
        <is>
          <t>中野 正昭</t>
        </is>
      </c>
      <c r="H1028" t="inlineStr">
        <is>
          <t>ITJS001:伊藤塾 サポート</t>
        </is>
      </c>
      <c r="I1028" s="1" t="n">
        <v>45932</v>
      </c>
      <c r="J1028" t="n">
        <v>4</v>
      </c>
      <c r="L1028">
        <f>IFERROR(LEFT(K1028,             FIND(",", K1028) - 1), "-")</f>
        <v/>
      </c>
      <c r="M1028">
        <f>IFERROR(MID(K1028,             FIND(",", K1028) + 1, LEN(K1028) - FIND(",", K1028)), K1028)</f>
        <v/>
      </c>
      <c r="N1028" t="n">
        <v>3</v>
      </c>
      <c r="P1028" t="inlineStr">
        <is>
          <t>13:00</t>
        </is>
      </c>
      <c r="Q1028" t="inlineStr">
        <is>
          <t>17:00</t>
        </is>
      </c>
    </row>
    <row r="1029">
      <c r="A1029" t="inlineStr">
        <is>
          <t>中野 正昭</t>
        </is>
      </c>
      <c r="B1029" t="inlineStr">
        <is>
          <t>ITJS001:伊藤塾 サポート</t>
        </is>
      </c>
      <c r="D1029">
        <f>L1029</f>
        <v/>
      </c>
      <c r="E1029">
        <f>SUMIFS(J:J, G:G,             A1029, H:H, B1029, L:L, L1029)</f>
        <v/>
      </c>
      <c r="F1029" t="inlineStr">
        <is>
          <t>O-34</t>
        </is>
      </c>
      <c r="G1029" t="inlineStr">
        <is>
          <t>中野 正昭</t>
        </is>
      </c>
      <c r="H1029" t="inlineStr">
        <is>
          <t>ITJS001:伊藤塾 サポート</t>
        </is>
      </c>
      <c r="I1029" s="1" t="n">
        <v>45935</v>
      </c>
      <c r="J1029" t="n">
        <v>2</v>
      </c>
      <c r="L1029">
        <f>IFERROR(LEFT(K1029,             FIND(",", K1029) - 1), "-")</f>
        <v/>
      </c>
      <c r="M1029">
        <f>IFERROR(MID(K1029,             FIND(",", K1029) + 1, LEN(K1029) - FIND(",", K1029)), K1029)</f>
        <v/>
      </c>
      <c r="N1029" t="n">
        <v>3</v>
      </c>
      <c r="P1029" t="inlineStr">
        <is>
          <t>10:00</t>
        </is>
      </c>
      <c r="Q1029" t="inlineStr">
        <is>
          <t>12:00</t>
        </is>
      </c>
    </row>
    <row r="1030">
      <c r="A1030" t="inlineStr">
        <is>
          <t>中野 正昭</t>
        </is>
      </c>
      <c r="B1030" t="inlineStr">
        <is>
          <t>ITJS001:伊藤塾 サポート</t>
        </is>
      </c>
      <c r="D1030">
        <f>L1030</f>
        <v/>
      </c>
      <c r="E1030">
        <f>SUMIFS(J:J, G:G,             A1030, H:H, B1030, L:L, L1030)</f>
        <v/>
      </c>
      <c r="F1030" t="inlineStr">
        <is>
          <t>O-34</t>
        </is>
      </c>
      <c r="G1030" t="inlineStr">
        <is>
          <t>中野 正昭</t>
        </is>
      </c>
      <c r="H1030" t="inlineStr">
        <is>
          <t>ITJS001:伊藤塾 サポート</t>
        </is>
      </c>
      <c r="I1030" s="1" t="n">
        <v>45935</v>
      </c>
      <c r="J1030" t="n">
        <v>3.25</v>
      </c>
      <c r="L1030">
        <f>IFERROR(LEFT(K1030,             FIND(",", K1030) - 1), "-")</f>
        <v/>
      </c>
      <c r="M1030">
        <f>IFERROR(MID(K1030,             FIND(",", K1030) + 1, LEN(K1030) - FIND(",", K1030)), K1030)</f>
        <v/>
      </c>
      <c r="N1030" t="n">
        <v>3</v>
      </c>
      <c r="P1030" t="inlineStr">
        <is>
          <t>13:45</t>
        </is>
      </c>
      <c r="Q1030" t="inlineStr">
        <is>
          <t>17:00</t>
        </is>
      </c>
    </row>
    <row r="1031">
      <c r="A1031" t="inlineStr">
        <is>
          <t>中野 正昭</t>
        </is>
      </c>
      <c r="B1031" t="inlineStr">
        <is>
          <t>ITJS001:伊藤塾 サポート</t>
        </is>
      </c>
      <c r="D1031">
        <f>L1031</f>
        <v/>
      </c>
      <c r="E1031">
        <f>SUMIFS(J:J, G:G,             A1031, H:H, B1031, L:L, L1031)</f>
        <v/>
      </c>
      <c r="F1031" t="inlineStr">
        <is>
          <t>O-34</t>
        </is>
      </c>
      <c r="G1031" t="inlineStr">
        <is>
          <t>中野 正昭</t>
        </is>
      </c>
      <c r="H1031" t="inlineStr">
        <is>
          <t>ITJS001:伊藤塾 サポート</t>
        </is>
      </c>
      <c r="I1031" s="1" t="n">
        <v>45936</v>
      </c>
      <c r="J1031" t="n">
        <v>2</v>
      </c>
      <c r="L1031">
        <f>IFERROR(LEFT(K1031,             FIND(",", K1031) - 1), "-")</f>
        <v/>
      </c>
      <c r="M1031">
        <f>IFERROR(MID(K1031,             FIND(",", K1031) + 1, LEN(K1031) - FIND(",", K1031)), K1031)</f>
        <v/>
      </c>
      <c r="N1031" t="n">
        <v>3</v>
      </c>
      <c r="P1031" t="inlineStr">
        <is>
          <t>10:00</t>
        </is>
      </c>
      <c r="Q1031" t="inlineStr">
        <is>
          <t>12:00</t>
        </is>
      </c>
    </row>
    <row r="1032">
      <c r="A1032" t="inlineStr">
        <is>
          <t>中野 正昭</t>
        </is>
      </c>
      <c r="B1032" t="inlineStr">
        <is>
          <t>ITJS001:伊藤塾 サポート</t>
        </is>
      </c>
      <c r="D1032">
        <f>L1032</f>
        <v/>
      </c>
      <c r="E1032">
        <f>SUMIFS(J:J, G:G,             A1032, H:H, B1032, L:L, L1032)</f>
        <v/>
      </c>
      <c r="F1032" t="inlineStr">
        <is>
          <t>O-34</t>
        </is>
      </c>
      <c r="G1032" t="inlineStr">
        <is>
          <t>中野 正昭</t>
        </is>
      </c>
      <c r="H1032" t="inlineStr">
        <is>
          <t>ITJS001:伊藤塾 サポート</t>
        </is>
      </c>
      <c r="I1032" s="1" t="n">
        <v>45936</v>
      </c>
      <c r="J1032" t="n">
        <v>4</v>
      </c>
      <c r="L1032">
        <f>IFERROR(LEFT(K1032,             FIND(",", K1032) - 1), "-")</f>
        <v/>
      </c>
      <c r="M1032">
        <f>IFERROR(MID(K1032,             FIND(",", K1032) + 1, LEN(K1032) - FIND(",", K1032)), K1032)</f>
        <v/>
      </c>
      <c r="N1032" t="n">
        <v>3</v>
      </c>
      <c r="P1032" t="inlineStr">
        <is>
          <t>13:00</t>
        </is>
      </c>
      <c r="Q1032" t="inlineStr">
        <is>
          <t>17:00</t>
        </is>
      </c>
    </row>
    <row r="1033">
      <c r="A1033" t="inlineStr">
        <is>
          <t>中野 正昭</t>
        </is>
      </c>
      <c r="B1033" t="inlineStr">
        <is>
          <t>ITJS001:伊藤塾 サポート</t>
        </is>
      </c>
      <c r="D1033">
        <f>L1033</f>
        <v/>
      </c>
      <c r="E1033">
        <f>SUMIFS(J:J, G:G,             A1033, H:H, B1033, L:L, L1033)</f>
        <v/>
      </c>
      <c r="F1033" t="inlineStr">
        <is>
          <t>O-34</t>
        </is>
      </c>
      <c r="G1033" t="inlineStr">
        <is>
          <t>中野 正昭</t>
        </is>
      </c>
      <c r="H1033" t="inlineStr">
        <is>
          <t>ITJS001:伊藤塾 サポート</t>
        </is>
      </c>
      <c r="I1033" s="1" t="n">
        <v>45938</v>
      </c>
      <c r="J1033" t="n">
        <v>2</v>
      </c>
      <c r="L1033">
        <f>IFERROR(LEFT(K1033,             FIND(",", K1033) - 1), "-")</f>
        <v/>
      </c>
      <c r="M1033">
        <f>IFERROR(MID(K1033,             FIND(",", K1033) + 1, LEN(K1033) - FIND(",", K1033)), K1033)</f>
        <v/>
      </c>
      <c r="N1033" t="n">
        <v>3</v>
      </c>
      <c r="P1033" t="inlineStr">
        <is>
          <t>10:00</t>
        </is>
      </c>
      <c r="Q1033" t="inlineStr">
        <is>
          <t>12:00</t>
        </is>
      </c>
    </row>
    <row r="1034">
      <c r="A1034" t="inlineStr">
        <is>
          <t>中野 正昭</t>
        </is>
      </c>
      <c r="B1034" t="inlineStr">
        <is>
          <t>ITJS001:伊藤塾 サポート</t>
        </is>
      </c>
      <c r="D1034">
        <f>L1034</f>
        <v/>
      </c>
      <c r="E1034">
        <f>SUMIFS(J:J, G:G,             A1034, H:H, B1034, L:L, L1034)</f>
        <v/>
      </c>
      <c r="F1034" t="inlineStr">
        <is>
          <t>O-34</t>
        </is>
      </c>
      <c r="G1034" t="inlineStr">
        <is>
          <t>中野 正昭</t>
        </is>
      </c>
      <c r="H1034" t="inlineStr">
        <is>
          <t>ITJS001:伊藤塾 サポート</t>
        </is>
      </c>
      <c r="I1034" s="1" t="n">
        <v>45938</v>
      </c>
      <c r="J1034" t="n">
        <v>4</v>
      </c>
      <c r="L1034">
        <f>IFERROR(LEFT(K1034,             FIND(",", K1034) - 1), "-")</f>
        <v/>
      </c>
      <c r="M1034">
        <f>IFERROR(MID(K1034,             FIND(",", K1034) + 1, LEN(K1034) - FIND(",", K1034)), K1034)</f>
        <v/>
      </c>
      <c r="N1034" t="n">
        <v>3</v>
      </c>
      <c r="P1034" t="inlineStr">
        <is>
          <t>13:00</t>
        </is>
      </c>
      <c r="Q1034" t="inlineStr">
        <is>
          <t>17:00</t>
        </is>
      </c>
    </row>
    <row r="1035">
      <c r="A1035" t="inlineStr">
        <is>
          <t>中野 正昭</t>
        </is>
      </c>
      <c r="B1035" t="inlineStr">
        <is>
          <t>ITJS001:伊藤塾 サポート</t>
        </is>
      </c>
      <c r="D1035">
        <f>L1035</f>
        <v/>
      </c>
      <c r="E1035">
        <f>SUMIFS(J:J, G:G,             A1035, H:H, B1035, L:L, L1035)</f>
        <v/>
      </c>
      <c r="F1035" t="inlineStr">
        <is>
          <t>O-34</t>
        </is>
      </c>
      <c r="G1035" t="inlineStr">
        <is>
          <t>中野 正昭</t>
        </is>
      </c>
      <c r="H1035" t="inlineStr">
        <is>
          <t>ITJS001:伊藤塾 サポート</t>
        </is>
      </c>
      <c r="I1035" s="1" t="n">
        <v>45939</v>
      </c>
      <c r="J1035" t="n">
        <v>2</v>
      </c>
      <c r="L1035">
        <f>IFERROR(LEFT(K1035,             FIND(",", K1035) - 1), "-")</f>
        <v/>
      </c>
      <c r="M1035">
        <f>IFERROR(MID(K1035,             FIND(",", K1035) + 1, LEN(K1035) - FIND(",", K1035)), K1035)</f>
        <v/>
      </c>
      <c r="N1035" t="n">
        <v>3</v>
      </c>
      <c r="P1035" t="inlineStr">
        <is>
          <t>10:00</t>
        </is>
      </c>
      <c r="Q1035" t="inlineStr">
        <is>
          <t>12:00</t>
        </is>
      </c>
    </row>
    <row r="1036">
      <c r="A1036" t="inlineStr">
        <is>
          <t>中野 正昭</t>
        </is>
      </c>
      <c r="B1036" t="inlineStr">
        <is>
          <t>ITJS001:伊藤塾 サポート</t>
        </is>
      </c>
      <c r="D1036">
        <f>L1036</f>
        <v/>
      </c>
      <c r="E1036">
        <f>SUMIFS(J:J, G:G,             A1036, H:H, B1036, L:L, L1036)</f>
        <v/>
      </c>
      <c r="F1036" t="inlineStr">
        <is>
          <t>O-34</t>
        </is>
      </c>
      <c r="G1036" t="inlineStr">
        <is>
          <t>中野 正昭</t>
        </is>
      </c>
      <c r="H1036" t="inlineStr">
        <is>
          <t>ITJS001:伊藤塾 サポート</t>
        </is>
      </c>
      <c r="I1036" s="1" t="n">
        <v>45939</v>
      </c>
      <c r="J1036" t="n">
        <v>4</v>
      </c>
      <c r="L1036">
        <f>IFERROR(LEFT(K1036,             FIND(",", K1036) - 1), "-")</f>
        <v/>
      </c>
      <c r="M1036">
        <f>IFERROR(MID(K1036,             FIND(",", K1036) + 1, LEN(K1036) - FIND(",", K1036)), K1036)</f>
        <v/>
      </c>
      <c r="N1036" t="n">
        <v>3</v>
      </c>
      <c r="P1036" t="inlineStr">
        <is>
          <t>13:00</t>
        </is>
      </c>
      <c r="Q1036" t="inlineStr">
        <is>
          <t>17:00</t>
        </is>
      </c>
    </row>
    <row r="1037">
      <c r="A1037" t="inlineStr">
        <is>
          <t>中野 正昭</t>
        </is>
      </c>
      <c r="B1037" t="inlineStr">
        <is>
          <t>ITJS001:伊藤塾 サポート</t>
        </is>
      </c>
      <c r="D1037">
        <f>L1037</f>
        <v/>
      </c>
      <c r="E1037">
        <f>SUMIFS(J:J, G:G,             A1037, H:H, B1037, L:L, L1037)</f>
        <v/>
      </c>
      <c r="F1037" t="inlineStr">
        <is>
          <t>O-34</t>
        </is>
      </c>
      <c r="G1037" t="inlineStr">
        <is>
          <t>中野 正昭</t>
        </is>
      </c>
      <c r="H1037" t="inlineStr">
        <is>
          <t>ITJS001:伊藤塾 サポート</t>
        </is>
      </c>
      <c r="I1037" s="1" t="n">
        <v>45942</v>
      </c>
      <c r="J1037" t="n">
        <v>2</v>
      </c>
      <c r="L1037">
        <f>IFERROR(LEFT(K1037,             FIND(",", K1037) - 1), "-")</f>
        <v/>
      </c>
      <c r="M1037">
        <f>IFERROR(MID(K1037,             FIND(",", K1037) + 1, LEN(K1037) - FIND(",", K1037)), K1037)</f>
        <v/>
      </c>
      <c r="N1037" t="n">
        <v>3</v>
      </c>
      <c r="P1037" t="inlineStr">
        <is>
          <t>10:00</t>
        </is>
      </c>
      <c r="Q1037" t="inlineStr">
        <is>
          <t>12:00</t>
        </is>
      </c>
    </row>
    <row r="1038">
      <c r="A1038" t="inlineStr">
        <is>
          <t>中野 正昭</t>
        </is>
      </c>
      <c r="B1038" t="inlineStr">
        <is>
          <t>ITJS001:伊藤塾 サポート</t>
        </is>
      </c>
      <c r="D1038">
        <f>L1038</f>
        <v/>
      </c>
      <c r="E1038">
        <f>SUMIFS(J:J, G:G,             A1038, H:H, B1038, L:L, L1038)</f>
        <v/>
      </c>
      <c r="F1038" t="inlineStr">
        <is>
          <t>O-34</t>
        </is>
      </c>
      <c r="G1038" t="inlineStr">
        <is>
          <t>中野 正昭</t>
        </is>
      </c>
      <c r="H1038" t="inlineStr">
        <is>
          <t>ITJS001:伊藤塾 サポート</t>
        </is>
      </c>
      <c r="I1038" s="1" t="n">
        <v>45942</v>
      </c>
      <c r="J1038" t="n">
        <v>3.25</v>
      </c>
      <c r="L1038">
        <f>IFERROR(LEFT(K1038,             FIND(",", K1038) - 1), "-")</f>
        <v/>
      </c>
      <c r="M1038">
        <f>IFERROR(MID(K1038,             FIND(",", K1038) + 1, LEN(K1038) - FIND(",", K1038)), K1038)</f>
        <v/>
      </c>
      <c r="N1038" t="n">
        <v>3</v>
      </c>
      <c r="P1038" t="inlineStr">
        <is>
          <t>13:45</t>
        </is>
      </c>
      <c r="Q1038" t="inlineStr">
        <is>
          <t>17:00</t>
        </is>
      </c>
    </row>
    <row r="1039">
      <c r="A1039" t="inlineStr">
        <is>
          <t>中野 正昭</t>
        </is>
      </c>
      <c r="B1039" t="inlineStr">
        <is>
          <t>ITJS001:伊藤塾 サポート</t>
        </is>
      </c>
      <c r="D1039">
        <f>L1039</f>
        <v/>
      </c>
      <c r="E1039">
        <f>SUMIFS(J:J, G:G,             A1039, H:H, B1039, L:L, L1039)</f>
        <v/>
      </c>
      <c r="F1039" t="inlineStr">
        <is>
          <t>O-34</t>
        </is>
      </c>
      <c r="G1039" t="inlineStr">
        <is>
          <t>中野 正昭</t>
        </is>
      </c>
      <c r="H1039" t="inlineStr">
        <is>
          <t>ITJS001:伊藤塾 サポート</t>
        </is>
      </c>
      <c r="I1039" s="1" t="n">
        <v>45945</v>
      </c>
      <c r="J1039" t="n">
        <v>2</v>
      </c>
      <c r="L1039">
        <f>IFERROR(LEFT(K1039,             FIND(",", K1039) - 1), "-")</f>
        <v/>
      </c>
      <c r="M1039">
        <f>IFERROR(MID(K1039,             FIND(",", K1039) + 1, LEN(K1039) - FIND(",", K1039)), K1039)</f>
        <v/>
      </c>
      <c r="N1039" t="n">
        <v>3</v>
      </c>
      <c r="P1039" t="inlineStr">
        <is>
          <t>10:00</t>
        </is>
      </c>
      <c r="Q1039" t="inlineStr">
        <is>
          <t>12:00</t>
        </is>
      </c>
    </row>
    <row r="1040">
      <c r="A1040" t="inlineStr">
        <is>
          <t>中野 正昭</t>
        </is>
      </c>
      <c r="B1040" t="inlineStr">
        <is>
          <t>ITJS001:伊藤塾 サポート</t>
        </is>
      </c>
      <c r="D1040">
        <f>L1040</f>
        <v/>
      </c>
      <c r="E1040">
        <f>SUMIFS(J:J, G:G,             A1040, H:H, B1040, L:L, L1040)</f>
        <v/>
      </c>
      <c r="F1040" t="inlineStr">
        <is>
          <t>O-34</t>
        </is>
      </c>
      <c r="G1040" t="inlineStr">
        <is>
          <t>中野 正昭</t>
        </is>
      </c>
      <c r="H1040" t="inlineStr">
        <is>
          <t>ITJS001:伊藤塾 サポート</t>
        </is>
      </c>
      <c r="I1040" s="1" t="n">
        <v>45945</v>
      </c>
      <c r="J1040" t="n">
        <v>4.25</v>
      </c>
      <c r="L1040">
        <f>IFERROR(LEFT(K1040,             FIND(",", K1040) - 1), "-")</f>
        <v/>
      </c>
      <c r="M1040">
        <f>IFERROR(MID(K1040,             FIND(",", K1040) + 1, LEN(K1040) - FIND(",", K1040)), K1040)</f>
        <v/>
      </c>
      <c r="N1040" t="n">
        <v>3</v>
      </c>
      <c r="P1040" t="inlineStr">
        <is>
          <t>13:00</t>
        </is>
      </c>
      <c r="Q1040" t="inlineStr">
        <is>
          <t>17:15</t>
        </is>
      </c>
    </row>
    <row r="1041">
      <c r="A1041" t="inlineStr">
        <is>
          <t>中野 正昭</t>
        </is>
      </c>
      <c r="B1041" t="inlineStr">
        <is>
          <t>ITJS001:伊藤塾 サポート</t>
        </is>
      </c>
      <c r="D1041">
        <f>L1041</f>
        <v/>
      </c>
      <c r="E1041">
        <f>SUMIFS(J:J, G:G,             A1041, H:H, B1041, L:L, L1041)</f>
        <v/>
      </c>
      <c r="F1041" t="inlineStr">
        <is>
          <t>O-34</t>
        </is>
      </c>
      <c r="G1041" t="inlineStr">
        <is>
          <t>中野 正昭</t>
        </is>
      </c>
      <c r="H1041" t="inlineStr">
        <is>
          <t>ITJS001:伊藤塾 サポート</t>
        </is>
      </c>
      <c r="I1041" s="1" t="n">
        <v>45946</v>
      </c>
      <c r="J1041" t="n">
        <v>2</v>
      </c>
      <c r="L1041">
        <f>IFERROR(LEFT(K1041,             FIND(",", K1041) - 1), "-")</f>
        <v/>
      </c>
      <c r="M1041">
        <f>IFERROR(MID(K1041,             FIND(",", K1041) + 1, LEN(K1041) - FIND(",", K1041)), K1041)</f>
        <v/>
      </c>
      <c r="N1041" t="n">
        <v>3</v>
      </c>
      <c r="P1041" t="inlineStr">
        <is>
          <t>10:00</t>
        </is>
      </c>
      <c r="Q1041" t="inlineStr">
        <is>
          <t>12:00</t>
        </is>
      </c>
    </row>
    <row r="1042">
      <c r="A1042" t="inlineStr">
        <is>
          <t>中野 正昭</t>
        </is>
      </c>
      <c r="B1042" t="inlineStr">
        <is>
          <t>ITJS001:伊藤塾 サポート</t>
        </is>
      </c>
      <c r="D1042">
        <f>L1042</f>
        <v/>
      </c>
      <c r="E1042">
        <f>SUMIFS(J:J, G:G,             A1042, H:H, B1042, L:L, L1042)</f>
        <v/>
      </c>
      <c r="F1042" t="inlineStr">
        <is>
          <t>O-34</t>
        </is>
      </c>
      <c r="G1042" t="inlineStr">
        <is>
          <t>中野 正昭</t>
        </is>
      </c>
      <c r="H1042" t="inlineStr">
        <is>
          <t>ITJS001:伊藤塾 サポート</t>
        </is>
      </c>
      <c r="I1042" s="1" t="n">
        <v>45946</v>
      </c>
      <c r="J1042" t="n">
        <v>4</v>
      </c>
      <c r="L1042">
        <f>IFERROR(LEFT(K1042,             FIND(",", K1042) - 1), "-")</f>
        <v/>
      </c>
      <c r="M1042">
        <f>IFERROR(MID(K1042,             FIND(",", K1042) + 1, LEN(K1042) - FIND(",", K1042)), K1042)</f>
        <v/>
      </c>
      <c r="N1042" t="n">
        <v>3</v>
      </c>
      <c r="P1042" t="inlineStr">
        <is>
          <t>13:00</t>
        </is>
      </c>
      <c r="Q1042" t="inlineStr">
        <is>
          <t>17:00</t>
        </is>
      </c>
    </row>
    <row r="1043">
      <c r="A1043" t="inlineStr">
        <is>
          <t>中野 正昭</t>
        </is>
      </c>
      <c r="B1043" t="inlineStr">
        <is>
          <t>ITJS001:伊藤塾 サポート</t>
        </is>
      </c>
      <c r="D1043">
        <f>L1043</f>
        <v/>
      </c>
      <c r="E1043">
        <f>SUMIFS(J:J, G:G,             A1043, H:H, B1043, L:L, L1043)</f>
        <v/>
      </c>
      <c r="F1043" t="inlineStr">
        <is>
          <t>O-34</t>
        </is>
      </c>
      <c r="G1043" t="inlineStr">
        <is>
          <t>中野 正昭</t>
        </is>
      </c>
      <c r="H1043" t="inlineStr">
        <is>
          <t>ITJS001:伊藤塾 サポート</t>
        </is>
      </c>
      <c r="I1043" s="1" t="n">
        <v>45949</v>
      </c>
      <c r="J1043" t="n">
        <v>2</v>
      </c>
      <c r="L1043">
        <f>IFERROR(LEFT(K1043,             FIND(",", K1043) - 1), "-")</f>
        <v/>
      </c>
      <c r="M1043">
        <f>IFERROR(MID(K1043,             FIND(",", K1043) + 1, LEN(K1043) - FIND(",", K1043)), K1043)</f>
        <v/>
      </c>
      <c r="N1043" t="n">
        <v>3</v>
      </c>
      <c r="P1043" t="inlineStr">
        <is>
          <t>10:00</t>
        </is>
      </c>
      <c r="Q1043" t="inlineStr">
        <is>
          <t>12:00</t>
        </is>
      </c>
    </row>
    <row r="1044">
      <c r="A1044" t="inlineStr">
        <is>
          <t>中野 正昭</t>
        </is>
      </c>
      <c r="B1044" t="inlineStr">
        <is>
          <t>ITJS001:伊藤塾 サポート</t>
        </is>
      </c>
      <c r="D1044">
        <f>L1044</f>
        <v/>
      </c>
      <c r="E1044">
        <f>SUMIFS(J:J, G:G,             A1044, H:H, B1044, L:L, L1044)</f>
        <v/>
      </c>
      <c r="F1044" t="inlineStr">
        <is>
          <t>O-34</t>
        </is>
      </c>
      <c r="G1044" t="inlineStr">
        <is>
          <t>中野 正昭</t>
        </is>
      </c>
      <c r="H1044" t="inlineStr">
        <is>
          <t>ITJS001:伊藤塾 サポート</t>
        </is>
      </c>
      <c r="I1044" s="1" t="n">
        <v>45949</v>
      </c>
      <c r="J1044" t="n">
        <v>3.25</v>
      </c>
      <c r="L1044">
        <f>IFERROR(LEFT(K1044,             FIND(",", K1044) - 1), "-")</f>
        <v/>
      </c>
      <c r="M1044">
        <f>IFERROR(MID(K1044,             FIND(",", K1044) + 1, LEN(K1044) - FIND(",", K1044)), K1044)</f>
        <v/>
      </c>
      <c r="N1044" t="n">
        <v>3</v>
      </c>
      <c r="P1044" t="inlineStr">
        <is>
          <t>13:45</t>
        </is>
      </c>
      <c r="Q1044" t="inlineStr">
        <is>
          <t>17:00</t>
        </is>
      </c>
    </row>
    <row r="1045">
      <c r="A1045" t="inlineStr">
        <is>
          <t>中野 正昭</t>
        </is>
      </c>
      <c r="B1045" t="inlineStr">
        <is>
          <t>ITJS001:伊藤塾 サポート</t>
        </is>
      </c>
      <c r="D1045">
        <f>L1045</f>
        <v/>
      </c>
      <c r="E1045">
        <f>SUMIFS(J:J, G:G,             A1045, H:H, B1045, L:L, L1045)</f>
        <v/>
      </c>
      <c r="F1045" t="inlineStr">
        <is>
          <t>O-34</t>
        </is>
      </c>
      <c r="G1045" t="inlineStr">
        <is>
          <t>中野 正昭</t>
        </is>
      </c>
      <c r="H1045" t="inlineStr">
        <is>
          <t>ITJS001:伊藤塾 サポート</t>
        </is>
      </c>
      <c r="I1045" s="1" t="n">
        <v>45950</v>
      </c>
      <c r="J1045" t="n">
        <v>2</v>
      </c>
      <c r="L1045">
        <f>IFERROR(LEFT(K1045,             FIND(",", K1045) - 1), "-")</f>
        <v/>
      </c>
      <c r="M1045">
        <f>IFERROR(MID(K1045,             FIND(",", K1045) + 1, LEN(K1045) - FIND(",", K1045)), K1045)</f>
        <v/>
      </c>
      <c r="N1045" t="n">
        <v>3</v>
      </c>
      <c r="P1045" t="inlineStr">
        <is>
          <t>10:00</t>
        </is>
      </c>
      <c r="Q1045" t="inlineStr">
        <is>
          <t>12:00</t>
        </is>
      </c>
    </row>
    <row r="1046">
      <c r="A1046" t="inlineStr">
        <is>
          <t>中野 正昭</t>
        </is>
      </c>
      <c r="B1046" t="inlineStr">
        <is>
          <t>ITJS001:伊藤塾 サポート</t>
        </is>
      </c>
      <c r="D1046">
        <f>L1046</f>
        <v/>
      </c>
      <c r="E1046">
        <f>SUMIFS(J:J, G:G,             A1046, H:H, B1046, L:L, L1046)</f>
        <v/>
      </c>
      <c r="F1046" t="inlineStr">
        <is>
          <t>O-34</t>
        </is>
      </c>
      <c r="G1046" t="inlineStr">
        <is>
          <t>中野 正昭</t>
        </is>
      </c>
      <c r="H1046" t="inlineStr">
        <is>
          <t>ITJS001:伊藤塾 サポート</t>
        </is>
      </c>
      <c r="I1046" s="1" t="n">
        <v>45950</v>
      </c>
      <c r="J1046" t="n">
        <v>4</v>
      </c>
      <c r="L1046">
        <f>IFERROR(LEFT(K1046,             FIND(",", K1046) - 1), "-")</f>
        <v/>
      </c>
      <c r="M1046">
        <f>IFERROR(MID(K1046,             FIND(",", K1046) + 1, LEN(K1046) - FIND(",", K1046)), K1046)</f>
        <v/>
      </c>
      <c r="N1046" t="n">
        <v>3</v>
      </c>
      <c r="P1046" t="inlineStr">
        <is>
          <t>13:00</t>
        </is>
      </c>
      <c r="Q1046" t="inlineStr">
        <is>
          <t>17:00</t>
        </is>
      </c>
    </row>
    <row r="1047">
      <c r="A1047" t="inlineStr">
        <is>
          <t>中野 正昭</t>
        </is>
      </c>
      <c r="B1047" t="inlineStr">
        <is>
          <t>ITJS001:伊藤塾 サポート</t>
        </is>
      </c>
      <c r="D1047">
        <f>L1047</f>
        <v/>
      </c>
      <c r="E1047">
        <f>SUMIFS(J:J, G:G,             A1047, H:H, B1047, L:L, L1047)</f>
        <v/>
      </c>
      <c r="F1047" t="inlineStr">
        <is>
          <t>O-34</t>
        </is>
      </c>
      <c r="G1047" t="inlineStr">
        <is>
          <t>中野 正昭</t>
        </is>
      </c>
      <c r="H1047" t="inlineStr">
        <is>
          <t>ITJS001:伊藤塾 サポート</t>
        </is>
      </c>
      <c r="I1047" s="1" t="n">
        <v>45952</v>
      </c>
      <c r="J1047" t="n">
        <v>2</v>
      </c>
      <c r="L1047">
        <f>IFERROR(LEFT(K1047,             FIND(",", K1047) - 1), "-")</f>
        <v/>
      </c>
      <c r="M1047">
        <f>IFERROR(MID(K1047,             FIND(",", K1047) + 1, LEN(K1047) - FIND(",", K1047)), K1047)</f>
        <v/>
      </c>
      <c r="N1047" t="n">
        <v>3</v>
      </c>
      <c r="P1047" t="inlineStr">
        <is>
          <t>10:00</t>
        </is>
      </c>
      <c r="Q1047" t="inlineStr">
        <is>
          <t>12:00</t>
        </is>
      </c>
    </row>
    <row r="1048">
      <c r="A1048" t="inlineStr">
        <is>
          <t>中野 正昭</t>
        </is>
      </c>
      <c r="B1048" t="inlineStr">
        <is>
          <t>ITJS001:伊藤塾 サポート</t>
        </is>
      </c>
      <c r="D1048">
        <f>L1048</f>
        <v/>
      </c>
      <c r="E1048">
        <f>SUMIFS(J:J, G:G,             A1048, H:H, B1048, L:L, L1048)</f>
        <v/>
      </c>
      <c r="F1048" t="inlineStr">
        <is>
          <t>O-34</t>
        </is>
      </c>
      <c r="G1048" t="inlineStr">
        <is>
          <t>中野 正昭</t>
        </is>
      </c>
      <c r="H1048" t="inlineStr">
        <is>
          <t>ITJS001:伊藤塾 サポート</t>
        </is>
      </c>
      <c r="I1048" s="1" t="n">
        <v>45952</v>
      </c>
      <c r="J1048" t="n">
        <v>4</v>
      </c>
      <c r="L1048">
        <f>IFERROR(LEFT(K1048,             FIND(",", K1048) - 1), "-")</f>
        <v/>
      </c>
      <c r="M1048">
        <f>IFERROR(MID(K1048,             FIND(",", K1048) + 1, LEN(K1048) - FIND(",", K1048)), K1048)</f>
        <v/>
      </c>
      <c r="N1048" t="n">
        <v>3</v>
      </c>
      <c r="P1048" t="inlineStr">
        <is>
          <t>13:00</t>
        </is>
      </c>
      <c r="Q1048" t="inlineStr">
        <is>
          <t>17:00</t>
        </is>
      </c>
    </row>
    <row r="1049">
      <c r="A1049" t="inlineStr">
        <is>
          <t>中野 正昭</t>
        </is>
      </c>
      <c r="B1049" t="inlineStr">
        <is>
          <t>ITJS001:伊藤塾 サポート</t>
        </is>
      </c>
      <c r="D1049">
        <f>L1049</f>
        <v/>
      </c>
      <c r="E1049">
        <f>SUMIFS(J:J, G:G,             A1049, H:H, B1049, L:L, L1049)</f>
        <v/>
      </c>
      <c r="F1049" t="inlineStr">
        <is>
          <t>O-34</t>
        </is>
      </c>
      <c r="G1049" t="inlineStr">
        <is>
          <t>中野 正昭</t>
        </is>
      </c>
      <c r="H1049" t="inlineStr">
        <is>
          <t>ITJS001:伊藤塾 サポート</t>
        </is>
      </c>
      <c r="I1049" s="1" t="n">
        <v>45953</v>
      </c>
      <c r="J1049" t="n">
        <v>2</v>
      </c>
      <c r="L1049">
        <f>IFERROR(LEFT(K1049,             FIND(",", K1049) - 1), "-")</f>
        <v/>
      </c>
      <c r="M1049">
        <f>IFERROR(MID(K1049,             FIND(",", K1049) + 1, LEN(K1049) - FIND(",", K1049)), K1049)</f>
        <v/>
      </c>
      <c r="N1049" t="n">
        <v>3</v>
      </c>
      <c r="P1049" t="inlineStr">
        <is>
          <t>10:00</t>
        </is>
      </c>
      <c r="Q1049" t="inlineStr">
        <is>
          <t>12:00</t>
        </is>
      </c>
    </row>
    <row r="1050">
      <c r="A1050" t="inlineStr">
        <is>
          <t>中野 正昭</t>
        </is>
      </c>
      <c r="B1050" t="inlineStr">
        <is>
          <t>ITJS001:伊藤塾 サポート</t>
        </is>
      </c>
      <c r="D1050">
        <f>L1050</f>
        <v/>
      </c>
      <c r="E1050">
        <f>SUMIFS(J:J, G:G,             A1050, H:H, B1050, L:L, L1050)</f>
        <v/>
      </c>
      <c r="F1050" t="inlineStr">
        <is>
          <t>O-34</t>
        </is>
      </c>
      <c r="G1050" t="inlineStr">
        <is>
          <t>中野 正昭</t>
        </is>
      </c>
      <c r="H1050" t="inlineStr">
        <is>
          <t>ITJS001:伊藤塾 サポート</t>
        </is>
      </c>
      <c r="I1050" s="1" t="n">
        <v>45953</v>
      </c>
      <c r="J1050" t="n">
        <v>4</v>
      </c>
      <c r="L1050">
        <f>IFERROR(LEFT(K1050,             FIND(",", K1050) - 1), "-")</f>
        <v/>
      </c>
      <c r="M1050">
        <f>IFERROR(MID(K1050,             FIND(",", K1050) + 1, LEN(K1050) - FIND(",", K1050)), K1050)</f>
        <v/>
      </c>
      <c r="N1050" t="n">
        <v>3</v>
      </c>
      <c r="P1050" t="inlineStr">
        <is>
          <t>13:00</t>
        </is>
      </c>
      <c r="Q1050" t="inlineStr">
        <is>
          <t>17:00</t>
        </is>
      </c>
    </row>
    <row r="1051">
      <c r="A1051" t="inlineStr">
        <is>
          <t>中野 正昭</t>
        </is>
      </c>
      <c r="B1051" t="inlineStr">
        <is>
          <t>TCNZ001:社内業務等</t>
        </is>
      </c>
      <c r="C1051">
        <f>SUMIFS(J:J, G:G,             A1051, H:H, B1051)</f>
        <v/>
      </c>
      <c r="D1051">
        <f>L1051</f>
        <v/>
      </c>
      <c r="E1051">
        <f>SUMIFS(J:J, G:G,             A1051, H:H, B1051, L:L, L1051)</f>
        <v/>
      </c>
      <c r="F1051" t="inlineStr">
        <is>
          <t>O-34</t>
        </is>
      </c>
      <c r="G1051" t="inlineStr">
        <is>
          <t>中野 正昭</t>
        </is>
      </c>
      <c r="H1051" t="inlineStr">
        <is>
          <t>TCNZ001:社内業務等</t>
        </is>
      </c>
      <c r="I1051" s="1" t="n">
        <v>45935</v>
      </c>
      <c r="J1051" t="n">
        <v>0.75</v>
      </c>
      <c r="K1051" t="inlineStr">
        <is>
          <t>日曜社内清掃全般</t>
        </is>
      </c>
      <c r="L1051">
        <f>IFERROR(LEFT(K1051,             FIND(",", K1051) - 1), "-")</f>
        <v/>
      </c>
      <c r="M1051">
        <f>IFERROR(MID(K1051,             FIND(",", K1051) + 1, LEN(K1051) - FIND(",", K1051)), K1051)</f>
        <v/>
      </c>
      <c r="N1051" t="n">
        <v>5</v>
      </c>
      <c r="P1051" t="inlineStr">
        <is>
          <t>13:00</t>
        </is>
      </c>
      <c r="Q1051" t="inlineStr">
        <is>
          <t>13:45</t>
        </is>
      </c>
    </row>
    <row r="1052">
      <c r="A1052" t="inlineStr">
        <is>
          <t>中野 正昭</t>
        </is>
      </c>
      <c r="B1052" t="inlineStr">
        <is>
          <t>TCNZ001:社内業務等</t>
        </is>
      </c>
      <c r="D1052">
        <f>L1052</f>
        <v/>
      </c>
      <c r="E1052">
        <f>SUMIFS(J:J, G:G,             A1052, H:H, B1052, L:L, L1052)</f>
        <v/>
      </c>
      <c r="F1052" t="inlineStr">
        <is>
          <t>O-34</t>
        </is>
      </c>
      <c r="G1052" t="inlineStr">
        <is>
          <t>中野 正昭</t>
        </is>
      </c>
      <c r="H1052" t="inlineStr">
        <is>
          <t>TCNZ001:社内業務等</t>
        </is>
      </c>
      <c r="I1052" s="1" t="n">
        <v>45942</v>
      </c>
      <c r="J1052" t="n">
        <v>0.75</v>
      </c>
      <c r="K1052" t="inlineStr">
        <is>
          <t>日曜社内清掃全般</t>
        </is>
      </c>
      <c r="L1052">
        <f>IFERROR(LEFT(K1052,             FIND(",", K1052) - 1), "-")</f>
        <v/>
      </c>
      <c r="M1052">
        <f>IFERROR(MID(K1052,             FIND(",", K1052) + 1, LEN(K1052) - FIND(",", K1052)), K1052)</f>
        <v/>
      </c>
      <c r="N1052" t="n">
        <v>5</v>
      </c>
      <c r="P1052" t="inlineStr">
        <is>
          <t>13:00</t>
        </is>
      </c>
      <c r="Q1052" t="inlineStr">
        <is>
          <t>13:45</t>
        </is>
      </c>
    </row>
    <row r="1053">
      <c r="A1053" t="inlineStr">
        <is>
          <t>中野 正昭</t>
        </is>
      </c>
      <c r="B1053" t="inlineStr">
        <is>
          <t>TCNZ001:社内業務等</t>
        </is>
      </c>
      <c r="D1053">
        <f>L1053</f>
        <v/>
      </c>
      <c r="E1053">
        <f>SUMIFS(J:J, G:G,             A1053, H:H, B1053, L:L, L1053)</f>
        <v/>
      </c>
      <c r="F1053" t="inlineStr">
        <is>
          <t>O-34</t>
        </is>
      </c>
      <c r="G1053" t="inlineStr">
        <is>
          <t>中野 正昭</t>
        </is>
      </c>
      <c r="H1053" t="inlineStr">
        <is>
          <t>TCNZ001:社内業務等</t>
        </is>
      </c>
      <c r="I1053" s="1" t="n">
        <v>45949</v>
      </c>
      <c r="J1053" t="n">
        <v>0.75</v>
      </c>
      <c r="K1053" t="inlineStr">
        <is>
          <t>日曜社内清掃全般</t>
        </is>
      </c>
      <c r="L1053">
        <f>IFERROR(LEFT(K1053,             FIND(",", K1053) - 1), "-")</f>
        <v/>
      </c>
      <c r="M1053">
        <f>IFERROR(MID(K1053,             FIND(",", K1053) + 1, LEN(K1053) - FIND(",", K1053)), K1053)</f>
        <v/>
      </c>
      <c r="N1053" t="n">
        <v>5</v>
      </c>
      <c r="P1053" t="inlineStr">
        <is>
          <t>13:00</t>
        </is>
      </c>
      <c r="Q1053" t="inlineStr">
        <is>
          <t>13:45</t>
        </is>
      </c>
    </row>
    <row r="1054">
      <c r="A1054" t="inlineStr">
        <is>
          <t>勝沼 誠</t>
        </is>
      </c>
      <c r="B1054" t="inlineStr">
        <is>
          <t>YMHA003:ヤマハWBS:追加要望対応</t>
        </is>
      </c>
      <c r="C1054">
        <f>SUMIFS(J:J, G:G,             A1054, H:H, B1054)</f>
        <v/>
      </c>
      <c r="D1054">
        <f>L1054</f>
        <v/>
      </c>
      <c r="E1054">
        <f>SUMIFS(J:J, G:G,             A1054, H:H, B1054, L:L, L1054)</f>
        <v/>
      </c>
      <c r="F1054" t="inlineStr">
        <is>
          <t>P-1</t>
        </is>
      </c>
      <c r="G1054" t="inlineStr">
        <is>
          <t>勝沼 誠</t>
        </is>
      </c>
      <c r="H1054" t="inlineStr">
        <is>
          <t>YMHA003:ヤマハWBS:追加要望対応</t>
        </is>
      </c>
      <c r="I1054" s="1" t="n">
        <v>45932</v>
      </c>
      <c r="J1054" t="n">
        <v>3</v>
      </c>
      <c r="L1054">
        <f>IFERROR(LEFT(K1054,             FIND(",", K1054) - 1), "-")</f>
        <v/>
      </c>
      <c r="M1054">
        <f>IFERROR(MID(K1054,             FIND(",", K1054) + 1, LEN(K1054) - FIND(",", K1054)), K1054)</f>
        <v/>
      </c>
      <c r="N1054" t="n">
        <v>1</v>
      </c>
      <c r="P1054" t="inlineStr">
        <is>
          <t>09:00</t>
        </is>
      </c>
      <c r="Q1054" t="inlineStr">
        <is>
          <t>12:00</t>
        </is>
      </c>
    </row>
    <row r="1055">
      <c r="A1055" t="inlineStr">
        <is>
          <t>勝沼 誠</t>
        </is>
      </c>
      <c r="B1055" t="inlineStr">
        <is>
          <t>YMHA003:ヤマハWBS:追加要望対応</t>
        </is>
      </c>
      <c r="D1055">
        <f>L1055</f>
        <v/>
      </c>
      <c r="E1055">
        <f>SUMIFS(J:J, G:G,             A1055, H:H, B1055, L:L, L1055)</f>
        <v/>
      </c>
      <c r="F1055" t="inlineStr">
        <is>
          <t>P-1</t>
        </is>
      </c>
      <c r="G1055" t="inlineStr">
        <is>
          <t>勝沼 誠</t>
        </is>
      </c>
      <c r="H1055" t="inlineStr">
        <is>
          <t>YMHA003:ヤマハWBS:追加要望対応</t>
        </is>
      </c>
      <c r="I1055" s="1" t="n">
        <v>45932</v>
      </c>
      <c r="J1055" t="n">
        <v>5</v>
      </c>
      <c r="L1055">
        <f>IFERROR(LEFT(K1055,             FIND(",", K1055) - 1), "-")</f>
        <v/>
      </c>
      <c r="M1055">
        <f>IFERROR(MID(K1055,             FIND(",", K1055) + 1, LEN(K1055) - FIND(",", K1055)), K1055)</f>
        <v/>
      </c>
      <c r="N1055" t="n">
        <v>1</v>
      </c>
      <c r="P1055" t="inlineStr">
        <is>
          <t>13:00</t>
        </is>
      </c>
      <c r="Q1055" t="inlineStr">
        <is>
          <t>18:00</t>
        </is>
      </c>
    </row>
    <row r="1056">
      <c r="A1056" t="inlineStr">
        <is>
          <t>勝沼 誠</t>
        </is>
      </c>
      <c r="B1056" t="inlineStr">
        <is>
          <t>YMHA003:ヤマハWBS:追加要望対応</t>
        </is>
      </c>
      <c r="D1056">
        <f>L1056</f>
        <v/>
      </c>
      <c r="E1056">
        <f>SUMIFS(J:J, G:G,             A1056, H:H, B1056, L:L, L1056)</f>
        <v/>
      </c>
      <c r="F1056" t="inlineStr">
        <is>
          <t>P-1</t>
        </is>
      </c>
      <c r="G1056" t="inlineStr">
        <is>
          <t>勝沼 誠</t>
        </is>
      </c>
      <c r="H1056" t="inlineStr">
        <is>
          <t>YMHA003:ヤマハWBS:追加要望対応</t>
        </is>
      </c>
      <c r="I1056" s="1" t="n">
        <v>45936</v>
      </c>
      <c r="J1056" t="n">
        <v>3</v>
      </c>
      <c r="L1056">
        <f>IFERROR(LEFT(K1056,             FIND(",", K1056) - 1), "-")</f>
        <v/>
      </c>
      <c r="M1056">
        <f>IFERROR(MID(K1056,             FIND(",", K1056) + 1, LEN(K1056) - FIND(",", K1056)), K1056)</f>
        <v/>
      </c>
      <c r="N1056" t="n">
        <v>1</v>
      </c>
      <c r="P1056" t="inlineStr">
        <is>
          <t>09:00</t>
        </is>
      </c>
      <c r="Q1056" t="inlineStr">
        <is>
          <t>12:00</t>
        </is>
      </c>
    </row>
    <row r="1057">
      <c r="A1057" t="inlineStr">
        <is>
          <t>勝沼 誠</t>
        </is>
      </c>
      <c r="B1057" t="inlineStr">
        <is>
          <t>YMHA003:ヤマハWBS:追加要望対応</t>
        </is>
      </c>
      <c r="D1057">
        <f>L1057</f>
        <v/>
      </c>
      <c r="E1057">
        <f>SUMIFS(J:J, G:G,             A1057, H:H, B1057, L:L, L1057)</f>
        <v/>
      </c>
      <c r="F1057" t="inlineStr">
        <is>
          <t>P-1</t>
        </is>
      </c>
      <c r="G1057" t="inlineStr">
        <is>
          <t>勝沼 誠</t>
        </is>
      </c>
      <c r="H1057" t="inlineStr">
        <is>
          <t>YMHA003:ヤマハWBS:追加要望対応</t>
        </is>
      </c>
      <c r="I1057" s="1" t="n">
        <v>45937</v>
      </c>
      <c r="J1057" t="n">
        <v>3</v>
      </c>
      <c r="L1057">
        <f>IFERROR(LEFT(K1057,             FIND(",", K1057) - 1), "-")</f>
        <v/>
      </c>
      <c r="M1057">
        <f>IFERROR(MID(K1057,             FIND(",", K1057) + 1, LEN(K1057) - FIND(",", K1057)), K1057)</f>
        <v/>
      </c>
      <c r="N1057" t="n">
        <v>1</v>
      </c>
      <c r="P1057" t="inlineStr">
        <is>
          <t>09:00</t>
        </is>
      </c>
      <c r="Q1057" t="inlineStr">
        <is>
          <t>12:00</t>
        </is>
      </c>
    </row>
    <row r="1058">
      <c r="A1058" t="inlineStr">
        <is>
          <t>勝沼 誠</t>
        </is>
      </c>
      <c r="B1058" t="inlineStr">
        <is>
          <t>YMHA003:ヤマハWBS:追加要望対応</t>
        </is>
      </c>
      <c r="D1058">
        <f>L1058</f>
        <v/>
      </c>
      <c r="E1058">
        <f>SUMIFS(J:J, G:G,             A1058, H:H, B1058, L:L, L1058)</f>
        <v/>
      </c>
      <c r="F1058" t="inlineStr">
        <is>
          <t>P-1</t>
        </is>
      </c>
      <c r="G1058" t="inlineStr">
        <is>
          <t>勝沼 誠</t>
        </is>
      </c>
      <c r="H1058" t="inlineStr">
        <is>
          <t>YMHA003:ヤマハWBS:追加要望対応</t>
        </is>
      </c>
      <c r="I1058" s="1" t="n">
        <v>45937</v>
      </c>
      <c r="J1058" t="n">
        <v>5</v>
      </c>
      <c r="L1058">
        <f>IFERROR(LEFT(K1058,             FIND(",", K1058) - 1), "-")</f>
        <v/>
      </c>
      <c r="M1058">
        <f>IFERROR(MID(K1058,             FIND(",", K1058) + 1, LEN(K1058) - FIND(",", K1058)), K1058)</f>
        <v/>
      </c>
      <c r="N1058" t="n">
        <v>1</v>
      </c>
      <c r="P1058" t="inlineStr">
        <is>
          <t>13:00</t>
        </is>
      </c>
      <c r="Q1058" t="inlineStr">
        <is>
          <t>18:00</t>
        </is>
      </c>
    </row>
    <row r="1059">
      <c r="A1059" t="inlineStr">
        <is>
          <t>勝沼 誠</t>
        </is>
      </c>
      <c r="B1059" t="inlineStr">
        <is>
          <t>YMHA003:ヤマハWBS:追加要望対応</t>
        </is>
      </c>
      <c r="D1059">
        <f>L1059</f>
        <v/>
      </c>
      <c r="E1059">
        <f>SUMIFS(J:J, G:G,             A1059, H:H, B1059, L:L, L1059)</f>
        <v/>
      </c>
      <c r="F1059" t="inlineStr">
        <is>
          <t>P-1</t>
        </is>
      </c>
      <c r="G1059" t="inlineStr">
        <is>
          <t>勝沼 誠</t>
        </is>
      </c>
      <c r="H1059" t="inlineStr">
        <is>
          <t>YMHA003:ヤマハWBS:追加要望対応</t>
        </is>
      </c>
      <c r="I1059" s="1" t="n">
        <v>45944</v>
      </c>
      <c r="J1059" t="n">
        <v>4</v>
      </c>
      <c r="L1059">
        <f>IFERROR(LEFT(K1059,             FIND(",", K1059) - 1), "-")</f>
        <v/>
      </c>
      <c r="M1059">
        <f>IFERROR(MID(K1059,             FIND(",", K1059) + 1, LEN(K1059) - FIND(",", K1059)), K1059)</f>
        <v/>
      </c>
      <c r="N1059" t="n">
        <v>1</v>
      </c>
      <c r="P1059" t="inlineStr">
        <is>
          <t>08:00</t>
        </is>
      </c>
      <c r="Q1059" t="inlineStr">
        <is>
          <t>12:00</t>
        </is>
      </c>
    </row>
    <row r="1060">
      <c r="A1060" t="inlineStr">
        <is>
          <t>勝沼 誠</t>
        </is>
      </c>
      <c r="B1060" t="inlineStr">
        <is>
          <t>YMHA003:ヤマハWBS:追加要望対応</t>
        </is>
      </c>
      <c r="D1060">
        <f>L1060</f>
        <v/>
      </c>
      <c r="E1060">
        <f>SUMIFS(J:J, G:G,             A1060, H:H, B1060, L:L, L1060)</f>
        <v/>
      </c>
      <c r="F1060" t="inlineStr">
        <is>
          <t>P-1</t>
        </is>
      </c>
      <c r="G1060" t="inlineStr">
        <is>
          <t>勝沼 誠</t>
        </is>
      </c>
      <c r="H1060" t="inlineStr">
        <is>
          <t>YMHA003:ヤマハWBS:追加要望対応</t>
        </is>
      </c>
      <c r="I1060" s="1" t="n">
        <v>45944</v>
      </c>
      <c r="J1060" t="n">
        <v>5</v>
      </c>
      <c r="L1060">
        <f>IFERROR(LEFT(K1060,             FIND(",", K1060) - 1), "-")</f>
        <v/>
      </c>
      <c r="M1060">
        <f>IFERROR(MID(K1060,             FIND(",", K1060) + 1, LEN(K1060) - FIND(",", K1060)), K1060)</f>
        <v/>
      </c>
      <c r="N1060" t="n">
        <v>1</v>
      </c>
      <c r="P1060" t="inlineStr">
        <is>
          <t>13:00</t>
        </is>
      </c>
      <c r="Q1060" t="inlineStr">
        <is>
          <t>18:00</t>
        </is>
      </c>
    </row>
    <row r="1061">
      <c r="A1061" t="inlineStr">
        <is>
          <t>勝沼 誠</t>
        </is>
      </c>
      <c r="B1061" t="inlineStr">
        <is>
          <t>YMHA003:ヤマハWBS:追加要望対応</t>
        </is>
      </c>
      <c r="D1061">
        <f>L1061</f>
        <v/>
      </c>
      <c r="E1061">
        <f>SUMIFS(J:J, G:G,             A1061, H:H, B1061, L:L, L1061)</f>
        <v/>
      </c>
      <c r="F1061" t="inlineStr">
        <is>
          <t>P-1</t>
        </is>
      </c>
      <c r="G1061" t="inlineStr">
        <is>
          <t>勝沼 誠</t>
        </is>
      </c>
      <c r="H1061" t="inlineStr">
        <is>
          <t>YMHA003:ヤマハWBS:追加要望対応</t>
        </is>
      </c>
      <c r="I1061" s="1" t="n">
        <v>45946</v>
      </c>
      <c r="J1061" t="n">
        <v>3</v>
      </c>
      <c r="L1061">
        <f>IFERROR(LEFT(K1061,             FIND(",", K1061) - 1), "-")</f>
        <v/>
      </c>
      <c r="M1061">
        <f>IFERROR(MID(K1061,             FIND(",", K1061) + 1, LEN(K1061) - FIND(",", K1061)), K1061)</f>
        <v/>
      </c>
      <c r="N1061" t="n">
        <v>1</v>
      </c>
      <c r="P1061" t="inlineStr">
        <is>
          <t>09:00</t>
        </is>
      </c>
      <c r="Q1061" t="inlineStr">
        <is>
          <t>12:00</t>
        </is>
      </c>
    </row>
    <row r="1062">
      <c r="A1062" t="inlineStr">
        <is>
          <t>勝沼 誠</t>
        </is>
      </c>
      <c r="B1062" t="inlineStr">
        <is>
          <t>YMHA003:ヤマハWBS:追加要望対応</t>
        </is>
      </c>
      <c r="D1062">
        <f>L1062</f>
        <v/>
      </c>
      <c r="E1062">
        <f>SUMIFS(J:J, G:G,             A1062, H:H, B1062, L:L, L1062)</f>
        <v/>
      </c>
      <c r="F1062" t="inlineStr">
        <is>
          <t>P-1</t>
        </is>
      </c>
      <c r="G1062" t="inlineStr">
        <is>
          <t>勝沼 誠</t>
        </is>
      </c>
      <c r="H1062" t="inlineStr">
        <is>
          <t>YMHA003:ヤマハWBS:追加要望対応</t>
        </is>
      </c>
      <c r="I1062" s="1" t="n">
        <v>45946</v>
      </c>
      <c r="J1062" t="n">
        <v>5</v>
      </c>
      <c r="L1062">
        <f>IFERROR(LEFT(K1062,             FIND(",", K1062) - 1), "-")</f>
        <v/>
      </c>
      <c r="M1062">
        <f>IFERROR(MID(K1062,             FIND(",", K1062) + 1, LEN(K1062) - FIND(",", K1062)), K1062)</f>
        <v/>
      </c>
      <c r="N1062" t="n">
        <v>1</v>
      </c>
      <c r="P1062" t="inlineStr">
        <is>
          <t>13:00</t>
        </is>
      </c>
      <c r="Q1062" t="inlineStr">
        <is>
          <t>18:00</t>
        </is>
      </c>
    </row>
    <row r="1063">
      <c r="A1063" t="inlineStr">
        <is>
          <t>勝沼 誠</t>
        </is>
      </c>
      <c r="B1063" t="inlineStr">
        <is>
          <t>YMHA003:ヤマハWBS:追加要望対応</t>
        </is>
      </c>
      <c r="D1063">
        <f>L1063</f>
        <v/>
      </c>
      <c r="E1063">
        <f>SUMIFS(J:J, G:G,             A1063, H:H, B1063, L:L, L1063)</f>
        <v/>
      </c>
      <c r="F1063" t="inlineStr">
        <is>
          <t>P-1</t>
        </is>
      </c>
      <c r="G1063" t="inlineStr">
        <is>
          <t>勝沼 誠</t>
        </is>
      </c>
      <c r="H1063" t="inlineStr">
        <is>
          <t>YMHA003:ヤマハWBS:追加要望対応</t>
        </is>
      </c>
      <c r="I1063" s="1" t="n">
        <v>45950</v>
      </c>
      <c r="J1063" t="n">
        <v>3</v>
      </c>
      <c r="L1063">
        <f>IFERROR(LEFT(K1063,             FIND(",", K1063) - 1), "-")</f>
        <v/>
      </c>
      <c r="M1063">
        <f>IFERROR(MID(K1063,             FIND(",", K1063) + 1, LEN(K1063) - FIND(",", K1063)), K1063)</f>
        <v/>
      </c>
      <c r="N1063" t="n">
        <v>1</v>
      </c>
      <c r="P1063" t="inlineStr">
        <is>
          <t>09:00</t>
        </is>
      </c>
      <c r="Q1063" t="inlineStr">
        <is>
          <t>12:00</t>
        </is>
      </c>
    </row>
    <row r="1064">
      <c r="A1064" t="inlineStr">
        <is>
          <t>勝沼 誠</t>
        </is>
      </c>
      <c r="B1064" t="inlineStr">
        <is>
          <t>YMHA003:ヤマハWBS:追加要望対応</t>
        </is>
      </c>
      <c r="D1064">
        <f>L1064</f>
        <v/>
      </c>
      <c r="E1064">
        <f>SUMIFS(J:J, G:G,             A1064, H:H, B1064, L:L, L1064)</f>
        <v/>
      </c>
      <c r="F1064" t="inlineStr">
        <is>
          <t>P-1</t>
        </is>
      </c>
      <c r="G1064" t="inlineStr">
        <is>
          <t>勝沼 誠</t>
        </is>
      </c>
      <c r="H1064" t="inlineStr">
        <is>
          <t>YMHA003:ヤマハWBS:追加要望対応</t>
        </is>
      </c>
      <c r="I1064" s="1" t="n">
        <v>45950</v>
      </c>
      <c r="J1064" t="n">
        <v>5</v>
      </c>
      <c r="L1064">
        <f>IFERROR(LEFT(K1064,             FIND(",", K1064) - 1), "-")</f>
        <v/>
      </c>
      <c r="M1064">
        <f>IFERROR(MID(K1064,             FIND(",", K1064) + 1, LEN(K1064) - FIND(",", K1064)), K1064)</f>
        <v/>
      </c>
      <c r="N1064" t="n">
        <v>1</v>
      </c>
      <c r="P1064" t="inlineStr">
        <is>
          <t>13:00</t>
        </is>
      </c>
      <c r="Q1064" t="inlineStr">
        <is>
          <t>18:00</t>
        </is>
      </c>
    </row>
    <row r="1065">
      <c r="A1065" t="inlineStr">
        <is>
          <t>勝沼 誠</t>
        </is>
      </c>
      <c r="B1065" t="inlineStr">
        <is>
          <t>YMHA003:ヤマハWBS:追加要望対応</t>
        </is>
      </c>
      <c r="D1065">
        <f>L1065</f>
        <v/>
      </c>
      <c r="E1065">
        <f>SUMIFS(J:J, G:G,             A1065, H:H, B1065, L:L, L1065)</f>
        <v/>
      </c>
      <c r="F1065" t="inlineStr">
        <is>
          <t>P-1</t>
        </is>
      </c>
      <c r="G1065" t="inlineStr">
        <is>
          <t>勝沼 誠</t>
        </is>
      </c>
      <c r="H1065" t="inlineStr">
        <is>
          <t>YMHA003:ヤマハWBS:追加要望対応</t>
        </is>
      </c>
      <c r="I1065" s="1" t="n">
        <v>45951</v>
      </c>
      <c r="J1065" t="n">
        <v>3</v>
      </c>
      <c r="L1065">
        <f>IFERROR(LEFT(K1065,             FIND(",", K1065) - 1), "-")</f>
        <v/>
      </c>
      <c r="M1065">
        <f>IFERROR(MID(K1065,             FIND(",", K1065) + 1, LEN(K1065) - FIND(",", K1065)), K1065)</f>
        <v/>
      </c>
      <c r="N1065" t="n">
        <v>1</v>
      </c>
      <c r="P1065" t="inlineStr">
        <is>
          <t>09:00</t>
        </is>
      </c>
      <c r="Q1065" t="inlineStr">
        <is>
          <t>12:00</t>
        </is>
      </c>
    </row>
    <row r="1066">
      <c r="A1066" t="inlineStr">
        <is>
          <t>勝沼 誠</t>
        </is>
      </c>
      <c r="B1066" t="inlineStr">
        <is>
          <t>YMHA003:ヤマハWBS:追加要望対応</t>
        </is>
      </c>
      <c r="D1066">
        <f>L1066</f>
        <v/>
      </c>
      <c r="E1066">
        <f>SUMIFS(J:J, G:G,             A1066, H:H, B1066, L:L, L1066)</f>
        <v/>
      </c>
      <c r="F1066" t="inlineStr">
        <is>
          <t>P-1</t>
        </is>
      </c>
      <c r="G1066" t="inlineStr">
        <is>
          <t>勝沼 誠</t>
        </is>
      </c>
      <c r="H1066" t="inlineStr">
        <is>
          <t>YMHA003:ヤマハWBS:追加要望対応</t>
        </is>
      </c>
      <c r="I1066" s="1" t="n">
        <v>45951</v>
      </c>
      <c r="J1066" t="n">
        <v>5</v>
      </c>
      <c r="L1066">
        <f>IFERROR(LEFT(K1066,             FIND(",", K1066) - 1), "-")</f>
        <v/>
      </c>
      <c r="M1066">
        <f>IFERROR(MID(K1066,             FIND(",", K1066) + 1, LEN(K1066) - FIND(",", K1066)), K1066)</f>
        <v/>
      </c>
      <c r="N1066" t="n">
        <v>1</v>
      </c>
      <c r="P1066" t="inlineStr">
        <is>
          <t>13:00</t>
        </is>
      </c>
      <c r="Q1066" t="inlineStr">
        <is>
          <t>18:00</t>
        </is>
      </c>
    </row>
    <row r="1067">
      <c r="A1067" t="inlineStr">
        <is>
          <t>勝沼 誠</t>
        </is>
      </c>
      <c r="B1067" t="inlineStr">
        <is>
          <t>YMHA003:ヤマハWBS:追加要望対応</t>
        </is>
      </c>
      <c r="D1067">
        <f>L1067</f>
        <v/>
      </c>
      <c r="E1067">
        <f>SUMIFS(J:J, G:G,             A1067, H:H, B1067, L:L, L1067)</f>
        <v/>
      </c>
      <c r="F1067" t="inlineStr">
        <is>
          <t>P-1</t>
        </is>
      </c>
      <c r="G1067" t="inlineStr">
        <is>
          <t>勝沼 誠</t>
        </is>
      </c>
      <c r="H1067" t="inlineStr">
        <is>
          <t>YMHA003:ヤマハWBS:追加要望対応</t>
        </is>
      </c>
      <c r="I1067" s="1" t="n">
        <v>45953</v>
      </c>
      <c r="J1067" t="n">
        <v>3</v>
      </c>
      <c r="L1067">
        <f>IFERROR(LEFT(K1067,             FIND(",", K1067) - 1), "-")</f>
        <v/>
      </c>
      <c r="M1067">
        <f>IFERROR(MID(K1067,             FIND(",", K1067) + 1, LEN(K1067) - FIND(",", K1067)), K1067)</f>
        <v/>
      </c>
      <c r="N1067" t="n">
        <v>1</v>
      </c>
      <c r="P1067" t="inlineStr">
        <is>
          <t>09:00</t>
        </is>
      </c>
      <c r="Q1067" t="inlineStr">
        <is>
          <t>12:00</t>
        </is>
      </c>
    </row>
    <row r="1068">
      <c r="A1068" t="inlineStr">
        <is>
          <t>勝沼 誠</t>
        </is>
      </c>
      <c r="B1068" t="inlineStr">
        <is>
          <t>YMHA003:ヤマハWBS:追加要望対応</t>
        </is>
      </c>
      <c r="D1068">
        <f>L1068</f>
        <v/>
      </c>
      <c r="E1068">
        <f>SUMIFS(J:J, G:G,             A1068, H:H, B1068, L:L, L1068)</f>
        <v/>
      </c>
      <c r="F1068" t="inlineStr">
        <is>
          <t>P-1</t>
        </is>
      </c>
      <c r="G1068" t="inlineStr">
        <is>
          <t>勝沼 誠</t>
        </is>
      </c>
      <c r="H1068" t="inlineStr">
        <is>
          <t>YMHA003:ヤマハWBS:追加要望対応</t>
        </is>
      </c>
      <c r="I1068" s="1" t="n">
        <v>45953</v>
      </c>
      <c r="J1068" t="n">
        <v>9</v>
      </c>
      <c r="L1068">
        <f>IFERROR(LEFT(K1068,             FIND(",", K1068) - 1), "-")</f>
        <v/>
      </c>
      <c r="M1068">
        <f>IFERROR(MID(K1068,             FIND(",", K1068) + 1, LEN(K1068) - FIND(",", K1068)), K1068)</f>
        <v/>
      </c>
      <c r="N1068" t="n">
        <v>1</v>
      </c>
      <c r="P1068" t="inlineStr">
        <is>
          <t>13:00</t>
        </is>
      </c>
      <c r="Q1068" t="inlineStr">
        <is>
          <t>22:00</t>
        </is>
      </c>
    </row>
    <row r="1069">
      <c r="A1069" t="inlineStr">
        <is>
          <t>向井 歴</t>
        </is>
      </c>
      <c r="B1069" t="inlineStr">
        <is>
          <t>TCNZ001:社内業務等</t>
        </is>
      </c>
      <c r="C1069">
        <f>SUMIFS(J:J, G:G,             A1069, H:H, B1069)</f>
        <v/>
      </c>
      <c r="D1069">
        <f>L1069</f>
        <v/>
      </c>
      <c r="E1069">
        <f>SUMIFS(J:J, G:G,             A1069, H:H, B1069, L:L, L1069)</f>
        <v/>
      </c>
      <c r="F1069" t="inlineStr">
        <is>
          <t>44</t>
        </is>
      </c>
      <c r="G1069" t="inlineStr">
        <is>
          <t>向井 歴</t>
        </is>
      </c>
      <c r="H1069" t="inlineStr">
        <is>
          <t>TCNZ001:社内業務等</t>
        </is>
      </c>
      <c r="I1069" s="1" t="n">
        <v>45933</v>
      </c>
      <c r="J1069" t="n">
        <v>1</v>
      </c>
      <c r="K1069" t="inlineStr">
        <is>
          <t>AI勉強会</t>
        </is>
      </c>
      <c r="L1069">
        <f>IFERROR(LEFT(K1069,             FIND(",", K1069) - 1), "-")</f>
        <v/>
      </c>
      <c r="M1069">
        <f>IFERROR(MID(K1069,             FIND(",", K1069) + 1, LEN(K1069) - FIND(",", K1069)), K1069)</f>
        <v/>
      </c>
      <c r="N1069" t="n">
        <v>5</v>
      </c>
      <c r="P1069" t="inlineStr">
        <is>
          <t>15:00</t>
        </is>
      </c>
      <c r="Q1069" t="inlineStr">
        <is>
          <t>16:00</t>
        </is>
      </c>
    </row>
    <row r="1070">
      <c r="A1070" t="inlineStr">
        <is>
          <t>向井 歴</t>
        </is>
      </c>
      <c r="B1070" t="inlineStr">
        <is>
          <t>TCNZ001:社内業務等</t>
        </is>
      </c>
      <c r="D1070">
        <f>L1070</f>
        <v/>
      </c>
      <c r="E1070">
        <f>SUMIFS(J:J, G:G,             A1070, H:H, B1070, L:L, L1070)</f>
        <v/>
      </c>
      <c r="F1070" t="inlineStr">
        <is>
          <t>44</t>
        </is>
      </c>
      <c r="G1070" t="inlineStr">
        <is>
          <t>向井 歴</t>
        </is>
      </c>
      <c r="H1070" t="inlineStr">
        <is>
          <t>TCNZ001:社内業務等</t>
        </is>
      </c>
      <c r="I1070" s="1" t="n">
        <v>45931</v>
      </c>
      <c r="J1070" t="n">
        <v>0.5</v>
      </c>
      <c r="K1070" t="inlineStr">
        <is>
          <t>経費精算</t>
        </is>
      </c>
      <c r="L1070">
        <f>IFERROR(LEFT(K1070,             FIND(",", K1070) - 1), "-")</f>
        <v/>
      </c>
      <c r="M1070">
        <f>IFERROR(MID(K1070,             FIND(",", K1070) + 1, LEN(K1070) - FIND(",", K1070)), K1070)</f>
        <v/>
      </c>
      <c r="N1070" t="n">
        <v>5</v>
      </c>
      <c r="P1070" t="inlineStr">
        <is>
          <t>09:30</t>
        </is>
      </c>
      <c r="Q1070" t="inlineStr">
        <is>
          <t>10:00</t>
        </is>
      </c>
    </row>
    <row r="1071">
      <c r="A1071" t="inlineStr">
        <is>
          <t>向井 歴</t>
        </is>
      </c>
      <c r="B1071" t="inlineStr">
        <is>
          <t>YMHS001:ヤマハ サポート</t>
        </is>
      </c>
      <c r="C1071">
        <f>SUMIFS(J:J, G:G,             A1071, H:H, B1071)</f>
        <v/>
      </c>
      <c r="D1071">
        <f>L1071</f>
        <v/>
      </c>
      <c r="E1071">
        <f>SUMIFS(J:J, G:G,             A1071, H:H, B1071, L:L, L1071)</f>
        <v/>
      </c>
      <c r="F1071" t="inlineStr">
        <is>
          <t>44</t>
        </is>
      </c>
      <c r="G1071" t="inlineStr">
        <is>
          <t>向井 歴</t>
        </is>
      </c>
      <c r="H1071" t="inlineStr">
        <is>
          <t>YMHS001:ヤマハ サポート</t>
        </is>
      </c>
      <c r="I1071" s="1" t="n">
        <v>45931</v>
      </c>
      <c r="J1071" t="n">
        <v>0.5</v>
      </c>
      <c r="L1071">
        <f>IFERROR(LEFT(K1071,             FIND(",", K1071) - 1), "-")</f>
        <v/>
      </c>
      <c r="M1071">
        <f>IFERROR(MID(K1071,             FIND(",", K1071) + 1, LEN(K1071) - FIND(",", K1071)), K1071)</f>
        <v/>
      </c>
      <c r="N1071" t="n">
        <v>3</v>
      </c>
      <c r="P1071" t="inlineStr">
        <is>
          <t>09:00</t>
        </is>
      </c>
      <c r="Q1071" t="inlineStr">
        <is>
          <t>09:30</t>
        </is>
      </c>
    </row>
    <row r="1072">
      <c r="A1072" t="inlineStr">
        <is>
          <t>向井 歴</t>
        </is>
      </c>
      <c r="B1072" t="inlineStr">
        <is>
          <t>YMHS001:ヤマハ サポート</t>
        </is>
      </c>
      <c r="D1072">
        <f>L1072</f>
        <v/>
      </c>
      <c r="E1072">
        <f>SUMIFS(J:J, G:G,             A1072, H:H, B1072, L:L, L1072)</f>
        <v/>
      </c>
      <c r="F1072" t="inlineStr">
        <is>
          <t>44</t>
        </is>
      </c>
      <c r="G1072" t="inlineStr">
        <is>
          <t>向井 歴</t>
        </is>
      </c>
      <c r="H1072" t="inlineStr">
        <is>
          <t>YMHS001:ヤマハ サポート</t>
        </is>
      </c>
      <c r="I1072" s="1" t="n">
        <v>45931</v>
      </c>
      <c r="J1072" t="n">
        <v>2</v>
      </c>
      <c r="L1072">
        <f>IFERROR(LEFT(K1072,             FIND(",", K1072) - 1), "-")</f>
        <v/>
      </c>
      <c r="M1072">
        <f>IFERROR(MID(K1072,             FIND(",", K1072) + 1, LEN(K1072) - FIND(",", K1072)), K1072)</f>
        <v/>
      </c>
      <c r="N1072" t="n">
        <v>3</v>
      </c>
      <c r="P1072" t="inlineStr">
        <is>
          <t>10:00</t>
        </is>
      </c>
      <c r="Q1072" t="inlineStr">
        <is>
          <t>12:00</t>
        </is>
      </c>
    </row>
    <row r="1073">
      <c r="A1073" t="inlineStr">
        <is>
          <t>向井 歴</t>
        </is>
      </c>
      <c r="B1073" t="inlineStr">
        <is>
          <t>YMHS001:ヤマハ サポート</t>
        </is>
      </c>
      <c r="D1073">
        <f>L1073</f>
        <v/>
      </c>
      <c r="E1073">
        <f>SUMIFS(J:J, G:G,             A1073, H:H, B1073, L:L, L1073)</f>
        <v/>
      </c>
      <c r="F1073" t="inlineStr">
        <is>
          <t>44</t>
        </is>
      </c>
      <c r="G1073" t="inlineStr">
        <is>
          <t>向井 歴</t>
        </is>
      </c>
      <c r="H1073" t="inlineStr">
        <is>
          <t>YMHS001:ヤマハ サポート</t>
        </is>
      </c>
      <c r="I1073" s="1" t="n">
        <v>45931</v>
      </c>
      <c r="J1073" t="n">
        <v>5.25</v>
      </c>
      <c r="L1073">
        <f>IFERROR(LEFT(K1073,             FIND(",", K1073) - 1), "-")</f>
        <v/>
      </c>
      <c r="M1073">
        <f>IFERROR(MID(K1073,             FIND(",", K1073) + 1, LEN(K1073) - FIND(",", K1073)), K1073)</f>
        <v/>
      </c>
      <c r="N1073" t="n">
        <v>3</v>
      </c>
      <c r="P1073" t="inlineStr">
        <is>
          <t>13:00</t>
        </is>
      </c>
      <c r="Q1073" t="inlineStr">
        <is>
          <t>18:15</t>
        </is>
      </c>
    </row>
    <row r="1074">
      <c r="A1074" t="inlineStr">
        <is>
          <t>向井 歴</t>
        </is>
      </c>
      <c r="B1074" t="inlineStr">
        <is>
          <t>YMHS001:ヤマハ サポート</t>
        </is>
      </c>
      <c r="D1074">
        <f>L1074</f>
        <v/>
      </c>
      <c r="E1074">
        <f>SUMIFS(J:J, G:G,             A1074, H:H, B1074, L:L, L1074)</f>
        <v/>
      </c>
      <c r="F1074" t="inlineStr">
        <is>
          <t>44</t>
        </is>
      </c>
      <c r="G1074" t="inlineStr">
        <is>
          <t>向井 歴</t>
        </is>
      </c>
      <c r="H1074" t="inlineStr">
        <is>
          <t>YMHS001:ヤマハ サポート</t>
        </is>
      </c>
      <c r="I1074" s="1" t="n">
        <v>45932</v>
      </c>
      <c r="J1074" t="n">
        <v>3</v>
      </c>
      <c r="L1074">
        <f>IFERROR(LEFT(K1074,             FIND(",", K1074) - 1), "-")</f>
        <v/>
      </c>
      <c r="M1074">
        <f>IFERROR(MID(K1074,             FIND(",", K1074) + 1, LEN(K1074) - FIND(",", K1074)), K1074)</f>
        <v/>
      </c>
      <c r="N1074" t="n">
        <v>3</v>
      </c>
      <c r="P1074" t="inlineStr">
        <is>
          <t>09:00</t>
        </is>
      </c>
      <c r="Q1074" t="inlineStr">
        <is>
          <t>12:00</t>
        </is>
      </c>
    </row>
    <row r="1075">
      <c r="A1075" t="inlineStr">
        <is>
          <t>向井 歴</t>
        </is>
      </c>
      <c r="B1075" t="inlineStr">
        <is>
          <t>YMHS001:ヤマハ サポート</t>
        </is>
      </c>
      <c r="D1075">
        <f>L1075</f>
        <v/>
      </c>
      <c r="E1075">
        <f>SUMIFS(J:J, G:G,             A1075, H:H, B1075, L:L, L1075)</f>
        <v/>
      </c>
      <c r="F1075" t="inlineStr">
        <is>
          <t>44</t>
        </is>
      </c>
      <c r="G1075" t="inlineStr">
        <is>
          <t>向井 歴</t>
        </is>
      </c>
      <c r="H1075" t="inlineStr">
        <is>
          <t>YMHS001:ヤマハ サポート</t>
        </is>
      </c>
      <c r="I1075" s="1" t="n">
        <v>45932</v>
      </c>
      <c r="J1075" t="n">
        <v>5.25</v>
      </c>
      <c r="L1075">
        <f>IFERROR(LEFT(K1075,             FIND(",", K1075) - 1), "-")</f>
        <v/>
      </c>
      <c r="M1075">
        <f>IFERROR(MID(K1075,             FIND(",", K1075) + 1, LEN(K1075) - FIND(",", K1075)), K1075)</f>
        <v/>
      </c>
      <c r="N1075" t="n">
        <v>3</v>
      </c>
      <c r="P1075" t="inlineStr">
        <is>
          <t>13:00</t>
        </is>
      </c>
      <c r="Q1075" t="inlineStr">
        <is>
          <t>18:15</t>
        </is>
      </c>
    </row>
    <row r="1076">
      <c r="A1076" t="inlineStr">
        <is>
          <t>向井 歴</t>
        </is>
      </c>
      <c r="B1076" t="inlineStr">
        <is>
          <t>YMHS001:ヤマハ サポート</t>
        </is>
      </c>
      <c r="D1076">
        <f>L1076</f>
        <v/>
      </c>
      <c r="E1076">
        <f>SUMIFS(J:J, G:G,             A1076, H:H, B1076, L:L, L1076)</f>
        <v/>
      </c>
      <c r="F1076" t="inlineStr">
        <is>
          <t>44</t>
        </is>
      </c>
      <c r="G1076" t="inlineStr">
        <is>
          <t>向井 歴</t>
        </is>
      </c>
      <c r="H1076" t="inlineStr">
        <is>
          <t>YMHS001:ヤマハ サポート</t>
        </is>
      </c>
      <c r="I1076" s="1" t="n">
        <v>45933</v>
      </c>
      <c r="J1076" t="n">
        <v>3</v>
      </c>
      <c r="L1076">
        <f>IFERROR(LEFT(K1076,             FIND(",", K1076) - 1), "-")</f>
        <v/>
      </c>
      <c r="M1076">
        <f>IFERROR(MID(K1076,             FIND(",", K1076) + 1, LEN(K1076) - FIND(",", K1076)), K1076)</f>
        <v/>
      </c>
      <c r="N1076" t="n">
        <v>3</v>
      </c>
      <c r="P1076" t="inlineStr">
        <is>
          <t>09:00</t>
        </is>
      </c>
      <c r="Q1076" t="inlineStr">
        <is>
          <t>12:00</t>
        </is>
      </c>
    </row>
    <row r="1077">
      <c r="A1077" t="inlineStr">
        <is>
          <t>向井 歴</t>
        </is>
      </c>
      <c r="B1077" t="inlineStr">
        <is>
          <t>YMHS001:ヤマハ サポート</t>
        </is>
      </c>
      <c r="D1077">
        <f>L1077</f>
        <v/>
      </c>
      <c r="E1077">
        <f>SUMIFS(J:J, G:G,             A1077, H:H, B1077, L:L, L1077)</f>
        <v/>
      </c>
      <c r="F1077" t="inlineStr">
        <is>
          <t>44</t>
        </is>
      </c>
      <c r="G1077" t="inlineStr">
        <is>
          <t>向井 歴</t>
        </is>
      </c>
      <c r="H1077" t="inlineStr">
        <is>
          <t>YMHS001:ヤマハ サポート</t>
        </is>
      </c>
      <c r="I1077" s="1" t="n">
        <v>45933</v>
      </c>
      <c r="J1077" t="n">
        <v>2</v>
      </c>
      <c r="L1077">
        <f>IFERROR(LEFT(K1077,             FIND(",", K1077) - 1), "-")</f>
        <v/>
      </c>
      <c r="M1077">
        <f>IFERROR(MID(K1077,             FIND(",", K1077) + 1, LEN(K1077) - FIND(",", K1077)), K1077)</f>
        <v/>
      </c>
      <c r="N1077" t="n">
        <v>3</v>
      </c>
      <c r="P1077" t="inlineStr">
        <is>
          <t>13:00</t>
        </is>
      </c>
      <c r="Q1077" t="inlineStr">
        <is>
          <t>15:00</t>
        </is>
      </c>
    </row>
    <row r="1078">
      <c r="A1078" t="inlineStr">
        <is>
          <t>向井 歴</t>
        </is>
      </c>
      <c r="B1078" t="inlineStr">
        <is>
          <t>YMHS001:ヤマハ サポート</t>
        </is>
      </c>
      <c r="D1078">
        <f>L1078</f>
        <v/>
      </c>
      <c r="E1078">
        <f>SUMIFS(J:J, G:G,             A1078, H:H, B1078, L:L, L1078)</f>
        <v/>
      </c>
      <c r="F1078" t="inlineStr">
        <is>
          <t>44</t>
        </is>
      </c>
      <c r="G1078" t="inlineStr">
        <is>
          <t>向井 歴</t>
        </is>
      </c>
      <c r="H1078" t="inlineStr">
        <is>
          <t>YMHS001:ヤマハ サポート</t>
        </is>
      </c>
      <c r="I1078" s="1" t="n">
        <v>45933</v>
      </c>
      <c r="J1078" t="n">
        <v>2</v>
      </c>
      <c r="L1078">
        <f>IFERROR(LEFT(K1078,             FIND(",", K1078) - 1), "-")</f>
        <v/>
      </c>
      <c r="M1078">
        <f>IFERROR(MID(K1078,             FIND(",", K1078) + 1, LEN(K1078) - FIND(",", K1078)), K1078)</f>
        <v/>
      </c>
      <c r="N1078" t="n">
        <v>3</v>
      </c>
      <c r="P1078" t="inlineStr">
        <is>
          <t>16:00</t>
        </is>
      </c>
      <c r="Q1078" t="inlineStr">
        <is>
          <t>18:00</t>
        </is>
      </c>
    </row>
    <row r="1079">
      <c r="A1079" t="inlineStr">
        <is>
          <t>向井 歴</t>
        </is>
      </c>
      <c r="B1079" t="inlineStr">
        <is>
          <t>YMHS001:ヤマハ サポート</t>
        </is>
      </c>
      <c r="D1079">
        <f>L1079</f>
        <v/>
      </c>
      <c r="E1079">
        <f>SUMIFS(J:J, G:G,             A1079, H:H, B1079, L:L, L1079)</f>
        <v/>
      </c>
      <c r="F1079" t="inlineStr">
        <is>
          <t>44</t>
        </is>
      </c>
      <c r="G1079" t="inlineStr">
        <is>
          <t>向井 歴</t>
        </is>
      </c>
      <c r="H1079" t="inlineStr">
        <is>
          <t>YMHS001:ヤマハ サポート</t>
        </is>
      </c>
      <c r="I1079" s="1" t="n">
        <v>45936</v>
      </c>
      <c r="J1079" t="n">
        <v>3</v>
      </c>
      <c r="L1079">
        <f>IFERROR(LEFT(K1079,             FIND(",", K1079) - 1), "-")</f>
        <v/>
      </c>
      <c r="M1079">
        <f>IFERROR(MID(K1079,             FIND(",", K1079) + 1, LEN(K1079) - FIND(",", K1079)), K1079)</f>
        <v/>
      </c>
      <c r="N1079" t="n">
        <v>3</v>
      </c>
      <c r="P1079" t="inlineStr">
        <is>
          <t>09:00</t>
        </is>
      </c>
      <c r="Q1079" t="inlineStr">
        <is>
          <t>12:00</t>
        </is>
      </c>
    </row>
    <row r="1080">
      <c r="A1080" t="inlineStr">
        <is>
          <t>向井 歴</t>
        </is>
      </c>
      <c r="B1080" t="inlineStr">
        <is>
          <t>YMHS001:ヤマハ サポート</t>
        </is>
      </c>
      <c r="D1080">
        <f>L1080</f>
        <v/>
      </c>
      <c r="E1080">
        <f>SUMIFS(J:J, G:G,             A1080, H:H, B1080, L:L, L1080)</f>
        <v/>
      </c>
      <c r="F1080" t="inlineStr">
        <is>
          <t>44</t>
        </is>
      </c>
      <c r="G1080" t="inlineStr">
        <is>
          <t>向井 歴</t>
        </is>
      </c>
      <c r="H1080" t="inlineStr">
        <is>
          <t>YMHS001:ヤマハ サポート</t>
        </is>
      </c>
      <c r="I1080" s="1" t="n">
        <v>45936</v>
      </c>
      <c r="J1080" t="n">
        <v>5.5</v>
      </c>
      <c r="L1080">
        <f>IFERROR(LEFT(K1080,             FIND(",", K1080) - 1), "-")</f>
        <v/>
      </c>
      <c r="M1080">
        <f>IFERROR(MID(K1080,             FIND(",", K1080) + 1, LEN(K1080) - FIND(",", K1080)), K1080)</f>
        <v/>
      </c>
      <c r="N1080" t="n">
        <v>3</v>
      </c>
      <c r="P1080" t="inlineStr">
        <is>
          <t>13:00</t>
        </is>
      </c>
      <c r="Q1080" t="inlineStr">
        <is>
          <t>18:30</t>
        </is>
      </c>
    </row>
    <row r="1081">
      <c r="A1081" t="inlineStr">
        <is>
          <t>向井 歴</t>
        </is>
      </c>
      <c r="B1081" t="inlineStr">
        <is>
          <t>YMHS001:ヤマハ サポート</t>
        </is>
      </c>
      <c r="D1081">
        <f>L1081</f>
        <v/>
      </c>
      <c r="E1081">
        <f>SUMIFS(J:J, G:G,             A1081, H:H, B1081, L:L, L1081)</f>
        <v/>
      </c>
      <c r="F1081" t="inlineStr">
        <is>
          <t>44</t>
        </is>
      </c>
      <c r="G1081" t="inlineStr">
        <is>
          <t>向井 歴</t>
        </is>
      </c>
      <c r="H1081" t="inlineStr">
        <is>
          <t>YMHS001:ヤマハ サポート</t>
        </is>
      </c>
      <c r="I1081" s="1" t="n">
        <v>45937</v>
      </c>
      <c r="J1081" t="n">
        <v>3</v>
      </c>
      <c r="L1081">
        <f>IFERROR(LEFT(K1081,             FIND(",", K1081) - 1), "-")</f>
        <v/>
      </c>
      <c r="M1081">
        <f>IFERROR(MID(K1081,             FIND(",", K1081) + 1, LEN(K1081) - FIND(",", K1081)), K1081)</f>
        <v/>
      </c>
      <c r="N1081" t="n">
        <v>3</v>
      </c>
      <c r="P1081" t="inlineStr">
        <is>
          <t>09:00</t>
        </is>
      </c>
      <c r="Q1081" t="inlineStr">
        <is>
          <t>12:00</t>
        </is>
      </c>
    </row>
    <row r="1082">
      <c r="A1082" t="inlineStr">
        <is>
          <t>向井 歴</t>
        </is>
      </c>
      <c r="B1082" t="inlineStr">
        <is>
          <t>YMHS001:ヤマハ サポート</t>
        </is>
      </c>
      <c r="D1082">
        <f>L1082</f>
        <v/>
      </c>
      <c r="E1082">
        <f>SUMIFS(J:J, G:G,             A1082, H:H, B1082, L:L, L1082)</f>
        <v/>
      </c>
      <c r="F1082" t="inlineStr">
        <is>
          <t>44</t>
        </is>
      </c>
      <c r="G1082" t="inlineStr">
        <is>
          <t>向井 歴</t>
        </is>
      </c>
      <c r="H1082" t="inlineStr">
        <is>
          <t>YMHS001:ヤマハ サポート</t>
        </is>
      </c>
      <c r="I1082" s="1" t="n">
        <v>45937</v>
      </c>
      <c r="J1082" t="n">
        <v>5</v>
      </c>
      <c r="L1082">
        <f>IFERROR(LEFT(K1082,             FIND(",", K1082) - 1), "-")</f>
        <v/>
      </c>
      <c r="M1082">
        <f>IFERROR(MID(K1082,             FIND(",", K1082) + 1, LEN(K1082) - FIND(",", K1082)), K1082)</f>
        <v/>
      </c>
      <c r="N1082" t="n">
        <v>3</v>
      </c>
      <c r="P1082" t="inlineStr">
        <is>
          <t>13:00</t>
        </is>
      </c>
      <c r="Q1082" t="inlineStr">
        <is>
          <t>18:00</t>
        </is>
      </c>
    </row>
    <row r="1083">
      <c r="A1083" t="inlineStr">
        <is>
          <t>向井 歴</t>
        </is>
      </c>
      <c r="B1083" t="inlineStr">
        <is>
          <t>YMHS001:ヤマハ サポート</t>
        </is>
      </c>
      <c r="D1083">
        <f>L1083</f>
        <v/>
      </c>
      <c r="E1083">
        <f>SUMIFS(J:J, G:G,             A1083, H:H, B1083, L:L, L1083)</f>
        <v/>
      </c>
      <c r="F1083" t="inlineStr">
        <is>
          <t>44</t>
        </is>
      </c>
      <c r="G1083" t="inlineStr">
        <is>
          <t>向井 歴</t>
        </is>
      </c>
      <c r="H1083" t="inlineStr">
        <is>
          <t>YMHS001:ヤマハ サポート</t>
        </is>
      </c>
      <c r="I1083" s="1" t="n">
        <v>45938</v>
      </c>
      <c r="J1083" t="n">
        <v>3</v>
      </c>
      <c r="L1083">
        <f>IFERROR(LEFT(K1083,             FIND(",", K1083) - 1), "-")</f>
        <v/>
      </c>
      <c r="M1083">
        <f>IFERROR(MID(K1083,             FIND(",", K1083) + 1, LEN(K1083) - FIND(",", K1083)), K1083)</f>
        <v/>
      </c>
      <c r="N1083" t="n">
        <v>3</v>
      </c>
      <c r="P1083" t="inlineStr">
        <is>
          <t>09:00</t>
        </is>
      </c>
      <c r="Q1083" t="inlineStr">
        <is>
          <t>12:00</t>
        </is>
      </c>
    </row>
    <row r="1084">
      <c r="A1084" t="inlineStr">
        <is>
          <t>向井 歴</t>
        </is>
      </c>
      <c r="B1084" t="inlineStr">
        <is>
          <t>YMHS001:ヤマハ サポート</t>
        </is>
      </c>
      <c r="D1084">
        <f>L1084</f>
        <v/>
      </c>
      <c r="E1084">
        <f>SUMIFS(J:J, G:G,             A1084, H:H, B1084, L:L, L1084)</f>
        <v/>
      </c>
      <c r="F1084" t="inlineStr">
        <is>
          <t>44</t>
        </is>
      </c>
      <c r="G1084" t="inlineStr">
        <is>
          <t>向井 歴</t>
        </is>
      </c>
      <c r="H1084" t="inlineStr">
        <is>
          <t>YMHS001:ヤマハ サポート</t>
        </is>
      </c>
      <c r="I1084" s="1" t="n">
        <v>45938</v>
      </c>
      <c r="J1084" t="n">
        <v>5</v>
      </c>
      <c r="L1084">
        <f>IFERROR(LEFT(K1084,             FIND(",", K1084) - 1), "-")</f>
        <v/>
      </c>
      <c r="M1084">
        <f>IFERROR(MID(K1084,             FIND(",", K1084) + 1, LEN(K1084) - FIND(",", K1084)), K1084)</f>
        <v/>
      </c>
      <c r="N1084" t="n">
        <v>3</v>
      </c>
      <c r="P1084" t="inlineStr">
        <is>
          <t>13:00</t>
        </is>
      </c>
      <c r="Q1084" t="inlineStr">
        <is>
          <t>18:00</t>
        </is>
      </c>
    </row>
    <row r="1085">
      <c r="A1085" t="inlineStr">
        <is>
          <t>向井 歴</t>
        </is>
      </c>
      <c r="B1085" t="inlineStr">
        <is>
          <t>YMHS001:ヤマハ サポート</t>
        </is>
      </c>
      <c r="D1085">
        <f>L1085</f>
        <v/>
      </c>
      <c r="E1085">
        <f>SUMIFS(J:J, G:G,             A1085, H:H, B1085, L:L, L1085)</f>
        <v/>
      </c>
      <c r="F1085" t="inlineStr">
        <is>
          <t>44</t>
        </is>
      </c>
      <c r="G1085" t="inlineStr">
        <is>
          <t>向井 歴</t>
        </is>
      </c>
      <c r="H1085" t="inlineStr">
        <is>
          <t>YMHS001:ヤマハ サポート</t>
        </is>
      </c>
      <c r="I1085" s="1" t="n">
        <v>45939</v>
      </c>
      <c r="J1085" t="n">
        <v>3</v>
      </c>
      <c r="L1085">
        <f>IFERROR(LEFT(K1085,             FIND(",", K1085) - 1), "-")</f>
        <v/>
      </c>
      <c r="M1085">
        <f>IFERROR(MID(K1085,             FIND(",", K1085) + 1, LEN(K1085) - FIND(",", K1085)), K1085)</f>
        <v/>
      </c>
      <c r="N1085" t="n">
        <v>3</v>
      </c>
      <c r="P1085" t="inlineStr">
        <is>
          <t>09:00</t>
        </is>
      </c>
      <c r="Q1085" t="inlineStr">
        <is>
          <t>12:00</t>
        </is>
      </c>
    </row>
    <row r="1086">
      <c r="A1086" t="inlineStr">
        <is>
          <t>向井 歴</t>
        </is>
      </c>
      <c r="B1086" t="inlineStr">
        <is>
          <t>YMHS001:ヤマハ サポート</t>
        </is>
      </c>
      <c r="D1086">
        <f>L1086</f>
        <v/>
      </c>
      <c r="E1086">
        <f>SUMIFS(J:J, G:G,             A1086, H:H, B1086, L:L, L1086)</f>
        <v/>
      </c>
      <c r="F1086" t="inlineStr">
        <is>
          <t>44</t>
        </is>
      </c>
      <c r="G1086" t="inlineStr">
        <is>
          <t>向井 歴</t>
        </is>
      </c>
      <c r="H1086" t="inlineStr">
        <is>
          <t>YMHS001:ヤマハ サポート</t>
        </is>
      </c>
      <c r="I1086" s="1" t="n">
        <v>45939</v>
      </c>
      <c r="J1086" t="n">
        <v>5.25</v>
      </c>
      <c r="L1086">
        <f>IFERROR(LEFT(K1086,             FIND(",", K1086) - 1), "-")</f>
        <v/>
      </c>
      <c r="M1086">
        <f>IFERROR(MID(K1086,             FIND(",", K1086) + 1, LEN(K1086) - FIND(",", K1086)), K1086)</f>
        <v/>
      </c>
      <c r="N1086" t="n">
        <v>3</v>
      </c>
      <c r="P1086" t="inlineStr">
        <is>
          <t>13:00</t>
        </is>
      </c>
      <c r="Q1086" t="inlineStr">
        <is>
          <t>18:15</t>
        </is>
      </c>
    </row>
    <row r="1087">
      <c r="A1087" t="inlineStr">
        <is>
          <t>向井 歴</t>
        </is>
      </c>
      <c r="B1087" t="inlineStr">
        <is>
          <t>YMHS001:ヤマハ サポート</t>
        </is>
      </c>
      <c r="D1087">
        <f>L1087</f>
        <v/>
      </c>
      <c r="E1087">
        <f>SUMIFS(J:J, G:G,             A1087, H:H, B1087, L:L, L1087)</f>
        <v/>
      </c>
      <c r="F1087" t="inlineStr">
        <is>
          <t>44</t>
        </is>
      </c>
      <c r="G1087" t="inlineStr">
        <is>
          <t>向井 歴</t>
        </is>
      </c>
      <c r="H1087" t="inlineStr">
        <is>
          <t>YMHS001:ヤマハ サポート</t>
        </is>
      </c>
      <c r="I1087" s="1" t="n">
        <v>45940</v>
      </c>
      <c r="J1087" t="n">
        <v>4</v>
      </c>
      <c r="L1087">
        <f>IFERROR(LEFT(K1087,             FIND(",", K1087) - 1), "-")</f>
        <v/>
      </c>
      <c r="M1087">
        <f>IFERROR(MID(K1087,             FIND(",", K1087) + 1, LEN(K1087) - FIND(",", K1087)), K1087)</f>
        <v/>
      </c>
      <c r="N1087" t="n">
        <v>3</v>
      </c>
      <c r="P1087" t="inlineStr">
        <is>
          <t>09:00</t>
        </is>
      </c>
      <c r="Q1087" t="inlineStr">
        <is>
          <t>13:00</t>
        </is>
      </c>
    </row>
    <row r="1088">
      <c r="A1088" t="inlineStr">
        <is>
          <t>向井 歴</t>
        </is>
      </c>
      <c r="B1088" t="inlineStr">
        <is>
          <t>YMHS001:ヤマハ サポート</t>
        </is>
      </c>
      <c r="D1088">
        <f>L1088</f>
        <v/>
      </c>
      <c r="E1088">
        <f>SUMIFS(J:J, G:G,             A1088, H:H, B1088, L:L, L1088)</f>
        <v/>
      </c>
      <c r="F1088" t="inlineStr">
        <is>
          <t>44</t>
        </is>
      </c>
      <c r="G1088" t="inlineStr">
        <is>
          <t>向井 歴</t>
        </is>
      </c>
      <c r="H1088" t="inlineStr">
        <is>
          <t>YMHS001:ヤマハ サポート</t>
        </is>
      </c>
      <c r="I1088" s="1" t="n">
        <v>45944</v>
      </c>
      <c r="J1088" t="n">
        <v>3</v>
      </c>
      <c r="L1088">
        <f>IFERROR(LEFT(K1088,             FIND(",", K1088) - 1), "-")</f>
        <v/>
      </c>
      <c r="M1088">
        <f>IFERROR(MID(K1088,             FIND(",", K1088) + 1, LEN(K1088) - FIND(",", K1088)), K1088)</f>
        <v/>
      </c>
      <c r="N1088" t="n">
        <v>3</v>
      </c>
      <c r="P1088" t="inlineStr">
        <is>
          <t>09:00</t>
        </is>
      </c>
      <c r="Q1088" t="inlineStr">
        <is>
          <t>12:00</t>
        </is>
      </c>
    </row>
    <row r="1089">
      <c r="A1089" t="inlineStr">
        <is>
          <t>向井 歴</t>
        </is>
      </c>
      <c r="B1089" t="inlineStr">
        <is>
          <t>YMHS001:ヤマハ サポート</t>
        </is>
      </c>
      <c r="D1089">
        <f>L1089</f>
        <v/>
      </c>
      <c r="E1089">
        <f>SUMIFS(J:J, G:G,             A1089, H:H, B1089, L:L, L1089)</f>
        <v/>
      </c>
      <c r="F1089" t="inlineStr">
        <is>
          <t>44</t>
        </is>
      </c>
      <c r="G1089" t="inlineStr">
        <is>
          <t>向井 歴</t>
        </is>
      </c>
      <c r="H1089" t="inlineStr">
        <is>
          <t>YMHS001:ヤマハ サポート</t>
        </is>
      </c>
      <c r="I1089" s="1" t="n">
        <v>45944</v>
      </c>
      <c r="J1089" t="n">
        <v>5</v>
      </c>
      <c r="L1089">
        <f>IFERROR(LEFT(K1089,             FIND(",", K1089) - 1), "-")</f>
        <v/>
      </c>
      <c r="M1089">
        <f>IFERROR(MID(K1089,             FIND(",", K1089) + 1, LEN(K1089) - FIND(",", K1089)), K1089)</f>
        <v/>
      </c>
      <c r="N1089" t="n">
        <v>3</v>
      </c>
      <c r="P1089" t="inlineStr">
        <is>
          <t>13:00</t>
        </is>
      </c>
      <c r="Q1089" t="inlineStr">
        <is>
          <t>18:00</t>
        </is>
      </c>
    </row>
    <row r="1090">
      <c r="A1090" t="inlineStr">
        <is>
          <t>向井 歴</t>
        </is>
      </c>
      <c r="B1090" t="inlineStr">
        <is>
          <t>YMHS001:ヤマハ サポート</t>
        </is>
      </c>
      <c r="D1090">
        <f>L1090</f>
        <v/>
      </c>
      <c r="E1090">
        <f>SUMIFS(J:J, G:G,             A1090, H:H, B1090, L:L, L1090)</f>
        <v/>
      </c>
      <c r="F1090" t="inlineStr">
        <is>
          <t>44</t>
        </is>
      </c>
      <c r="G1090" t="inlineStr">
        <is>
          <t>向井 歴</t>
        </is>
      </c>
      <c r="H1090" t="inlineStr">
        <is>
          <t>YMHS001:ヤマハ サポート</t>
        </is>
      </c>
      <c r="I1090" s="1" t="n">
        <v>45945</v>
      </c>
      <c r="J1090" t="n">
        <v>3</v>
      </c>
      <c r="L1090">
        <f>IFERROR(LEFT(K1090,             FIND(",", K1090) - 1), "-")</f>
        <v/>
      </c>
      <c r="M1090">
        <f>IFERROR(MID(K1090,             FIND(",", K1090) + 1, LEN(K1090) - FIND(",", K1090)), K1090)</f>
        <v/>
      </c>
      <c r="N1090" t="n">
        <v>3</v>
      </c>
      <c r="P1090" t="inlineStr">
        <is>
          <t>09:00</t>
        </is>
      </c>
      <c r="Q1090" t="inlineStr">
        <is>
          <t>12:00</t>
        </is>
      </c>
    </row>
    <row r="1091">
      <c r="A1091" t="inlineStr">
        <is>
          <t>向井 歴</t>
        </is>
      </c>
      <c r="B1091" t="inlineStr">
        <is>
          <t>YMHS001:ヤマハ サポート</t>
        </is>
      </c>
      <c r="D1091">
        <f>L1091</f>
        <v/>
      </c>
      <c r="E1091">
        <f>SUMIFS(J:J, G:G,             A1091, H:H, B1091, L:L, L1091)</f>
        <v/>
      </c>
      <c r="F1091" t="inlineStr">
        <is>
          <t>44</t>
        </is>
      </c>
      <c r="G1091" t="inlineStr">
        <is>
          <t>向井 歴</t>
        </is>
      </c>
      <c r="H1091" t="inlineStr">
        <is>
          <t>YMHS001:ヤマハ サポート</t>
        </is>
      </c>
      <c r="I1091" s="1" t="n">
        <v>45945</v>
      </c>
      <c r="J1091" t="n">
        <v>9.5</v>
      </c>
      <c r="L1091">
        <f>IFERROR(LEFT(K1091,             FIND(",", K1091) - 1), "-")</f>
        <v/>
      </c>
      <c r="M1091">
        <f>IFERROR(MID(K1091,             FIND(",", K1091) + 1, LEN(K1091) - FIND(",", K1091)), K1091)</f>
        <v/>
      </c>
      <c r="N1091" t="n">
        <v>3</v>
      </c>
      <c r="P1091" t="inlineStr">
        <is>
          <t>13:00</t>
        </is>
      </c>
      <c r="Q1091" t="inlineStr">
        <is>
          <t>22:30</t>
        </is>
      </c>
    </row>
    <row r="1092">
      <c r="A1092" t="inlineStr">
        <is>
          <t>向井 歴</t>
        </is>
      </c>
      <c r="B1092" t="inlineStr">
        <is>
          <t>YMHS001:ヤマハ サポート</t>
        </is>
      </c>
      <c r="D1092">
        <f>L1092</f>
        <v/>
      </c>
      <c r="E1092">
        <f>SUMIFS(J:J, G:G,             A1092, H:H, B1092, L:L, L1092)</f>
        <v/>
      </c>
      <c r="F1092" t="inlineStr">
        <is>
          <t>44</t>
        </is>
      </c>
      <c r="G1092" t="inlineStr">
        <is>
          <t>向井 歴</t>
        </is>
      </c>
      <c r="H1092" t="inlineStr">
        <is>
          <t>YMHS001:ヤマハ サポート</t>
        </is>
      </c>
      <c r="I1092" s="1" t="n">
        <v>45946</v>
      </c>
      <c r="J1092" t="n">
        <v>3</v>
      </c>
      <c r="L1092">
        <f>IFERROR(LEFT(K1092,             FIND(",", K1092) - 1), "-")</f>
        <v/>
      </c>
      <c r="M1092">
        <f>IFERROR(MID(K1092,             FIND(",", K1092) + 1, LEN(K1092) - FIND(",", K1092)), K1092)</f>
        <v/>
      </c>
      <c r="N1092" t="n">
        <v>3</v>
      </c>
      <c r="P1092" t="inlineStr">
        <is>
          <t>09:00</t>
        </is>
      </c>
      <c r="Q1092" t="inlineStr">
        <is>
          <t>12:00</t>
        </is>
      </c>
    </row>
    <row r="1093">
      <c r="A1093" t="inlineStr">
        <is>
          <t>向井 歴</t>
        </is>
      </c>
      <c r="B1093" t="inlineStr">
        <is>
          <t>YMHS001:ヤマハ サポート</t>
        </is>
      </c>
      <c r="D1093">
        <f>L1093</f>
        <v/>
      </c>
      <c r="E1093">
        <f>SUMIFS(J:J, G:G,             A1093, H:H, B1093, L:L, L1093)</f>
        <v/>
      </c>
      <c r="F1093" t="inlineStr">
        <is>
          <t>44</t>
        </is>
      </c>
      <c r="G1093" t="inlineStr">
        <is>
          <t>向井 歴</t>
        </is>
      </c>
      <c r="H1093" t="inlineStr">
        <is>
          <t>YMHS001:ヤマハ サポート</t>
        </is>
      </c>
      <c r="I1093" s="1" t="n">
        <v>45946</v>
      </c>
      <c r="J1093" t="n">
        <v>5</v>
      </c>
      <c r="L1093">
        <f>IFERROR(LEFT(K1093,             FIND(",", K1093) - 1), "-")</f>
        <v/>
      </c>
      <c r="M1093">
        <f>IFERROR(MID(K1093,             FIND(",", K1093) + 1, LEN(K1093) - FIND(",", K1093)), K1093)</f>
        <v/>
      </c>
      <c r="N1093" t="n">
        <v>3</v>
      </c>
      <c r="P1093" t="inlineStr">
        <is>
          <t>13:00</t>
        </is>
      </c>
      <c r="Q1093" t="inlineStr">
        <is>
          <t>18:00</t>
        </is>
      </c>
    </row>
    <row r="1094">
      <c r="A1094" t="inlineStr">
        <is>
          <t>向井 歴</t>
        </is>
      </c>
      <c r="B1094" t="inlineStr">
        <is>
          <t>YMHS001:ヤマハ サポート</t>
        </is>
      </c>
      <c r="D1094">
        <f>L1094</f>
        <v/>
      </c>
      <c r="E1094">
        <f>SUMIFS(J:J, G:G,             A1094, H:H, B1094, L:L, L1094)</f>
        <v/>
      </c>
      <c r="F1094" t="inlineStr">
        <is>
          <t>44</t>
        </is>
      </c>
      <c r="G1094" t="inlineStr">
        <is>
          <t>向井 歴</t>
        </is>
      </c>
      <c r="H1094" t="inlineStr">
        <is>
          <t>YMHS001:ヤマハ サポート</t>
        </is>
      </c>
      <c r="I1094" s="1" t="n">
        <v>45947</v>
      </c>
      <c r="J1094" t="n">
        <v>3</v>
      </c>
      <c r="L1094">
        <f>IFERROR(LEFT(K1094,             FIND(",", K1094) - 1), "-")</f>
        <v/>
      </c>
      <c r="M1094">
        <f>IFERROR(MID(K1094,             FIND(",", K1094) + 1, LEN(K1094) - FIND(",", K1094)), K1094)</f>
        <v/>
      </c>
      <c r="N1094" t="n">
        <v>3</v>
      </c>
      <c r="P1094" t="inlineStr">
        <is>
          <t>09:00</t>
        </is>
      </c>
      <c r="Q1094" t="inlineStr">
        <is>
          <t>12:00</t>
        </is>
      </c>
    </row>
    <row r="1095">
      <c r="A1095" t="inlineStr">
        <is>
          <t>向井 歴</t>
        </is>
      </c>
      <c r="B1095" t="inlineStr">
        <is>
          <t>YMHS001:ヤマハ サポート</t>
        </is>
      </c>
      <c r="D1095">
        <f>L1095</f>
        <v/>
      </c>
      <c r="E1095">
        <f>SUMIFS(J:J, G:G,             A1095, H:H, B1095, L:L, L1095)</f>
        <v/>
      </c>
      <c r="F1095" t="inlineStr">
        <is>
          <t>44</t>
        </is>
      </c>
      <c r="G1095" t="inlineStr">
        <is>
          <t>向井 歴</t>
        </is>
      </c>
      <c r="H1095" t="inlineStr">
        <is>
          <t>YMHS001:ヤマハ サポート</t>
        </is>
      </c>
      <c r="I1095" s="1" t="n">
        <v>45947</v>
      </c>
      <c r="J1095" t="n">
        <v>5</v>
      </c>
      <c r="L1095">
        <f>IFERROR(LEFT(K1095,             FIND(",", K1095) - 1), "-")</f>
        <v/>
      </c>
      <c r="M1095">
        <f>IFERROR(MID(K1095,             FIND(",", K1095) + 1, LEN(K1095) - FIND(",", K1095)), K1095)</f>
        <v/>
      </c>
      <c r="N1095" t="n">
        <v>3</v>
      </c>
      <c r="P1095" t="inlineStr">
        <is>
          <t>13:00</t>
        </is>
      </c>
      <c r="Q1095" t="inlineStr">
        <is>
          <t>18:00</t>
        </is>
      </c>
    </row>
    <row r="1096">
      <c r="A1096" t="inlineStr">
        <is>
          <t>向井 歴</t>
        </is>
      </c>
      <c r="B1096" t="inlineStr">
        <is>
          <t>YMHS001:ヤマハ サポート</t>
        </is>
      </c>
      <c r="D1096">
        <f>L1096</f>
        <v/>
      </c>
      <c r="E1096">
        <f>SUMIFS(J:J, G:G,             A1096, H:H, B1096, L:L, L1096)</f>
        <v/>
      </c>
      <c r="F1096" t="inlineStr">
        <is>
          <t>44</t>
        </is>
      </c>
      <c r="G1096" t="inlineStr">
        <is>
          <t>向井 歴</t>
        </is>
      </c>
      <c r="H1096" t="inlineStr">
        <is>
          <t>YMHS001:ヤマハ サポート</t>
        </is>
      </c>
      <c r="I1096" s="1" t="n">
        <v>45950</v>
      </c>
      <c r="J1096" t="n">
        <v>3</v>
      </c>
      <c r="L1096">
        <f>IFERROR(LEFT(K1096,             FIND(",", K1096) - 1), "-")</f>
        <v/>
      </c>
      <c r="M1096">
        <f>IFERROR(MID(K1096,             FIND(",", K1096) + 1, LEN(K1096) - FIND(",", K1096)), K1096)</f>
        <v/>
      </c>
      <c r="N1096" t="n">
        <v>3</v>
      </c>
      <c r="P1096" t="inlineStr">
        <is>
          <t>09:00</t>
        </is>
      </c>
      <c r="Q1096" t="inlineStr">
        <is>
          <t>12:00</t>
        </is>
      </c>
    </row>
    <row r="1097">
      <c r="A1097" t="inlineStr">
        <is>
          <t>向井 歴</t>
        </is>
      </c>
      <c r="B1097" t="inlineStr">
        <is>
          <t>YMHS001:ヤマハ サポート</t>
        </is>
      </c>
      <c r="D1097">
        <f>L1097</f>
        <v/>
      </c>
      <c r="E1097">
        <f>SUMIFS(J:J, G:G,             A1097, H:H, B1097, L:L, L1097)</f>
        <v/>
      </c>
      <c r="F1097" t="inlineStr">
        <is>
          <t>44</t>
        </is>
      </c>
      <c r="G1097" t="inlineStr">
        <is>
          <t>向井 歴</t>
        </is>
      </c>
      <c r="H1097" t="inlineStr">
        <is>
          <t>YMHS001:ヤマハ サポート</t>
        </is>
      </c>
      <c r="I1097" s="1" t="n">
        <v>45950</v>
      </c>
      <c r="J1097" t="n">
        <v>5</v>
      </c>
      <c r="L1097">
        <f>IFERROR(LEFT(K1097,             FIND(",", K1097) - 1), "-")</f>
        <v/>
      </c>
      <c r="M1097">
        <f>IFERROR(MID(K1097,             FIND(",", K1097) + 1, LEN(K1097) - FIND(",", K1097)), K1097)</f>
        <v/>
      </c>
      <c r="N1097" t="n">
        <v>3</v>
      </c>
      <c r="P1097" t="inlineStr">
        <is>
          <t>13:00</t>
        </is>
      </c>
      <c r="Q1097" t="inlineStr">
        <is>
          <t>18:00</t>
        </is>
      </c>
    </row>
    <row r="1098">
      <c r="A1098" t="inlineStr">
        <is>
          <t>向井 歴</t>
        </is>
      </c>
      <c r="B1098" t="inlineStr">
        <is>
          <t>YMHS001:ヤマハ サポート</t>
        </is>
      </c>
      <c r="D1098">
        <f>L1098</f>
        <v/>
      </c>
      <c r="E1098">
        <f>SUMIFS(J:J, G:G,             A1098, H:H, B1098, L:L, L1098)</f>
        <v/>
      </c>
      <c r="F1098" t="inlineStr">
        <is>
          <t>44</t>
        </is>
      </c>
      <c r="G1098" t="inlineStr">
        <is>
          <t>向井 歴</t>
        </is>
      </c>
      <c r="H1098" t="inlineStr">
        <is>
          <t>YMHS001:ヤマハ サポート</t>
        </is>
      </c>
      <c r="I1098" s="1" t="n">
        <v>45951</v>
      </c>
      <c r="J1098" t="n">
        <v>3</v>
      </c>
      <c r="L1098">
        <f>IFERROR(LEFT(K1098,             FIND(",", K1098) - 1), "-")</f>
        <v/>
      </c>
      <c r="M1098">
        <f>IFERROR(MID(K1098,             FIND(",", K1098) + 1, LEN(K1098) - FIND(",", K1098)), K1098)</f>
        <v/>
      </c>
      <c r="N1098" t="n">
        <v>3</v>
      </c>
      <c r="P1098" t="inlineStr">
        <is>
          <t>09:00</t>
        </is>
      </c>
      <c r="Q1098" t="inlineStr">
        <is>
          <t>12:00</t>
        </is>
      </c>
    </row>
    <row r="1099">
      <c r="A1099" t="inlineStr">
        <is>
          <t>向井 歴</t>
        </is>
      </c>
      <c r="B1099" t="inlineStr">
        <is>
          <t>YMHS001:ヤマハ サポート</t>
        </is>
      </c>
      <c r="D1099">
        <f>L1099</f>
        <v/>
      </c>
      <c r="E1099">
        <f>SUMIFS(J:J, G:G,             A1099, H:H, B1099, L:L, L1099)</f>
        <v/>
      </c>
      <c r="F1099" t="inlineStr">
        <is>
          <t>44</t>
        </is>
      </c>
      <c r="G1099" t="inlineStr">
        <is>
          <t>向井 歴</t>
        </is>
      </c>
      <c r="H1099" t="inlineStr">
        <is>
          <t>YMHS001:ヤマハ サポート</t>
        </is>
      </c>
      <c r="I1099" s="1" t="n">
        <v>45951</v>
      </c>
      <c r="J1099" t="n">
        <v>5.5</v>
      </c>
      <c r="L1099">
        <f>IFERROR(LEFT(K1099,             FIND(",", K1099) - 1), "-")</f>
        <v/>
      </c>
      <c r="M1099">
        <f>IFERROR(MID(K1099,             FIND(",", K1099) + 1, LEN(K1099) - FIND(",", K1099)), K1099)</f>
        <v/>
      </c>
      <c r="N1099" t="n">
        <v>3</v>
      </c>
      <c r="P1099" t="inlineStr">
        <is>
          <t>13:00</t>
        </is>
      </c>
      <c r="Q1099" t="inlineStr">
        <is>
          <t>18:30</t>
        </is>
      </c>
    </row>
    <row r="1100">
      <c r="A1100" t="inlineStr">
        <is>
          <t>向井 歴</t>
        </is>
      </c>
      <c r="B1100" t="inlineStr">
        <is>
          <t>YMHS001:ヤマハ サポート</t>
        </is>
      </c>
      <c r="D1100">
        <f>L1100</f>
        <v/>
      </c>
      <c r="E1100">
        <f>SUMIFS(J:J, G:G,             A1100, H:H, B1100, L:L, L1100)</f>
        <v/>
      </c>
      <c r="F1100" t="inlineStr">
        <is>
          <t>44</t>
        </is>
      </c>
      <c r="G1100" t="inlineStr">
        <is>
          <t>向井 歴</t>
        </is>
      </c>
      <c r="H1100" t="inlineStr">
        <is>
          <t>YMHS001:ヤマハ サポート</t>
        </is>
      </c>
      <c r="I1100" s="1" t="n">
        <v>45952</v>
      </c>
      <c r="J1100" t="n">
        <v>3</v>
      </c>
      <c r="L1100">
        <f>IFERROR(LEFT(K1100,             FIND(",", K1100) - 1), "-")</f>
        <v/>
      </c>
      <c r="M1100">
        <f>IFERROR(MID(K1100,             FIND(",", K1100) + 1, LEN(K1100) - FIND(",", K1100)), K1100)</f>
        <v/>
      </c>
      <c r="N1100" t="n">
        <v>3</v>
      </c>
      <c r="P1100" t="inlineStr">
        <is>
          <t>09:00</t>
        </is>
      </c>
      <c r="Q1100" t="inlineStr">
        <is>
          <t>12:00</t>
        </is>
      </c>
    </row>
    <row r="1101">
      <c r="A1101" t="inlineStr">
        <is>
          <t>向井 歴</t>
        </is>
      </c>
      <c r="B1101" t="inlineStr">
        <is>
          <t>YMHS001:ヤマハ サポート</t>
        </is>
      </c>
      <c r="D1101">
        <f>L1101</f>
        <v/>
      </c>
      <c r="E1101">
        <f>SUMIFS(J:J, G:G,             A1101, H:H, B1101, L:L, L1101)</f>
        <v/>
      </c>
      <c r="F1101" t="inlineStr">
        <is>
          <t>44</t>
        </is>
      </c>
      <c r="G1101" t="inlineStr">
        <is>
          <t>向井 歴</t>
        </is>
      </c>
      <c r="H1101" t="inlineStr">
        <is>
          <t>YMHS001:ヤマハ サポート</t>
        </is>
      </c>
      <c r="I1101" s="1" t="n">
        <v>45952</v>
      </c>
      <c r="J1101" t="n">
        <v>5</v>
      </c>
      <c r="L1101">
        <f>IFERROR(LEFT(K1101,             FIND(",", K1101) - 1), "-")</f>
        <v/>
      </c>
      <c r="M1101">
        <f>IFERROR(MID(K1101,             FIND(",", K1101) + 1, LEN(K1101) - FIND(",", K1101)), K1101)</f>
        <v/>
      </c>
      <c r="N1101" t="n">
        <v>3</v>
      </c>
      <c r="P1101" t="inlineStr">
        <is>
          <t>13:00</t>
        </is>
      </c>
      <c r="Q1101" t="inlineStr">
        <is>
          <t>18:00</t>
        </is>
      </c>
    </row>
    <row r="1102">
      <c r="A1102" t="inlineStr">
        <is>
          <t>向井 歴</t>
        </is>
      </c>
      <c r="B1102" t="inlineStr">
        <is>
          <t>YMHS001:ヤマハ サポート</t>
        </is>
      </c>
      <c r="D1102">
        <f>L1102</f>
        <v/>
      </c>
      <c r="E1102">
        <f>SUMIFS(J:J, G:G,             A1102, H:H, B1102, L:L, L1102)</f>
        <v/>
      </c>
      <c r="F1102" t="inlineStr">
        <is>
          <t>44</t>
        </is>
      </c>
      <c r="G1102" t="inlineStr">
        <is>
          <t>向井 歴</t>
        </is>
      </c>
      <c r="H1102" t="inlineStr">
        <is>
          <t>YMHS001:ヤマハ サポート</t>
        </is>
      </c>
      <c r="I1102" s="1" t="n">
        <v>45953</v>
      </c>
      <c r="J1102" t="n">
        <v>3</v>
      </c>
      <c r="L1102">
        <f>IFERROR(LEFT(K1102,             FIND(",", K1102) - 1), "-")</f>
        <v/>
      </c>
      <c r="M1102">
        <f>IFERROR(MID(K1102,             FIND(",", K1102) + 1, LEN(K1102) - FIND(",", K1102)), K1102)</f>
        <v/>
      </c>
      <c r="N1102" t="n">
        <v>3</v>
      </c>
      <c r="P1102" t="inlineStr">
        <is>
          <t>09:00</t>
        </is>
      </c>
      <c r="Q1102" t="inlineStr">
        <is>
          <t>12:00</t>
        </is>
      </c>
    </row>
    <row r="1103">
      <c r="A1103" t="inlineStr">
        <is>
          <t>向井 歴</t>
        </is>
      </c>
      <c r="B1103" t="inlineStr">
        <is>
          <t>YMHS001:ヤマハ サポート</t>
        </is>
      </c>
      <c r="D1103">
        <f>L1103</f>
        <v/>
      </c>
      <c r="E1103">
        <f>SUMIFS(J:J, G:G,             A1103, H:H, B1103, L:L, L1103)</f>
        <v/>
      </c>
      <c r="F1103" t="inlineStr">
        <is>
          <t>44</t>
        </is>
      </c>
      <c r="G1103" t="inlineStr">
        <is>
          <t>向井 歴</t>
        </is>
      </c>
      <c r="H1103" t="inlineStr">
        <is>
          <t>YMHS001:ヤマハ サポート</t>
        </is>
      </c>
      <c r="I1103" s="1" t="n">
        <v>45953</v>
      </c>
      <c r="J1103" t="n">
        <v>5</v>
      </c>
      <c r="L1103">
        <f>IFERROR(LEFT(K1103,             FIND(",", K1103) - 1), "-")</f>
        <v/>
      </c>
      <c r="M1103">
        <f>IFERROR(MID(K1103,             FIND(",", K1103) + 1, LEN(K1103) - FIND(",", K1103)), K1103)</f>
        <v/>
      </c>
      <c r="N1103" t="n">
        <v>3</v>
      </c>
      <c r="P1103" t="inlineStr">
        <is>
          <t>13:00</t>
        </is>
      </c>
      <c r="Q1103" t="inlineStr">
        <is>
          <t>18:00</t>
        </is>
      </c>
    </row>
    <row r="1104">
      <c r="A1104" t="inlineStr">
        <is>
          <t>和田 清佳</t>
        </is>
      </c>
      <c r="B1104" t="inlineStr">
        <is>
          <t>SMMs001:島村楽器サポート</t>
        </is>
      </c>
      <c r="C1104">
        <f>SUMIFS(J:J, G:G,             A1104, H:H, B1104)</f>
        <v/>
      </c>
      <c r="D1104">
        <f>L1104</f>
        <v/>
      </c>
      <c r="E1104">
        <f>SUMIFS(J:J, G:G,             A1104, H:H, B1104, L:L, L1104)</f>
        <v/>
      </c>
      <c r="F1104" t="inlineStr">
        <is>
          <t>O-38</t>
        </is>
      </c>
      <c r="G1104" t="inlineStr">
        <is>
          <t>和田 清佳</t>
        </is>
      </c>
      <c r="H1104" t="inlineStr">
        <is>
          <t>SMMs001:島村楽器サポート</t>
        </is>
      </c>
      <c r="I1104" s="1" t="n">
        <v>45950</v>
      </c>
      <c r="J1104" t="n">
        <v>1.5</v>
      </c>
      <c r="K1104" t="inlineStr">
        <is>
          <t>DB更新,Index削除・OptimizeTableの実行</t>
        </is>
      </c>
      <c r="L1104">
        <f>IFERROR(LEFT(K1104,             FIND(",", K1104) - 1), "-")</f>
        <v/>
      </c>
      <c r="M1104">
        <f>IFERROR(MID(K1104,             FIND(",", K1104) + 1, LEN(K1104) - FIND(",", K1104)), K1104)</f>
        <v/>
      </c>
      <c r="N1104" t="n">
        <v>3</v>
      </c>
      <c r="P1104" t="inlineStr">
        <is>
          <t>09:00</t>
        </is>
      </c>
      <c r="Q1104" t="inlineStr">
        <is>
          <t>10:30</t>
        </is>
      </c>
    </row>
    <row r="1105">
      <c r="A1105" t="inlineStr">
        <is>
          <t>和田 清佳</t>
        </is>
      </c>
      <c r="B1105" t="inlineStr">
        <is>
          <t>SMMs001:島村楽器サポート</t>
        </is>
      </c>
      <c r="D1105">
        <f>L1105</f>
        <v/>
      </c>
      <c r="E1105">
        <f>SUMIFS(J:J, G:G,             A1105, H:H, B1105, L:L, L1105)</f>
        <v/>
      </c>
      <c r="F1105" t="inlineStr">
        <is>
          <t>O-38</t>
        </is>
      </c>
      <c r="G1105" t="inlineStr">
        <is>
          <t>和田 清佳</t>
        </is>
      </c>
      <c r="H1105" t="inlineStr">
        <is>
          <t>SMMs001:島村楽器サポート</t>
        </is>
      </c>
      <c r="I1105" s="1" t="n">
        <v>45952</v>
      </c>
      <c r="J1105" t="n">
        <v>1</v>
      </c>
      <c r="K1105" t="inlineStr">
        <is>
          <t>DB更新,Index削除・OptimizeTableの実行</t>
        </is>
      </c>
      <c r="L1105">
        <f>IFERROR(LEFT(K1105,             FIND(",", K1105) - 1), "-")</f>
        <v/>
      </c>
      <c r="M1105">
        <f>IFERROR(MID(K1105,             FIND(",", K1105) + 1, LEN(K1105) - FIND(",", K1105)), K1105)</f>
        <v/>
      </c>
      <c r="N1105" t="n">
        <v>3</v>
      </c>
      <c r="P1105" t="inlineStr">
        <is>
          <t>09:00</t>
        </is>
      </c>
      <c r="Q1105" t="inlineStr">
        <is>
          <t>10:00</t>
        </is>
      </c>
    </row>
    <row r="1106">
      <c r="A1106" t="inlineStr">
        <is>
          <t>和田 清佳</t>
        </is>
      </c>
      <c r="B1106" t="inlineStr">
        <is>
          <t>SMMs001:島村楽器サポート</t>
        </is>
      </c>
      <c r="D1106">
        <f>L1106</f>
        <v/>
      </c>
      <c r="E1106">
        <f>SUMIFS(J:J, G:G,             A1106, H:H, B1106, L:L, L1106)</f>
        <v/>
      </c>
      <c r="F1106" t="inlineStr">
        <is>
          <t>O-38</t>
        </is>
      </c>
      <c r="G1106" t="inlineStr">
        <is>
          <t>和田 清佳</t>
        </is>
      </c>
      <c r="H1106" t="inlineStr">
        <is>
          <t>SMMs001:島村楽器サポート</t>
        </is>
      </c>
      <c r="I1106" s="1" t="n">
        <v>45932</v>
      </c>
      <c r="J1106" t="n">
        <v>1</v>
      </c>
      <c r="K1106" t="inlineStr">
        <is>
          <t>UAT課題,PGM修正依頼</t>
        </is>
      </c>
      <c r="L1106">
        <f>IFERROR(LEFT(K1106,             FIND(",", K1106) - 1), "-")</f>
        <v/>
      </c>
      <c r="M1106">
        <f>IFERROR(MID(K1106,             FIND(",", K1106) + 1, LEN(K1106) - FIND(",", K1106)), K1106)</f>
        <v/>
      </c>
      <c r="N1106" t="n">
        <v>3</v>
      </c>
      <c r="P1106" t="inlineStr">
        <is>
          <t>11:00</t>
        </is>
      </c>
      <c r="Q1106" t="inlineStr">
        <is>
          <t>12:00</t>
        </is>
      </c>
    </row>
    <row r="1107">
      <c r="A1107" t="inlineStr">
        <is>
          <t>和田 清佳</t>
        </is>
      </c>
      <c r="B1107" t="inlineStr">
        <is>
          <t>SMMs001:島村楽器サポート</t>
        </is>
      </c>
      <c r="D1107">
        <f>L1107</f>
        <v/>
      </c>
      <c r="E1107">
        <f>SUMIFS(J:J, G:G,             A1107, H:H, B1107, L:L, L1107)</f>
        <v/>
      </c>
      <c r="F1107" t="inlineStr">
        <is>
          <t>O-38</t>
        </is>
      </c>
      <c r="G1107" t="inlineStr">
        <is>
          <t>和田 清佳</t>
        </is>
      </c>
      <c r="H1107" t="inlineStr">
        <is>
          <t>SMMs001:島村楽器サポート</t>
        </is>
      </c>
      <c r="I1107" s="1" t="n">
        <v>45953</v>
      </c>
      <c r="J1107" t="n">
        <v>2</v>
      </c>
      <c r="K1107" t="inlineStr">
        <is>
          <t>UAT課題,UAT653,設計書修正</t>
        </is>
      </c>
      <c r="L1107">
        <f>IFERROR(LEFT(K1107,             FIND(",", K1107) - 1), "-")</f>
        <v/>
      </c>
      <c r="M1107">
        <f>IFERROR(MID(K1107,             FIND(",", K1107) + 1, LEN(K1107) - FIND(",", K1107)), K1107)</f>
        <v/>
      </c>
      <c r="N1107" t="n">
        <v>3</v>
      </c>
      <c r="P1107" t="inlineStr">
        <is>
          <t>13:00</t>
        </is>
      </c>
      <c r="Q1107" t="inlineStr">
        <is>
          <t>15:00</t>
        </is>
      </c>
    </row>
    <row r="1108">
      <c r="A1108" t="inlineStr">
        <is>
          <t>和田 清佳</t>
        </is>
      </c>
      <c r="B1108" t="inlineStr">
        <is>
          <t>SMMs001:島村楽器サポート</t>
        </is>
      </c>
      <c r="D1108">
        <f>L1108</f>
        <v/>
      </c>
      <c r="E1108">
        <f>SUMIFS(J:J, G:G,             A1108, H:H, B1108, L:L, L1108)</f>
        <v/>
      </c>
      <c r="F1108" t="inlineStr">
        <is>
          <t>O-38</t>
        </is>
      </c>
      <c r="G1108" t="inlineStr">
        <is>
          <t>和田 清佳</t>
        </is>
      </c>
      <c r="H1108" t="inlineStr">
        <is>
          <t>SMMs001:島村楽器サポート</t>
        </is>
      </c>
      <c r="I1108" s="1" t="n">
        <v>45933</v>
      </c>
      <c r="J1108" t="n">
        <v>1</v>
      </c>
      <c r="K1108" t="inlineStr">
        <is>
          <t>UAT課題,UAT827,PGM修正確認</t>
        </is>
      </c>
      <c r="L1108">
        <f>IFERROR(LEFT(K1108,             FIND(",", K1108) - 1), "-")</f>
        <v/>
      </c>
      <c r="M1108">
        <f>IFERROR(MID(K1108,             FIND(",", K1108) + 1, LEN(K1108) - FIND(",", K1108)), K1108)</f>
        <v/>
      </c>
      <c r="N1108" t="n">
        <v>3</v>
      </c>
      <c r="P1108" t="inlineStr">
        <is>
          <t>13:30</t>
        </is>
      </c>
      <c r="Q1108" t="inlineStr">
        <is>
          <t>14:30</t>
        </is>
      </c>
    </row>
    <row r="1109">
      <c r="A1109" t="inlineStr">
        <is>
          <t>和田 清佳</t>
        </is>
      </c>
      <c r="B1109" t="inlineStr">
        <is>
          <t>SMMs001:島村楽器サポート</t>
        </is>
      </c>
      <c r="D1109">
        <f>L1109</f>
        <v/>
      </c>
      <c r="E1109">
        <f>SUMIFS(J:J, G:G,             A1109, H:H, B1109, L:L, L1109)</f>
        <v/>
      </c>
      <c r="F1109" t="inlineStr">
        <is>
          <t>O-38</t>
        </is>
      </c>
      <c r="G1109" t="inlineStr">
        <is>
          <t>和田 清佳</t>
        </is>
      </c>
      <c r="H1109" t="inlineStr">
        <is>
          <t>SMMs001:島村楽器サポート</t>
        </is>
      </c>
      <c r="I1109" s="1" t="n">
        <v>45933</v>
      </c>
      <c r="J1109" t="n">
        <v>1</v>
      </c>
      <c r="K1109" t="inlineStr">
        <is>
          <t>UAT課題,UAT842,PGM修正確認</t>
        </is>
      </c>
      <c r="L1109">
        <f>IFERROR(LEFT(K1109,             FIND(",", K1109) - 1), "-")</f>
        <v/>
      </c>
      <c r="M1109">
        <f>IFERROR(MID(K1109,             FIND(",", K1109) + 1, LEN(K1109) - FIND(",", K1109)), K1109)</f>
        <v/>
      </c>
      <c r="N1109" t="n">
        <v>3</v>
      </c>
      <c r="P1109" t="inlineStr">
        <is>
          <t>14:30</t>
        </is>
      </c>
      <c r="Q1109" t="inlineStr">
        <is>
          <t>15:30</t>
        </is>
      </c>
    </row>
    <row r="1110">
      <c r="A1110" t="inlineStr">
        <is>
          <t>和田 清佳</t>
        </is>
      </c>
      <c r="B1110" t="inlineStr">
        <is>
          <t>SMMs001:島村楽器サポート</t>
        </is>
      </c>
      <c r="D1110">
        <f>L1110</f>
        <v/>
      </c>
      <c r="E1110">
        <f>SUMIFS(J:J, G:G,             A1110, H:H, B1110, L:L, L1110)</f>
        <v/>
      </c>
      <c r="F1110" t="inlineStr">
        <is>
          <t>O-38</t>
        </is>
      </c>
      <c r="G1110" t="inlineStr">
        <is>
          <t>和田 清佳</t>
        </is>
      </c>
      <c r="H1110" t="inlineStr">
        <is>
          <t>SMMs001:島村楽器サポート</t>
        </is>
      </c>
      <c r="I1110" s="1" t="n">
        <v>45936</v>
      </c>
      <c r="J1110" t="n">
        <v>1</v>
      </c>
      <c r="K1110" t="inlineStr">
        <is>
          <t>UAT課題,UAT842,PGM修正確認</t>
        </is>
      </c>
      <c r="L1110">
        <f>IFERROR(LEFT(K1110,             FIND(",", K1110) - 1), "-")</f>
        <v/>
      </c>
      <c r="M1110">
        <f>IFERROR(MID(K1110,             FIND(",", K1110) + 1, LEN(K1110) - FIND(",", K1110)), K1110)</f>
        <v/>
      </c>
      <c r="N1110" t="n">
        <v>3</v>
      </c>
      <c r="P1110" t="inlineStr">
        <is>
          <t>10:00</t>
        </is>
      </c>
      <c r="Q1110" t="inlineStr">
        <is>
          <t>11:00</t>
        </is>
      </c>
    </row>
    <row r="1111">
      <c r="A1111" t="inlineStr">
        <is>
          <t>和田 清佳</t>
        </is>
      </c>
      <c r="B1111" t="inlineStr">
        <is>
          <t>SMMs001:島村楽器サポート</t>
        </is>
      </c>
      <c r="D1111">
        <f>L1111</f>
        <v/>
      </c>
      <c r="E1111">
        <f>SUMIFS(J:J, G:G,             A1111, H:H, B1111, L:L, L1111)</f>
        <v/>
      </c>
      <c r="F1111" t="inlineStr">
        <is>
          <t>O-38</t>
        </is>
      </c>
      <c r="G1111" t="inlineStr">
        <is>
          <t>和田 清佳</t>
        </is>
      </c>
      <c r="H1111" t="inlineStr">
        <is>
          <t>SMMs001:島村楽器サポート</t>
        </is>
      </c>
      <c r="I1111" s="1" t="n">
        <v>45938</v>
      </c>
      <c r="J1111" t="n">
        <v>1</v>
      </c>
      <c r="K1111" t="inlineStr">
        <is>
          <t>UAT課題,UAT843,PGM修正確認</t>
        </is>
      </c>
      <c r="L1111">
        <f>IFERROR(LEFT(K1111,             FIND(",", K1111) - 1), "-")</f>
        <v/>
      </c>
      <c r="M1111">
        <f>IFERROR(MID(K1111,             FIND(",", K1111) + 1, LEN(K1111) - FIND(",", K1111)), K1111)</f>
        <v/>
      </c>
      <c r="N1111" t="n">
        <v>3</v>
      </c>
      <c r="P1111" t="inlineStr">
        <is>
          <t>10:00</t>
        </is>
      </c>
      <c r="Q1111" t="inlineStr">
        <is>
          <t>11:00</t>
        </is>
      </c>
    </row>
    <row r="1112">
      <c r="A1112" t="inlineStr">
        <is>
          <t>和田 清佳</t>
        </is>
      </c>
      <c r="B1112" t="inlineStr">
        <is>
          <t>SMMs001:島村楽器サポート</t>
        </is>
      </c>
      <c r="D1112">
        <f>L1112</f>
        <v/>
      </c>
      <c r="E1112">
        <f>SUMIFS(J:J, G:G,             A1112, H:H, B1112, L:L, L1112)</f>
        <v/>
      </c>
      <c r="F1112" t="inlineStr">
        <is>
          <t>O-38</t>
        </is>
      </c>
      <c r="G1112" t="inlineStr">
        <is>
          <t>和田 清佳</t>
        </is>
      </c>
      <c r="H1112" t="inlineStr">
        <is>
          <t>SMMs001:島村楽器サポート</t>
        </is>
      </c>
      <c r="I1112" s="1" t="n">
        <v>45932</v>
      </c>
      <c r="J1112" t="n">
        <v>1</v>
      </c>
      <c r="K1112" t="inlineStr">
        <is>
          <t>UAT課題,UAT881,PGM修正確認</t>
        </is>
      </c>
      <c r="L1112">
        <f>IFERROR(LEFT(K1112,             FIND(",", K1112) - 1), "-")</f>
        <v/>
      </c>
      <c r="M1112">
        <f>IFERROR(MID(K1112,             FIND(",", K1112) + 1, LEN(K1112) - FIND(",", K1112)), K1112)</f>
        <v/>
      </c>
      <c r="N1112" t="n">
        <v>3</v>
      </c>
      <c r="P1112" t="inlineStr">
        <is>
          <t>13:00</t>
        </is>
      </c>
      <c r="Q1112" t="inlineStr">
        <is>
          <t>14:00</t>
        </is>
      </c>
    </row>
    <row r="1113">
      <c r="A1113" t="inlineStr">
        <is>
          <t>和田 清佳</t>
        </is>
      </c>
      <c r="B1113" t="inlineStr">
        <is>
          <t>SMMs001:島村楽器サポート</t>
        </is>
      </c>
      <c r="D1113">
        <f>L1113</f>
        <v/>
      </c>
      <c r="E1113">
        <f>SUMIFS(J:J, G:G,             A1113, H:H, B1113, L:L, L1113)</f>
        <v/>
      </c>
      <c r="F1113" t="inlineStr">
        <is>
          <t>O-38</t>
        </is>
      </c>
      <c r="G1113" t="inlineStr">
        <is>
          <t>和田 清佳</t>
        </is>
      </c>
      <c r="H1113" t="inlineStr">
        <is>
          <t>SMMs001:島村楽器サポート</t>
        </is>
      </c>
      <c r="I1113" s="1" t="n">
        <v>45938</v>
      </c>
      <c r="J1113" t="n">
        <v>1</v>
      </c>
      <c r="K1113" t="inlineStr">
        <is>
          <t>UAT課題,UAT881,PGM修正確認</t>
        </is>
      </c>
      <c r="L1113">
        <f>IFERROR(LEFT(K1113,             FIND(",", K1113) - 1), "-")</f>
        <v/>
      </c>
      <c r="M1113">
        <f>IFERROR(MID(K1113,             FIND(",", K1113) + 1, LEN(K1113) - FIND(",", K1113)), K1113)</f>
        <v/>
      </c>
      <c r="N1113" t="n">
        <v>3</v>
      </c>
      <c r="P1113" t="inlineStr">
        <is>
          <t>11:00</t>
        </is>
      </c>
      <c r="Q1113" t="inlineStr">
        <is>
          <t>12:00</t>
        </is>
      </c>
    </row>
    <row r="1114">
      <c r="A1114" t="inlineStr">
        <is>
          <t>和田 清佳</t>
        </is>
      </c>
      <c r="B1114" t="inlineStr">
        <is>
          <t>SMMs001:島村楽器サポート</t>
        </is>
      </c>
      <c r="D1114">
        <f>L1114</f>
        <v/>
      </c>
      <c r="E1114">
        <f>SUMIFS(J:J, G:G,             A1114, H:H, B1114, L:L, L1114)</f>
        <v/>
      </c>
      <c r="F1114" t="inlineStr">
        <is>
          <t>O-38</t>
        </is>
      </c>
      <c r="G1114" t="inlineStr">
        <is>
          <t>和田 清佳</t>
        </is>
      </c>
      <c r="H1114" t="inlineStr">
        <is>
          <t>SMMs001:島村楽器サポート</t>
        </is>
      </c>
      <c r="I1114" s="1" t="n">
        <v>45939</v>
      </c>
      <c r="J1114" t="n">
        <v>1</v>
      </c>
      <c r="K1114" t="inlineStr">
        <is>
          <t>UAT課題,UAT881,PGM修正確認</t>
        </is>
      </c>
      <c r="L1114">
        <f>IFERROR(LEFT(K1114,             FIND(",", K1114) - 1), "-")</f>
        <v/>
      </c>
      <c r="M1114">
        <f>IFERROR(MID(K1114,             FIND(",", K1114) + 1, LEN(K1114) - FIND(",", K1114)), K1114)</f>
        <v/>
      </c>
      <c r="N1114" t="n">
        <v>3</v>
      </c>
      <c r="P1114" t="inlineStr">
        <is>
          <t>13:00</t>
        </is>
      </c>
      <c r="Q1114" t="inlineStr">
        <is>
          <t>14:00</t>
        </is>
      </c>
    </row>
    <row r="1115">
      <c r="A1115" t="inlineStr">
        <is>
          <t>和田 清佳</t>
        </is>
      </c>
      <c r="B1115" t="inlineStr">
        <is>
          <t>SMMs001:島村楽器サポート</t>
        </is>
      </c>
      <c r="D1115">
        <f>L1115</f>
        <v/>
      </c>
      <c r="E1115">
        <f>SUMIFS(J:J, G:G,             A1115, H:H, B1115, L:L, L1115)</f>
        <v/>
      </c>
      <c r="F1115" t="inlineStr">
        <is>
          <t>O-38</t>
        </is>
      </c>
      <c r="G1115" t="inlineStr">
        <is>
          <t>和田 清佳</t>
        </is>
      </c>
      <c r="H1115" t="inlineStr">
        <is>
          <t>SMMs001:島村楽器サポート</t>
        </is>
      </c>
      <c r="I1115" s="1" t="n">
        <v>45946</v>
      </c>
      <c r="J1115" t="n">
        <v>1</v>
      </c>
      <c r="K1115" t="inlineStr">
        <is>
          <t>UAT課題,UAT884,PGM修正依頼</t>
        </is>
      </c>
      <c r="L1115">
        <f>IFERROR(LEFT(K1115,             FIND(",", K1115) - 1), "-")</f>
        <v/>
      </c>
      <c r="M1115">
        <f>IFERROR(MID(K1115,             FIND(",", K1115) + 1, LEN(K1115) - FIND(",", K1115)), K1115)</f>
        <v/>
      </c>
      <c r="N1115" t="n">
        <v>3</v>
      </c>
      <c r="P1115" t="inlineStr">
        <is>
          <t>10:30</t>
        </is>
      </c>
      <c r="Q1115" t="inlineStr">
        <is>
          <t>11:30</t>
        </is>
      </c>
    </row>
    <row r="1116">
      <c r="A1116" t="inlineStr">
        <is>
          <t>和田 清佳</t>
        </is>
      </c>
      <c r="B1116" t="inlineStr">
        <is>
          <t>SMMs001:島村楽器サポート</t>
        </is>
      </c>
      <c r="D1116">
        <f>L1116</f>
        <v/>
      </c>
      <c r="E1116">
        <f>SUMIFS(J:J, G:G,             A1116, H:H, B1116, L:L, L1116)</f>
        <v/>
      </c>
      <c r="F1116" t="inlineStr">
        <is>
          <t>O-38</t>
        </is>
      </c>
      <c r="G1116" t="inlineStr">
        <is>
          <t>和田 清佳</t>
        </is>
      </c>
      <c r="H1116" t="inlineStr">
        <is>
          <t>SMMs001:島村楽器サポート</t>
        </is>
      </c>
      <c r="I1116" s="1" t="n">
        <v>45947</v>
      </c>
      <c r="J1116" t="n">
        <v>1</v>
      </c>
      <c r="K1116" t="inlineStr">
        <is>
          <t>UAT課題,UAT884,PGM修正依頼</t>
        </is>
      </c>
      <c r="L1116">
        <f>IFERROR(LEFT(K1116,             FIND(",", K1116) - 1), "-")</f>
        <v/>
      </c>
      <c r="M1116">
        <f>IFERROR(MID(K1116,             FIND(",", K1116) + 1, LEN(K1116) - FIND(",", K1116)), K1116)</f>
        <v/>
      </c>
      <c r="N1116" t="n">
        <v>3</v>
      </c>
      <c r="P1116" t="inlineStr">
        <is>
          <t>11:00</t>
        </is>
      </c>
      <c r="Q1116" t="inlineStr">
        <is>
          <t>12:00</t>
        </is>
      </c>
    </row>
    <row r="1117">
      <c r="A1117" t="inlineStr">
        <is>
          <t>和田 清佳</t>
        </is>
      </c>
      <c r="B1117" t="inlineStr">
        <is>
          <t>SMMs001:島村楽器サポート</t>
        </is>
      </c>
      <c r="D1117">
        <f>L1117</f>
        <v/>
      </c>
      <c r="E1117">
        <f>SUMIFS(J:J, G:G,             A1117, H:H, B1117, L:L, L1117)</f>
        <v/>
      </c>
      <c r="F1117" t="inlineStr">
        <is>
          <t>O-38</t>
        </is>
      </c>
      <c r="G1117" t="inlineStr">
        <is>
          <t>和田 清佳</t>
        </is>
      </c>
      <c r="H1117" t="inlineStr">
        <is>
          <t>SMMs001:島村楽器サポート</t>
        </is>
      </c>
      <c r="I1117" s="1" t="n">
        <v>45932</v>
      </c>
      <c r="J1117" t="n">
        <v>0.5</v>
      </c>
      <c r="K1117" t="inlineStr">
        <is>
          <t>UAT課題,UAT884,回答対応</t>
        </is>
      </c>
      <c r="L1117">
        <f>IFERROR(LEFT(K1117,             FIND(",", K1117) - 1), "-")</f>
        <v/>
      </c>
      <c r="M1117">
        <f>IFERROR(MID(K1117,             FIND(",", K1117) + 1, LEN(K1117) - FIND(",", K1117)), K1117)</f>
        <v/>
      </c>
      <c r="N1117" t="n">
        <v>3</v>
      </c>
      <c r="P1117" t="inlineStr">
        <is>
          <t>10:30</t>
        </is>
      </c>
      <c r="Q1117" t="inlineStr">
        <is>
          <t>11:00</t>
        </is>
      </c>
    </row>
    <row r="1118">
      <c r="A1118" t="inlineStr">
        <is>
          <t>和田 清佳</t>
        </is>
      </c>
      <c r="B1118" t="inlineStr">
        <is>
          <t>SMMs001:島村楽器サポート</t>
        </is>
      </c>
      <c r="D1118">
        <f>L1118</f>
        <v/>
      </c>
      <c r="E1118">
        <f>SUMIFS(J:J, G:G,             A1118, H:H, B1118, L:L, L1118)</f>
        <v/>
      </c>
      <c r="F1118" t="inlineStr">
        <is>
          <t>O-38</t>
        </is>
      </c>
      <c r="G1118" t="inlineStr">
        <is>
          <t>和田 清佳</t>
        </is>
      </c>
      <c r="H1118" t="inlineStr">
        <is>
          <t>SMMs001:島村楽器サポート</t>
        </is>
      </c>
      <c r="I1118" s="1" t="n">
        <v>45945</v>
      </c>
      <c r="J1118" t="n">
        <v>0.5</v>
      </c>
      <c r="K1118" t="inlineStr">
        <is>
          <t>UAT課題,UAT884,工数見積</t>
        </is>
      </c>
      <c r="L1118">
        <f>IFERROR(LEFT(K1118,             FIND(",", K1118) - 1), "-")</f>
        <v/>
      </c>
      <c r="M1118">
        <f>IFERROR(MID(K1118,             FIND(",", K1118) + 1, LEN(K1118) - FIND(",", K1118)), K1118)</f>
        <v/>
      </c>
      <c r="N1118" t="n">
        <v>3</v>
      </c>
      <c r="P1118" t="inlineStr">
        <is>
          <t>10:00</t>
        </is>
      </c>
      <c r="Q1118" t="inlineStr">
        <is>
          <t>10:30</t>
        </is>
      </c>
    </row>
    <row r="1119">
      <c r="A1119" t="inlineStr">
        <is>
          <t>和田 清佳</t>
        </is>
      </c>
      <c r="B1119" t="inlineStr">
        <is>
          <t>SMMs001:島村楽器サポート</t>
        </is>
      </c>
      <c r="D1119">
        <f>L1119</f>
        <v/>
      </c>
      <c r="E1119">
        <f>SUMIFS(J:J, G:G,             A1119, H:H, B1119, L:L, L1119)</f>
        <v/>
      </c>
      <c r="F1119" t="inlineStr">
        <is>
          <t>O-38</t>
        </is>
      </c>
      <c r="G1119" t="inlineStr">
        <is>
          <t>和田 清佳</t>
        </is>
      </c>
      <c r="H1119" t="inlineStr">
        <is>
          <t>SMMs001:島村楽器サポート</t>
        </is>
      </c>
      <c r="I1119" s="1" t="n">
        <v>45939</v>
      </c>
      <c r="J1119" t="n">
        <v>1</v>
      </c>
      <c r="K1119" t="inlineStr">
        <is>
          <t>UAT課題,UAT885,スクリプト停止,作業日調整</t>
        </is>
      </c>
      <c r="L1119">
        <f>IFERROR(LEFT(K1119,             FIND(",", K1119) - 1), "-")</f>
        <v/>
      </c>
      <c r="M1119">
        <f>IFERROR(MID(K1119,             FIND(",", K1119) + 1, LEN(K1119) - FIND(",", K1119)), K1119)</f>
        <v/>
      </c>
      <c r="N1119" t="n">
        <v>3</v>
      </c>
      <c r="P1119" t="inlineStr">
        <is>
          <t>10:30</t>
        </is>
      </c>
      <c r="Q1119" t="inlineStr">
        <is>
          <t>11:30</t>
        </is>
      </c>
    </row>
    <row r="1120">
      <c r="A1120" t="inlineStr">
        <is>
          <t>和田 清佳</t>
        </is>
      </c>
      <c r="B1120" t="inlineStr">
        <is>
          <t>SMMs001:島村楽器サポート</t>
        </is>
      </c>
      <c r="D1120">
        <f>L1120</f>
        <v/>
      </c>
      <c r="E1120">
        <f>SUMIFS(J:J, G:G,             A1120, H:H, B1120, L:L, L1120)</f>
        <v/>
      </c>
      <c r="F1120" t="inlineStr">
        <is>
          <t>O-38</t>
        </is>
      </c>
      <c r="G1120" t="inlineStr">
        <is>
          <t>和田 清佳</t>
        </is>
      </c>
      <c r="H1120" t="inlineStr">
        <is>
          <t>SMMs001:島村楽器サポート</t>
        </is>
      </c>
      <c r="I1120" s="1" t="n">
        <v>45950</v>
      </c>
      <c r="J1120" t="n">
        <v>1.5</v>
      </c>
      <c r="K1120" t="inlineStr">
        <is>
          <t>UAT課題,UAT886,再現調査</t>
        </is>
      </c>
      <c r="L1120">
        <f>IFERROR(LEFT(K1120,             FIND(",", K1120) - 1), "-")</f>
        <v/>
      </c>
      <c r="M1120">
        <f>IFERROR(MID(K1120,             FIND(",", K1120) + 1, LEN(K1120) - FIND(",", K1120)), K1120)</f>
        <v/>
      </c>
      <c r="N1120" t="n">
        <v>3</v>
      </c>
      <c r="P1120" t="inlineStr">
        <is>
          <t>10:30</t>
        </is>
      </c>
      <c r="Q1120" t="inlineStr">
        <is>
          <t>12:00</t>
        </is>
      </c>
    </row>
    <row r="1121">
      <c r="A1121" t="inlineStr">
        <is>
          <t>和田 清佳</t>
        </is>
      </c>
      <c r="B1121" t="inlineStr">
        <is>
          <t>SMMs001:島村楽器サポート</t>
        </is>
      </c>
      <c r="D1121">
        <f>L1121</f>
        <v/>
      </c>
      <c r="E1121">
        <f>SUMIFS(J:J, G:G,             A1121, H:H, B1121, L:L, L1121)</f>
        <v/>
      </c>
      <c r="F1121" t="inlineStr">
        <is>
          <t>O-38</t>
        </is>
      </c>
      <c r="G1121" t="inlineStr">
        <is>
          <t>和田 清佳</t>
        </is>
      </c>
      <c r="H1121" t="inlineStr">
        <is>
          <t>SMMs001:島村楽器サポート</t>
        </is>
      </c>
      <c r="I1121" s="1" t="n">
        <v>45952</v>
      </c>
      <c r="J1121" t="n">
        <v>1.5</v>
      </c>
      <c r="K1121" t="inlineStr">
        <is>
          <t>UAT課題,UAT886,調査依頼</t>
        </is>
      </c>
      <c r="L1121">
        <f>IFERROR(LEFT(K1121,             FIND(",", K1121) - 1), "-")</f>
        <v/>
      </c>
      <c r="M1121">
        <f>IFERROR(MID(K1121,             FIND(",", K1121) + 1, LEN(K1121) - FIND(",", K1121)), K1121)</f>
        <v/>
      </c>
      <c r="N1121" t="n">
        <v>3</v>
      </c>
      <c r="P1121" t="inlineStr">
        <is>
          <t>10:00</t>
        </is>
      </c>
      <c r="Q1121" t="inlineStr">
        <is>
          <t>11:30</t>
        </is>
      </c>
    </row>
    <row r="1122">
      <c r="A1122" t="inlineStr">
        <is>
          <t>和田 清佳</t>
        </is>
      </c>
      <c r="B1122" t="inlineStr">
        <is>
          <t>SMMs001:島村楽器サポート</t>
        </is>
      </c>
      <c r="D1122">
        <f>L1122</f>
        <v/>
      </c>
      <c r="E1122">
        <f>SUMIFS(J:J, G:G,             A1122, H:H, B1122, L:L, L1122)</f>
        <v/>
      </c>
      <c r="F1122" t="inlineStr">
        <is>
          <t>O-38</t>
        </is>
      </c>
      <c r="G1122" t="inlineStr">
        <is>
          <t>和田 清佳</t>
        </is>
      </c>
      <c r="H1122" t="inlineStr">
        <is>
          <t>SMMs001:島村楽器サポート</t>
        </is>
      </c>
      <c r="I1122" s="1" t="n">
        <v>45953</v>
      </c>
      <c r="J1122" t="n">
        <v>1</v>
      </c>
      <c r="K1122" t="inlineStr">
        <is>
          <t>UAT課題,回答対応</t>
        </is>
      </c>
      <c r="L1122">
        <f>IFERROR(LEFT(K1122,             FIND(",", K1122) - 1), "-")</f>
        <v/>
      </c>
      <c r="M1122">
        <f>IFERROR(MID(K1122,             FIND(",", K1122) + 1, LEN(K1122) - FIND(",", K1122)), K1122)</f>
        <v/>
      </c>
      <c r="N1122" t="n">
        <v>3</v>
      </c>
      <c r="P1122" t="inlineStr">
        <is>
          <t>11:00</t>
        </is>
      </c>
      <c r="Q1122" t="inlineStr">
        <is>
          <t>12:00</t>
        </is>
      </c>
    </row>
    <row r="1123">
      <c r="A1123" t="inlineStr">
        <is>
          <t>和田 清佳</t>
        </is>
      </c>
      <c r="B1123" t="inlineStr">
        <is>
          <t>SMMs001:島村楽器サポート</t>
        </is>
      </c>
      <c r="D1123">
        <f>L1123</f>
        <v/>
      </c>
      <c r="E1123">
        <f>SUMIFS(J:J, G:G,             A1123, H:H, B1123, L:L, L1123)</f>
        <v/>
      </c>
      <c r="F1123" t="inlineStr">
        <is>
          <t>O-38</t>
        </is>
      </c>
      <c r="G1123" t="inlineStr">
        <is>
          <t>和田 清佳</t>
        </is>
      </c>
      <c r="H1123" t="inlineStr">
        <is>
          <t>SMMs001:島村楽器サポート</t>
        </is>
      </c>
      <c r="I1123" s="1" t="n">
        <v>45940</v>
      </c>
      <c r="J1123" t="n">
        <v>1</v>
      </c>
      <c r="K1123" t="inlineStr">
        <is>
          <t>リリース関連,shima28s,リリース資料準備</t>
        </is>
      </c>
      <c r="L1123">
        <f>IFERROR(LEFT(K1123,             FIND(",", K1123) - 1), "-")</f>
        <v/>
      </c>
      <c r="M1123">
        <f>IFERROR(MID(K1123,             FIND(",", K1123) + 1, LEN(K1123) - FIND(",", K1123)), K1123)</f>
        <v/>
      </c>
      <c r="N1123" t="n">
        <v>3</v>
      </c>
      <c r="P1123" t="inlineStr">
        <is>
          <t>13:30</t>
        </is>
      </c>
      <c r="Q1123" t="inlineStr">
        <is>
          <t>14:30</t>
        </is>
      </c>
    </row>
    <row r="1124">
      <c r="A1124" t="inlineStr">
        <is>
          <t>和田 清佳</t>
        </is>
      </c>
      <c r="B1124" t="inlineStr">
        <is>
          <t>SMMs001:島村楽器サポート</t>
        </is>
      </c>
      <c r="D1124">
        <f>L1124</f>
        <v/>
      </c>
      <c r="E1124">
        <f>SUMIFS(J:J, G:G,             A1124, H:H, B1124, L:L, L1124)</f>
        <v/>
      </c>
      <c r="F1124" t="inlineStr">
        <is>
          <t>O-38</t>
        </is>
      </c>
      <c r="G1124" t="inlineStr">
        <is>
          <t>和田 清佳</t>
        </is>
      </c>
      <c r="H1124" t="inlineStr">
        <is>
          <t>SMMs001:島村楽器サポート</t>
        </is>
      </c>
      <c r="I1124" s="1" t="n">
        <v>45936</v>
      </c>
      <c r="J1124" t="n">
        <v>2.5</v>
      </c>
      <c r="K1124" t="inlineStr">
        <is>
          <t>景山問合せ,ファイル容量圧迫について</t>
        </is>
      </c>
      <c r="L1124">
        <f>IFERROR(LEFT(K1124,             FIND(",", K1124) - 1), "-")</f>
        <v/>
      </c>
      <c r="M1124">
        <f>IFERROR(MID(K1124,             FIND(",", K1124) + 1, LEN(K1124) - FIND(",", K1124)), K1124)</f>
        <v/>
      </c>
      <c r="N1124" t="n">
        <v>3</v>
      </c>
      <c r="P1124" t="inlineStr">
        <is>
          <t>13:00</t>
        </is>
      </c>
      <c r="Q1124" t="inlineStr">
        <is>
          <t>15:30</t>
        </is>
      </c>
    </row>
    <row r="1125">
      <c r="A1125" t="inlineStr">
        <is>
          <t>和田 清佳</t>
        </is>
      </c>
      <c r="B1125" t="inlineStr">
        <is>
          <t>SMMs001:島村楽器サポート</t>
        </is>
      </c>
      <c r="D1125">
        <f>L1125</f>
        <v/>
      </c>
      <c r="E1125">
        <f>SUMIFS(J:J, G:G,             A1125, H:H, B1125, L:L, L1125)</f>
        <v/>
      </c>
      <c r="F1125" t="inlineStr">
        <is>
          <t>O-38</t>
        </is>
      </c>
      <c r="G1125" t="inlineStr">
        <is>
          <t>和田 清佳</t>
        </is>
      </c>
      <c r="H1125" t="inlineStr">
        <is>
          <t>SMMs001:島村楽器サポート</t>
        </is>
      </c>
      <c r="I1125" s="1" t="n">
        <v>45931</v>
      </c>
      <c r="J1125" t="n">
        <v>0.5</v>
      </c>
      <c r="K1125" t="inlineStr">
        <is>
          <t>景山問合せ,作業状況報告</t>
        </is>
      </c>
      <c r="L1125">
        <f>IFERROR(LEFT(K1125,             FIND(",", K1125) - 1), "-")</f>
        <v/>
      </c>
      <c r="M1125">
        <f>IFERROR(MID(K1125,             FIND(",", K1125) + 1, LEN(K1125) - FIND(",", K1125)), K1125)</f>
        <v/>
      </c>
      <c r="N1125" t="n">
        <v>3</v>
      </c>
      <c r="P1125" t="inlineStr">
        <is>
          <t>14:30</t>
        </is>
      </c>
      <c r="Q1125" t="inlineStr">
        <is>
          <t>15:00</t>
        </is>
      </c>
    </row>
    <row r="1126">
      <c r="A1126" t="inlineStr">
        <is>
          <t>和田 清佳</t>
        </is>
      </c>
      <c r="B1126" t="inlineStr">
        <is>
          <t>SMMs001:島村楽器サポート</t>
        </is>
      </c>
      <c r="D1126">
        <f>L1126</f>
        <v/>
      </c>
      <c r="E1126">
        <f>SUMIFS(J:J, G:G,             A1126, H:H, B1126, L:L, L1126)</f>
        <v/>
      </c>
      <c r="F1126" t="inlineStr">
        <is>
          <t>O-38</t>
        </is>
      </c>
      <c r="G1126" t="inlineStr">
        <is>
          <t>和田 清佳</t>
        </is>
      </c>
      <c r="H1126" t="inlineStr">
        <is>
          <t>SMMs001:島村楽器サポート</t>
        </is>
      </c>
      <c r="I1126" s="1" t="n">
        <v>45932</v>
      </c>
      <c r="J1126" t="n">
        <v>0.5</v>
      </c>
      <c r="K1126" t="inlineStr">
        <is>
          <t>景山問合せ,作業状況報告</t>
        </is>
      </c>
      <c r="L1126">
        <f>IFERROR(LEFT(K1126,             FIND(",", K1126) - 1), "-")</f>
        <v/>
      </c>
      <c r="M1126">
        <f>IFERROR(MID(K1126,             FIND(",", K1126) + 1, LEN(K1126) - FIND(",", K1126)), K1126)</f>
        <v/>
      </c>
      <c r="N1126" t="n">
        <v>3</v>
      </c>
      <c r="P1126" t="inlineStr">
        <is>
          <t>10:00</t>
        </is>
      </c>
      <c r="Q1126" t="inlineStr">
        <is>
          <t>10:30</t>
        </is>
      </c>
    </row>
    <row r="1127">
      <c r="A1127" t="inlineStr">
        <is>
          <t>和田 清佳</t>
        </is>
      </c>
      <c r="B1127" t="inlineStr">
        <is>
          <t>SMMs001:島村楽器サポート</t>
        </is>
      </c>
      <c r="D1127">
        <f>L1127</f>
        <v/>
      </c>
      <c r="E1127">
        <f>SUMIFS(J:J, G:G,             A1127, H:H, B1127, L:L, L1127)</f>
        <v/>
      </c>
      <c r="F1127" t="inlineStr">
        <is>
          <t>O-38</t>
        </is>
      </c>
      <c r="G1127" t="inlineStr">
        <is>
          <t>和田 清佳</t>
        </is>
      </c>
      <c r="H1127" t="inlineStr">
        <is>
          <t>SMMs001:島村楽器サポート</t>
        </is>
      </c>
      <c r="I1127" s="1" t="n">
        <v>45938</v>
      </c>
      <c r="J1127" t="n">
        <v>0.5</v>
      </c>
      <c r="K1127" t="inlineStr">
        <is>
          <t>景山問合せ,作業状況報告</t>
        </is>
      </c>
      <c r="L1127">
        <f>IFERROR(LEFT(K1127,             FIND(",", K1127) - 1), "-")</f>
        <v/>
      </c>
      <c r="M1127">
        <f>IFERROR(MID(K1127,             FIND(",", K1127) + 1, LEN(K1127) - FIND(",", K1127)), K1127)</f>
        <v/>
      </c>
      <c r="N1127" t="n">
        <v>3</v>
      </c>
      <c r="P1127" t="inlineStr">
        <is>
          <t>14:30</t>
        </is>
      </c>
      <c r="Q1127" t="inlineStr">
        <is>
          <t>15:00</t>
        </is>
      </c>
    </row>
    <row r="1128">
      <c r="A1128" t="inlineStr">
        <is>
          <t>和田 清佳</t>
        </is>
      </c>
      <c r="B1128" t="inlineStr">
        <is>
          <t>SMMs001:島村楽器サポート</t>
        </is>
      </c>
      <c r="D1128">
        <f>L1128</f>
        <v/>
      </c>
      <c r="E1128">
        <f>SUMIFS(J:J, G:G,             A1128, H:H, B1128, L:L, L1128)</f>
        <v/>
      </c>
      <c r="F1128" t="inlineStr">
        <is>
          <t>O-38</t>
        </is>
      </c>
      <c r="G1128" t="inlineStr">
        <is>
          <t>和田 清佳</t>
        </is>
      </c>
      <c r="H1128" t="inlineStr">
        <is>
          <t>SMMs001:島村楽器サポート</t>
        </is>
      </c>
      <c r="I1128" s="1" t="n">
        <v>45939</v>
      </c>
      <c r="J1128" t="n">
        <v>0.5</v>
      </c>
      <c r="K1128" t="inlineStr">
        <is>
          <t>景山問合せ,作業状況報告</t>
        </is>
      </c>
      <c r="L1128">
        <f>IFERROR(LEFT(K1128,             FIND(",", K1128) - 1), "-")</f>
        <v/>
      </c>
      <c r="M1128">
        <f>IFERROR(MID(K1128,             FIND(",", K1128) + 1, LEN(K1128) - FIND(",", K1128)), K1128)</f>
        <v/>
      </c>
      <c r="N1128" t="n">
        <v>3</v>
      </c>
      <c r="P1128" t="inlineStr">
        <is>
          <t>10:00</t>
        </is>
      </c>
      <c r="Q1128" t="inlineStr">
        <is>
          <t>10:30</t>
        </is>
      </c>
    </row>
    <row r="1129">
      <c r="A1129" t="inlineStr">
        <is>
          <t>和田 清佳</t>
        </is>
      </c>
      <c r="B1129" t="inlineStr">
        <is>
          <t>SMMs001:島村楽器サポート</t>
        </is>
      </c>
      <c r="D1129">
        <f>L1129</f>
        <v/>
      </c>
      <c r="E1129">
        <f>SUMIFS(J:J, G:G,             A1129, H:H, B1129, L:L, L1129)</f>
        <v/>
      </c>
      <c r="F1129" t="inlineStr">
        <is>
          <t>O-38</t>
        </is>
      </c>
      <c r="G1129" t="inlineStr">
        <is>
          <t>和田 清佳</t>
        </is>
      </c>
      <c r="H1129" t="inlineStr">
        <is>
          <t>SMMs001:島村楽器サポート</t>
        </is>
      </c>
      <c r="I1129" s="1" t="n">
        <v>45945</v>
      </c>
      <c r="J1129" t="n">
        <v>0.5</v>
      </c>
      <c r="K1129" t="inlineStr">
        <is>
          <t>景山問合せ,作業状況報告</t>
        </is>
      </c>
      <c r="L1129">
        <f>IFERROR(LEFT(K1129,             FIND(",", K1129) - 1), "-")</f>
        <v/>
      </c>
      <c r="M1129">
        <f>IFERROR(MID(K1129,             FIND(",", K1129) + 1, LEN(K1129) - FIND(",", K1129)), K1129)</f>
        <v/>
      </c>
      <c r="N1129" t="n">
        <v>3</v>
      </c>
      <c r="P1129" t="inlineStr">
        <is>
          <t>14:30</t>
        </is>
      </c>
      <c r="Q1129" t="inlineStr">
        <is>
          <t>15:00</t>
        </is>
      </c>
    </row>
    <row r="1130">
      <c r="A1130" t="inlineStr">
        <is>
          <t>和田 清佳</t>
        </is>
      </c>
      <c r="B1130" t="inlineStr">
        <is>
          <t>SMMs001:島村楽器サポート</t>
        </is>
      </c>
      <c r="D1130">
        <f>L1130</f>
        <v/>
      </c>
      <c r="E1130">
        <f>SUMIFS(J:J, G:G,             A1130, H:H, B1130, L:L, L1130)</f>
        <v/>
      </c>
      <c r="F1130" t="inlineStr">
        <is>
          <t>O-38</t>
        </is>
      </c>
      <c r="G1130" t="inlineStr">
        <is>
          <t>和田 清佳</t>
        </is>
      </c>
      <c r="H1130" t="inlineStr">
        <is>
          <t>SMMs001:島村楽器サポート</t>
        </is>
      </c>
      <c r="I1130" s="1" t="n">
        <v>45946</v>
      </c>
      <c r="J1130" t="n">
        <v>0.5</v>
      </c>
      <c r="K1130" t="inlineStr">
        <is>
          <t>景山問合せ,作業状況報告</t>
        </is>
      </c>
      <c r="L1130">
        <f>IFERROR(LEFT(K1130,             FIND(",", K1130) - 1), "-")</f>
        <v/>
      </c>
      <c r="M1130">
        <f>IFERROR(MID(K1130,             FIND(",", K1130) + 1, LEN(K1130) - FIND(",", K1130)), K1130)</f>
        <v/>
      </c>
      <c r="N1130" t="n">
        <v>3</v>
      </c>
      <c r="P1130" t="inlineStr">
        <is>
          <t>10:00</t>
        </is>
      </c>
      <c r="Q1130" t="inlineStr">
        <is>
          <t>10:30</t>
        </is>
      </c>
    </row>
    <row r="1131">
      <c r="A1131" t="inlineStr">
        <is>
          <t>和田 清佳</t>
        </is>
      </c>
      <c r="B1131" t="inlineStr">
        <is>
          <t>SMMs001:島村楽器サポート</t>
        </is>
      </c>
      <c r="D1131">
        <f>L1131</f>
        <v/>
      </c>
      <c r="E1131">
        <f>SUMIFS(J:J, G:G,             A1131, H:H, B1131, L:L, L1131)</f>
        <v/>
      </c>
      <c r="F1131" t="inlineStr">
        <is>
          <t>O-38</t>
        </is>
      </c>
      <c r="G1131" t="inlineStr">
        <is>
          <t>和田 清佳</t>
        </is>
      </c>
      <c r="H1131" t="inlineStr">
        <is>
          <t>SMMs001:島村楽器サポート</t>
        </is>
      </c>
      <c r="I1131" s="1" t="n">
        <v>45952</v>
      </c>
      <c r="J1131" t="n">
        <v>0.5</v>
      </c>
      <c r="K1131" t="inlineStr">
        <is>
          <t>景山問合せ,作業状況報告</t>
        </is>
      </c>
      <c r="L1131">
        <f>IFERROR(LEFT(K1131,             FIND(",", K1131) - 1), "-")</f>
        <v/>
      </c>
      <c r="M1131">
        <f>IFERROR(MID(K1131,             FIND(",", K1131) + 1, LEN(K1131) - FIND(",", K1131)), K1131)</f>
        <v/>
      </c>
      <c r="N1131" t="n">
        <v>3</v>
      </c>
      <c r="P1131" t="inlineStr">
        <is>
          <t>13:00</t>
        </is>
      </c>
      <c r="Q1131" t="inlineStr">
        <is>
          <t>13:30</t>
        </is>
      </c>
    </row>
    <row r="1132">
      <c r="A1132" t="inlineStr">
        <is>
          <t>和田 清佳</t>
        </is>
      </c>
      <c r="B1132" t="inlineStr">
        <is>
          <t>SMMs001:島村楽器サポート</t>
        </is>
      </c>
      <c r="D1132">
        <f>L1132</f>
        <v/>
      </c>
      <c r="E1132">
        <f>SUMIFS(J:J, G:G,             A1132, H:H, B1132, L:L, L1132)</f>
        <v/>
      </c>
      <c r="F1132" t="inlineStr">
        <is>
          <t>O-38</t>
        </is>
      </c>
      <c r="G1132" t="inlineStr">
        <is>
          <t>和田 清佳</t>
        </is>
      </c>
      <c r="H1132" t="inlineStr">
        <is>
          <t>SMMs001:島村楽器サポート</t>
        </is>
      </c>
      <c r="I1132" s="1" t="n">
        <v>45953</v>
      </c>
      <c r="J1132" t="n">
        <v>1</v>
      </c>
      <c r="K1132" t="inlineStr">
        <is>
          <t>景山問合せ,作業状況報告</t>
        </is>
      </c>
      <c r="L1132">
        <f>IFERROR(LEFT(K1132,             FIND(",", K1132) - 1), "-")</f>
        <v/>
      </c>
      <c r="M1132">
        <f>IFERROR(MID(K1132,             FIND(",", K1132) + 1, LEN(K1132) - FIND(",", K1132)), K1132)</f>
        <v/>
      </c>
      <c r="N1132" t="n">
        <v>3</v>
      </c>
      <c r="P1132" t="inlineStr">
        <is>
          <t>10:00</t>
        </is>
      </c>
      <c r="Q1132" t="inlineStr">
        <is>
          <t>11:00</t>
        </is>
      </c>
    </row>
    <row r="1133">
      <c r="A1133" t="inlineStr">
        <is>
          <t>和田 清佳</t>
        </is>
      </c>
      <c r="B1133" t="inlineStr">
        <is>
          <t>SMMs001:島村楽器サポート</t>
        </is>
      </c>
      <c r="D1133">
        <f>L1133</f>
        <v/>
      </c>
      <c r="E1133">
        <f>SUMIFS(J:J, G:G,             A1133, H:H, B1133, L:L, L1133)</f>
        <v/>
      </c>
      <c r="F1133" t="inlineStr">
        <is>
          <t>O-38</t>
        </is>
      </c>
      <c r="G1133" t="inlineStr">
        <is>
          <t>和田 清佳</t>
        </is>
      </c>
      <c r="H1133" t="inlineStr">
        <is>
          <t>SMMs001:島村楽器サポート</t>
        </is>
      </c>
      <c r="I1133" s="1" t="n">
        <v>45931</v>
      </c>
      <c r="J1133" t="n">
        <v>2</v>
      </c>
      <c r="K1133" t="inlineStr">
        <is>
          <t>調査,UAT748,口振データ読込,仕様確認</t>
        </is>
      </c>
      <c r="L1133">
        <f>IFERROR(LEFT(K1133,             FIND(",", K1133) - 1), "-")</f>
        <v/>
      </c>
      <c r="M1133">
        <f>IFERROR(MID(K1133,             FIND(",", K1133) + 1, LEN(K1133) - FIND(",", K1133)), K1133)</f>
        <v/>
      </c>
      <c r="N1133" t="n">
        <v>3</v>
      </c>
      <c r="P1133" t="inlineStr">
        <is>
          <t>10:00</t>
        </is>
      </c>
      <c r="Q1133" t="inlineStr">
        <is>
          <t>12:00</t>
        </is>
      </c>
    </row>
    <row r="1134">
      <c r="A1134" t="inlineStr">
        <is>
          <t>和田 清佳</t>
        </is>
      </c>
      <c r="B1134" t="inlineStr">
        <is>
          <t>SMMs001:島村楽器サポート</t>
        </is>
      </c>
      <c r="D1134">
        <f>L1134</f>
        <v/>
      </c>
      <c r="E1134">
        <f>SUMIFS(J:J, G:G,             A1134, H:H, B1134, L:L, L1134)</f>
        <v/>
      </c>
      <c r="F1134" t="inlineStr">
        <is>
          <t>O-38</t>
        </is>
      </c>
      <c r="G1134" t="inlineStr">
        <is>
          <t>和田 清佳</t>
        </is>
      </c>
      <c r="H1134" t="inlineStr">
        <is>
          <t>SMMs001:島村楽器サポート</t>
        </is>
      </c>
      <c r="I1134" s="1" t="n">
        <v>45950</v>
      </c>
      <c r="J1134" t="n">
        <v>1</v>
      </c>
      <c r="K1134" t="inlineStr">
        <is>
          <t>調査,エラー検知対応</t>
        </is>
      </c>
      <c r="L1134">
        <f>IFERROR(LEFT(K1134,             FIND(",", K1134) - 1), "-")</f>
        <v/>
      </c>
      <c r="M1134">
        <f>IFERROR(MID(K1134,             FIND(",", K1134) + 1, LEN(K1134) - FIND(",", K1134)), K1134)</f>
        <v/>
      </c>
      <c r="N1134" t="n">
        <v>3</v>
      </c>
      <c r="P1134" t="inlineStr">
        <is>
          <t>13:00</t>
        </is>
      </c>
      <c r="Q1134" t="inlineStr">
        <is>
          <t>14:00</t>
        </is>
      </c>
    </row>
    <row r="1135">
      <c r="A1135" t="inlineStr">
        <is>
          <t>和田 清佳</t>
        </is>
      </c>
      <c r="B1135" t="inlineStr">
        <is>
          <t>SMMs001:島村楽器サポート</t>
        </is>
      </c>
      <c r="D1135">
        <f>L1135</f>
        <v/>
      </c>
      <c r="E1135">
        <f>SUMIFS(J:J, G:G,             A1135, H:H, B1135, L:L, L1135)</f>
        <v/>
      </c>
      <c r="F1135" t="inlineStr">
        <is>
          <t>O-38</t>
        </is>
      </c>
      <c r="G1135" t="inlineStr">
        <is>
          <t>和田 清佳</t>
        </is>
      </c>
      <c r="H1135" t="inlineStr">
        <is>
          <t>SMMs001:島村楽器サポート</t>
        </is>
      </c>
      <c r="I1135" s="1" t="n">
        <v>45952</v>
      </c>
      <c r="J1135" t="n">
        <v>0.5</v>
      </c>
      <c r="K1135" t="inlineStr">
        <is>
          <t>調査,エラー検知対応,工数見積依頼</t>
        </is>
      </c>
      <c r="L1135">
        <f>IFERROR(LEFT(K1135,             FIND(",", K1135) - 1), "-")</f>
        <v/>
      </c>
      <c r="M1135">
        <f>IFERROR(MID(K1135,             FIND(",", K1135) + 1, LEN(K1135) - FIND(",", K1135)), K1135)</f>
        <v/>
      </c>
      <c r="N1135" t="n">
        <v>3</v>
      </c>
      <c r="P1135" t="inlineStr">
        <is>
          <t>11:30</t>
        </is>
      </c>
      <c r="Q1135" t="inlineStr">
        <is>
          <t>12:00</t>
        </is>
      </c>
    </row>
    <row r="1136">
      <c r="A1136" t="inlineStr">
        <is>
          <t>和田 清佳</t>
        </is>
      </c>
      <c r="B1136" t="inlineStr">
        <is>
          <t>SMMs001:島村楽器サポート</t>
        </is>
      </c>
      <c r="D1136">
        <f>L1136</f>
        <v/>
      </c>
      <c r="E1136">
        <f>SUMIFS(J:J, G:G,             A1136, H:H, B1136, L:L, L1136)</f>
        <v/>
      </c>
      <c r="F1136" t="inlineStr">
        <is>
          <t>O-38</t>
        </is>
      </c>
      <c r="G1136" t="inlineStr">
        <is>
          <t>和田 清佳</t>
        </is>
      </c>
      <c r="H1136" t="inlineStr">
        <is>
          <t>SMMs001:島村楽器サポート</t>
        </is>
      </c>
      <c r="I1136" s="1" t="n">
        <v>45947</v>
      </c>
      <c r="J1136" t="n">
        <v>1</v>
      </c>
      <c r="K1136" t="inlineStr">
        <is>
          <t>調査,役割設定（関連テーブル）</t>
        </is>
      </c>
      <c r="L1136">
        <f>IFERROR(LEFT(K1136,             FIND(",", K1136) - 1), "-")</f>
        <v/>
      </c>
      <c r="M1136">
        <f>IFERROR(MID(K1136,             FIND(",", K1136) + 1, LEN(K1136) - FIND(",", K1136)), K1136)</f>
        <v/>
      </c>
      <c r="N1136" t="n">
        <v>3</v>
      </c>
      <c r="P1136" t="inlineStr">
        <is>
          <t>10:00</t>
        </is>
      </c>
      <c r="Q1136" t="inlineStr">
        <is>
          <t>11:00</t>
        </is>
      </c>
    </row>
    <row r="1137">
      <c r="A1137" t="inlineStr">
        <is>
          <t>和田 清佳</t>
        </is>
      </c>
      <c r="B1137" t="inlineStr">
        <is>
          <t>SMMs001:島村楽器サポート</t>
        </is>
      </c>
      <c r="D1137">
        <f>L1137</f>
        <v/>
      </c>
      <c r="E1137">
        <f>SUMIFS(J:J, G:G,             A1137, H:H, B1137, L:L, L1137)</f>
        <v/>
      </c>
      <c r="F1137" t="inlineStr">
        <is>
          <t>O-38</t>
        </is>
      </c>
      <c r="G1137" t="inlineStr">
        <is>
          <t>和田 清佳</t>
        </is>
      </c>
      <c r="H1137" t="inlineStr">
        <is>
          <t>SMMs001:島村楽器サポート</t>
        </is>
      </c>
      <c r="I1137" s="1" t="n">
        <v>45950</v>
      </c>
      <c r="J1137" t="n">
        <v>0.5</v>
      </c>
      <c r="K1137" t="inlineStr">
        <is>
          <t>資料作成（内部向け）,バッチ一覧(スクリプト)のメンテナンス</t>
        </is>
      </c>
      <c r="L1137">
        <f>IFERROR(LEFT(K1137,             FIND(",", K1137) - 1), "-")</f>
        <v/>
      </c>
      <c r="M1137">
        <f>IFERROR(MID(K1137,             FIND(",", K1137) + 1, LEN(K1137) - FIND(",", K1137)), K1137)</f>
        <v/>
      </c>
      <c r="N1137" t="n">
        <v>3</v>
      </c>
      <c r="P1137" t="inlineStr">
        <is>
          <t>14:00</t>
        </is>
      </c>
      <c r="Q1137" t="inlineStr">
        <is>
          <t>14:30</t>
        </is>
      </c>
    </row>
    <row r="1138">
      <c r="A1138" t="inlineStr">
        <is>
          <t>和田 清佳</t>
        </is>
      </c>
      <c r="B1138" t="inlineStr">
        <is>
          <t>SMMs001:島村楽器サポート</t>
        </is>
      </c>
      <c r="D1138">
        <f>L1138</f>
        <v/>
      </c>
      <c r="E1138">
        <f>SUMIFS(J:J, G:G,             A1138, H:H, B1138, L:L, L1138)</f>
        <v/>
      </c>
      <c r="F1138" t="inlineStr">
        <is>
          <t>O-38</t>
        </is>
      </c>
      <c r="G1138" t="inlineStr">
        <is>
          <t>和田 清佳</t>
        </is>
      </c>
      <c r="H1138" t="inlineStr">
        <is>
          <t>SMMs001:島村楽器サポート</t>
        </is>
      </c>
      <c r="I1138" s="1" t="n">
        <v>45939</v>
      </c>
      <c r="J1138" t="n">
        <v>0.5</v>
      </c>
      <c r="K1138" t="inlineStr">
        <is>
          <t>資料作成（内部向け）,管理資料更新</t>
        </is>
      </c>
      <c r="L1138">
        <f>IFERROR(LEFT(K1138,             FIND(",", K1138) - 1), "-")</f>
        <v/>
      </c>
      <c r="M1138">
        <f>IFERROR(MID(K1138,             FIND(",", K1138) + 1, LEN(K1138) - FIND(",", K1138)), K1138)</f>
        <v/>
      </c>
      <c r="N1138" t="n">
        <v>3</v>
      </c>
      <c r="P1138" t="inlineStr">
        <is>
          <t>11:30</t>
        </is>
      </c>
      <c r="Q1138" t="inlineStr">
        <is>
          <t>12:00</t>
        </is>
      </c>
    </row>
    <row r="1139">
      <c r="A1139" t="inlineStr">
        <is>
          <t>和田 清佳</t>
        </is>
      </c>
      <c r="B1139" t="inlineStr">
        <is>
          <t>SMMs001:島村楽器サポート</t>
        </is>
      </c>
      <c r="D1139">
        <f>L1139</f>
        <v/>
      </c>
      <c r="E1139">
        <f>SUMIFS(J:J, G:G,             A1139, H:H, B1139, L:L, L1139)</f>
        <v/>
      </c>
      <c r="F1139" t="inlineStr">
        <is>
          <t>O-38</t>
        </is>
      </c>
      <c r="G1139" t="inlineStr">
        <is>
          <t>和田 清佳</t>
        </is>
      </c>
      <c r="H1139" t="inlineStr">
        <is>
          <t>SMMs001:島村楽器サポート</t>
        </is>
      </c>
      <c r="I1139" s="1" t="n">
        <v>45940</v>
      </c>
      <c r="J1139" t="n">
        <v>1.5</v>
      </c>
      <c r="K1139" t="inlineStr">
        <is>
          <t>資料作成（内部向け）,設計書レビュー依頼準備</t>
        </is>
      </c>
      <c r="L1139">
        <f>IFERROR(LEFT(K1139,             FIND(",", K1139) - 1), "-")</f>
        <v/>
      </c>
      <c r="M1139">
        <f>IFERROR(MID(K1139,             FIND(",", K1139) + 1, LEN(K1139) - FIND(",", K1139)), K1139)</f>
        <v/>
      </c>
      <c r="N1139" t="n">
        <v>3</v>
      </c>
      <c r="P1139" t="inlineStr">
        <is>
          <t>10:30</t>
        </is>
      </c>
      <c r="Q1139" t="inlineStr">
        <is>
          <t>12:00</t>
        </is>
      </c>
    </row>
    <row r="1140">
      <c r="A1140" t="inlineStr">
        <is>
          <t>和田 清佳</t>
        </is>
      </c>
      <c r="B1140" t="inlineStr">
        <is>
          <t>SMMs001:島村楽器サポート</t>
        </is>
      </c>
      <c r="D1140">
        <f>L1140</f>
        <v/>
      </c>
      <c r="E1140">
        <f>SUMIFS(J:J, G:G,             A1140, H:H, B1140, L:L, L1140)</f>
        <v/>
      </c>
      <c r="F1140" t="inlineStr">
        <is>
          <t>O-38</t>
        </is>
      </c>
      <c r="G1140" t="inlineStr">
        <is>
          <t>和田 清佳</t>
        </is>
      </c>
      <c r="H1140" t="inlineStr">
        <is>
          <t>SMMs001:島村楽器サポート</t>
        </is>
      </c>
      <c r="I1140" s="1" t="n">
        <v>45945</v>
      </c>
      <c r="J1140" t="n">
        <v>0.5</v>
      </c>
      <c r="K1140" t="inlineStr">
        <is>
          <t>資料作成（内部向け）,設計書修正</t>
        </is>
      </c>
      <c r="L1140">
        <f>IFERROR(LEFT(K1140,             FIND(",", K1140) - 1), "-")</f>
        <v/>
      </c>
      <c r="M1140">
        <f>IFERROR(MID(K1140,             FIND(",", K1140) + 1, LEN(K1140) - FIND(",", K1140)), K1140)</f>
        <v/>
      </c>
      <c r="N1140" t="n">
        <v>3</v>
      </c>
      <c r="P1140" t="inlineStr">
        <is>
          <t>13:30</t>
        </is>
      </c>
      <c r="Q1140" t="inlineStr">
        <is>
          <t>14:00</t>
        </is>
      </c>
    </row>
    <row r="1141">
      <c r="A1141" t="inlineStr">
        <is>
          <t>和田 清佳</t>
        </is>
      </c>
      <c r="B1141" t="inlineStr">
        <is>
          <t>SMMs001:島村楽器サポート</t>
        </is>
      </c>
      <c r="D1141">
        <f>L1141</f>
        <v/>
      </c>
      <c r="E1141">
        <f>SUMIFS(J:J, G:G,             A1141, H:H, B1141, L:L, L1141)</f>
        <v/>
      </c>
      <c r="F1141" t="inlineStr">
        <is>
          <t>O-38</t>
        </is>
      </c>
      <c r="G1141" t="inlineStr">
        <is>
          <t>和田 清佳</t>
        </is>
      </c>
      <c r="H1141" t="inlineStr">
        <is>
          <t>SMMs001:島村楽器サポート</t>
        </is>
      </c>
      <c r="I1141" s="1" t="n">
        <v>45946</v>
      </c>
      <c r="J1141" t="n">
        <v>0.5</v>
      </c>
      <c r="K1141" t="inlineStr">
        <is>
          <t>資料作成（内部向け）,設計書修正依頼</t>
        </is>
      </c>
      <c r="L1141">
        <f>IFERROR(LEFT(K1141,             FIND(",", K1141) - 1), "-")</f>
        <v/>
      </c>
      <c r="M1141">
        <f>IFERROR(MID(K1141,             FIND(",", K1141) + 1, LEN(K1141) - FIND(",", K1141)), K1141)</f>
        <v/>
      </c>
      <c r="N1141" t="n">
        <v>3</v>
      </c>
      <c r="P1141" t="inlineStr">
        <is>
          <t>11:30</t>
        </is>
      </c>
      <c r="Q1141" t="inlineStr">
        <is>
          <t>12:00</t>
        </is>
      </c>
    </row>
    <row r="1142">
      <c r="A1142" t="inlineStr">
        <is>
          <t>和田 清佳</t>
        </is>
      </c>
      <c r="B1142" t="inlineStr">
        <is>
          <t>SMMs001:島村楽器サポート</t>
        </is>
      </c>
      <c r="D1142">
        <f>L1142</f>
        <v/>
      </c>
      <c r="E1142">
        <f>SUMIFS(J:J, G:G,             A1142, H:H, B1142, L:L, L1142)</f>
        <v/>
      </c>
      <c r="F1142" t="inlineStr">
        <is>
          <t>O-38</t>
        </is>
      </c>
      <c r="G1142" t="inlineStr">
        <is>
          <t>和田 清佳</t>
        </is>
      </c>
      <c r="H1142" t="inlineStr">
        <is>
          <t>SMMs001:島村楽器サポート</t>
        </is>
      </c>
      <c r="I1142" s="1" t="n">
        <v>45933</v>
      </c>
      <c r="J1142" t="n">
        <v>0.5</v>
      </c>
      <c r="K1142" t="inlineStr">
        <is>
          <t>顧客やり取り,UAT課題状況報告</t>
        </is>
      </c>
      <c r="L1142">
        <f>IFERROR(LEFT(K1142,             FIND(",", K1142) - 1), "-")</f>
        <v/>
      </c>
      <c r="M1142">
        <f>IFERROR(MID(K1142,             FIND(",", K1142) + 1, LEN(K1142) - FIND(",", K1142)), K1142)</f>
        <v/>
      </c>
      <c r="N1142" t="n">
        <v>3</v>
      </c>
      <c r="P1142" t="inlineStr">
        <is>
          <t>13:00</t>
        </is>
      </c>
      <c r="Q1142" t="inlineStr">
        <is>
          <t>13:30</t>
        </is>
      </c>
    </row>
    <row r="1143">
      <c r="A1143" t="inlineStr">
        <is>
          <t>和田 清佳</t>
        </is>
      </c>
      <c r="B1143" t="inlineStr">
        <is>
          <t>SMMs001:島村楽器サポート</t>
        </is>
      </c>
      <c r="D1143">
        <f>L1143</f>
        <v/>
      </c>
      <c r="E1143">
        <f>SUMIFS(J:J, G:G,             A1143, H:H, B1143, L:L, L1143)</f>
        <v/>
      </c>
      <c r="F1143" t="inlineStr">
        <is>
          <t>O-38</t>
        </is>
      </c>
      <c r="G1143" t="inlineStr">
        <is>
          <t>和田 清佳</t>
        </is>
      </c>
      <c r="H1143" t="inlineStr">
        <is>
          <t>SMMs001:島村楽器サポート</t>
        </is>
      </c>
      <c r="I1143" s="1" t="n">
        <v>45940</v>
      </c>
      <c r="J1143" t="n">
        <v>0.5</v>
      </c>
      <c r="K1143" t="inlineStr">
        <is>
          <t>顧客やり取り,UAT課題状況報告</t>
        </is>
      </c>
      <c r="L1143">
        <f>IFERROR(LEFT(K1143,             FIND(",", K1143) - 1), "-")</f>
        <v/>
      </c>
      <c r="M1143">
        <f>IFERROR(MID(K1143,             FIND(",", K1143) + 1, LEN(K1143) - FIND(",", K1143)), K1143)</f>
        <v/>
      </c>
      <c r="N1143" t="n">
        <v>3</v>
      </c>
      <c r="P1143" t="inlineStr">
        <is>
          <t>13:00</t>
        </is>
      </c>
      <c r="Q1143" t="inlineStr">
        <is>
          <t>13:30</t>
        </is>
      </c>
    </row>
    <row r="1144">
      <c r="A1144" t="inlineStr">
        <is>
          <t>和田 清佳</t>
        </is>
      </c>
      <c r="B1144" t="inlineStr">
        <is>
          <t>SMMs001:島村楽器サポート</t>
        </is>
      </c>
      <c r="D1144">
        <f>L1144</f>
        <v/>
      </c>
      <c r="E1144">
        <f>SUMIFS(J:J, G:G,             A1144, H:H, B1144, L:L, L1144)</f>
        <v/>
      </c>
      <c r="F1144" t="inlineStr">
        <is>
          <t>O-38</t>
        </is>
      </c>
      <c r="G1144" t="inlineStr">
        <is>
          <t>和田 清佳</t>
        </is>
      </c>
      <c r="H1144" t="inlineStr">
        <is>
          <t>SMMs001:島村楽器サポート</t>
        </is>
      </c>
      <c r="I1144" s="1" t="n">
        <v>45936</v>
      </c>
      <c r="J1144" t="n">
        <v>1</v>
      </c>
      <c r="K1144" t="inlineStr">
        <is>
          <t>顧客やり取り,ファイル容量圧迫について</t>
        </is>
      </c>
      <c r="L1144">
        <f>IFERROR(LEFT(K1144,             FIND(",", K1144) - 1), "-")</f>
        <v/>
      </c>
      <c r="M1144">
        <f>IFERROR(MID(K1144,             FIND(",", K1144) + 1, LEN(K1144) - FIND(",", K1144)), K1144)</f>
        <v/>
      </c>
      <c r="N1144" t="n">
        <v>3</v>
      </c>
      <c r="P1144" t="inlineStr">
        <is>
          <t>11:00</t>
        </is>
      </c>
      <c r="Q1144" t="inlineStr">
        <is>
          <t>12:00</t>
        </is>
      </c>
    </row>
    <row r="1145">
      <c r="A1145" t="inlineStr">
        <is>
          <t>和田 清佳</t>
        </is>
      </c>
      <c r="B1145" t="inlineStr">
        <is>
          <t>SMMs001:島村楽器サポート</t>
        </is>
      </c>
      <c r="D1145">
        <f>L1145</f>
        <v/>
      </c>
      <c r="E1145">
        <f>SUMIFS(J:J, G:G,             A1145, H:H, B1145, L:L, L1145)</f>
        <v/>
      </c>
      <c r="F1145" t="inlineStr">
        <is>
          <t>O-38</t>
        </is>
      </c>
      <c r="G1145" t="inlineStr">
        <is>
          <t>和田 清佳</t>
        </is>
      </c>
      <c r="H1145" t="inlineStr">
        <is>
          <t>SMMs001:島村楽器サポート</t>
        </is>
      </c>
      <c r="I1145" s="1" t="n">
        <v>45945</v>
      </c>
      <c r="J1145" t="n">
        <v>0.5</v>
      </c>
      <c r="K1145" t="inlineStr">
        <is>
          <t>顧客やり取り,メール返信</t>
        </is>
      </c>
      <c r="L1145">
        <f>IFERROR(LEFT(K1145,             FIND(",", K1145) - 1), "-")</f>
        <v/>
      </c>
      <c r="M1145">
        <f>IFERROR(MID(K1145,             FIND(",", K1145) + 1, LEN(K1145) - FIND(",", K1145)), K1145)</f>
        <v/>
      </c>
      <c r="N1145" t="n">
        <v>3</v>
      </c>
      <c r="P1145" t="inlineStr">
        <is>
          <t>13:00</t>
        </is>
      </c>
      <c r="Q1145" t="inlineStr">
        <is>
          <t>13:30</t>
        </is>
      </c>
    </row>
    <row r="1146">
      <c r="A1146" t="inlineStr">
        <is>
          <t>和田 清佳</t>
        </is>
      </c>
      <c r="B1146" t="inlineStr">
        <is>
          <t>SMMs001:島村楽器サポート</t>
        </is>
      </c>
      <c r="D1146">
        <f>L1146</f>
        <v/>
      </c>
      <c r="E1146">
        <f>SUMIFS(J:J, G:G,             A1146, H:H, B1146, L:L, L1146)</f>
        <v/>
      </c>
      <c r="F1146" t="inlineStr">
        <is>
          <t>O-38</t>
        </is>
      </c>
      <c r="G1146" t="inlineStr">
        <is>
          <t>和田 清佳</t>
        </is>
      </c>
      <c r="H1146" t="inlineStr">
        <is>
          <t>SMMs001:島村楽器サポート</t>
        </is>
      </c>
      <c r="I1146" s="1" t="n">
        <v>45947</v>
      </c>
      <c r="J1146" t="n">
        <v>0.5</v>
      </c>
      <c r="K1146" t="inlineStr">
        <is>
          <t>顧客やり取り,本番環境作業事前連絡</t>
        </is>
      </c>
      <c r="L1146">
        <f>IFERROR(LEFT(K1146,             FIND(",", K1146) - 1), "-")</f>
        <v/>
      </c>
      <c r="M1146">
        <f>IFERROR(MID(K1146,             FIND(",", K1146) + 1, LEN(K1146) - FIND(",", K1146)), K1146)</f>
        <v/>
      </c>
      <c r="N1146" t="n">
        <v>3</v>
      </c>
      <c r="P1146" t="inlineStr">
        <is>
          <t>13:00</t>
        </is>
      </c>
      <c r="Q1146" t="inlineStr">
        <is>
          <t>13:30</t>
        </is>
      </c>
    </row>
    <row r="1147">
      <c r="A1147" t="inlineStr">
        <is>
          <t>和田 清佳</t>
        </is>
      </c>
      <c r="B1147" t="inlineStr">
        <is>
          <t>TCNZ001:社内業務等</t>
        </is>
      </c>
      <c r="C1147">
        <f>SUMIFS(J:J, G:G,             A1147, H:H, B1147)</f>
        <v/>
      </c>
      <c r="D1147">
        <f>L1147</f>
        <v/>
      </c>
      <c r="E1147">
        <f>SUMIFS(J:J, G:G,             A1147, H:H, B1147, L:L, L1147)</f>
        <v/>
      </c>
      <c r="F1147" t="inlineStr">
        <is>
          <t>O-38</t>
        </is>
      </c>
      <c r="G1147" t="inlineStr">
        <is>
          <t>和田 清佳</t>
        </is>
      </c>
      <c r="H1147" t="inlineStr">
        <is>
          <t>TCNZ001:社内業務等</t>
        </is>
      </c>
      <c r="I1147" s="1" t="n">
        <v>45931</v>
      </c>
      <c r="J1147" t="n">
        <v>0.5</v>
      </c>
      <c r="K1147" t="inlineStr">
        <is>
          <t>タスク整理</t>
        </is>
      </c>
      <c r="L1147">
        <f>IFERROR(LEFT(K1147,             FIND(",", K1147) - 1), "-")</f>
        <v/>
      </c>
      <c r="M1147">
        <f>IFERROR(MID(K1147,             FIND(",", K1147) + 1, LEN(K1147) - FIND(",", K1147)), K1147)</f>
        <v/>
      </c>
      <c r="N1147" t="n">
        <v>5</v>
      </c>
      <c r="P1147" t="inlineStr">
        <is>
          <t>09:30</t>
        </is>
      </c>
      <c r="Q1147" t="inlineStr">
        <is>
          <t>10:00</t>
        </is>
      </c>
    </row>
    <row r="1148">
      <c r="A1148" t="inlineStr">
        <is>
          <t>和田 清佳</t>
        </is>
      </c>
      <c r="B1148" t="inlineStr">
        <is>
          <t>TCNZ001:社内業務等</t>
        </is>
      </c>
      <c r="D1148">
        <f>L1148</f>
        <v/>
      </c>
      <c r="E1148">
        <f>SUMIFS(J:J, G:G,             A1148, H:H, B1148, L:L, L1148)</f>
        <v/>
      </c>
      <c r="F1148" t="inlineStr">
        <is>
          <t>O-38</t>
        </is>
      </c>
      <c r="G1148" t="inlineStr">
        <is>
          <t>和田 清佳</t>
        </is>
      </c>
      <c r="H1148" t="inlineStr">
        <is>
          <t>TCNZ001:社内業務等</t>
        </is>
      </c>
      <c r="I1148" s="1" t="n">
        <v>45931</v>
      </c>
      <c r="J1148" t="n">
        <v>0.5</v>
      </c>
      <c r="K1148" t="inlineStr">
        <is>
          <t>タスク整理</t>
        </is>
      </c>
      <c r="L1148">
        <f>IFERROR(LEFT(K1148,             FIND(",", K1148) - 1), "-")</f>
        <v/>
      </c>
      <c r="M1148">
        <f>IFERROR(MID(K1148,             FIND(",", K1148) + 1, LEN(K1148) - FIND(",", K1148)), K1148)</f>
        <v/>
      </c>
      <c r="N1148" t="n">
        <v>5</v>
      </c>
      <c r="P1148" t="inlineStr">
        <is>
          <t>15:00</t>
        </is>
      </c>
      <c r="Q1148" t="inlineStr">
        <is>
          <t>15:30</t>
        </is>
      </c>
    </row>
    <row r="1149">
      <c r="A1149" t="inlineStr">
        <is>
          <t>和田 清佳</t>
        </is>
      </c>
      <c r="B1149" t="inlineStr">
        <is>
          <t>TCNZ001:社内業務等</t>
        </is>
      </c>
      <c r="D1149">
        <f>L1149</f>
        <v/>
      </c>
      <c r="E1149">
        <f>SUMIFS(J:J, G:G,             A1149, H:H, B1149, L:L, L1149)</f>
        <v/>
      </c>
      <c r="F1149" t="inlineStr">
        <is>
          <t>O-38</t>
        </is>
      </c>
      <c r="G1149" t="inlineStr">
        <is>
          <t>和田 清佳</t>
        </is>
      </c>
      <c r="H1149" t="inlineStr">
        <is>
          <t>TCNZ001:社内業務等</t>
        </is>
      </c>
      <c r="I1149" s="1" t="n">
        <v>45932</v>
      </c>
      <c r="J1149" t="n">
        <v>0.5</v>
      </c>
      <c r="K1149" t="inlineStr">
        <is>
          <t>タスク整理</t>
        </is>
      </c>
      <c r="L1149">
        <f>IFERROR(LEFT(K1149,             FIND(",", K1149) - 1), "-")</f>
        <v/>
      </c>
      <c r="M1149">
        <f>IFERROR(MID(K1149,             FIND(",", K1149) + 1, LEN(K1149) - FIND(",", K1149)), K1149)</f>
        <v/>
      </c>
      <c r="N1149" t="n">
        <v>5</v>
      </c>
      <c r="P1149" t="inlineStr">
        <is>
          <t>09:30</t>
        </is>
      </c>
      <c r="Q1149" t="inlineStr">
        <is>
          <t>10:00</t>
        </is>
      </c>
    </row>
    <row r="1150">
      <c r="A1150" t="inlineStr">
        <is>
          <t>和田 清佳</t>
        </is>
      </c>
      <c r="B1150" t="inlineStr">
        <is>
          <t>TCNZ001:社内業務等</t>
        </is>
      </c>
      <c r="D1150">
        <f>L1150</f>
        <v/>
      </c>
      <c r="E1150">
        <f>SUMIFS(J:J, G:G,             A1150, H:H, B1150, L:L, L1150)</f>
        <v/>
      </c>
      <c r="F1150" t="inlineStr">
        <is>
          <t>O-38</t>
        </is>
      </c>
      <c r="G1150" t="inlineStr">
        <is>
          <t>和田 清佳</t>
        </is>
      </c>
      <c r="H1150" t="inlineStr">
        <is>
          <t>TCNZ001:社内業務等</t>
        </is>
      </c>
      <c r="I1150" s="1" t="n">
        <v>45932</v>
      </c>
      <c r="J1150" t="n">
        <v>0.5</v>
      </c>
      <c r="K1150" t="inlineStr">
        <is>
          <t>タスク整理</t>
        </is>
      </c>
      <c r="L1150">
        <f>IFERROR(LEFT(K1150,             FIND(",", K1150) - 1), "-")</f>
        <v/>
      </c>
      <c r="M1150">
        <f>IFERROR(MID(K1150,             FIND(",", K1150) + 1, LEN(K1150) - FIND(",", K1150)), K1150)</f>
        <v/>
      </c>
      <c r="N1150" t="n">
        <v>5</v>
      </c>
      <c r="P1150" t="inlineStr">
        <is>
          <t>15:00</t>
        </is>
      </c>
      <c r="Q1150" t="inlineStr">
        <is>
          <t>15:30</t>
        </is>
      </c>
    </row>
    <row r="1151">
      <c r="A1151" t="inlineStr">
        <is>
          <t>和田 清佳</t>
        </is>
      </c>
      <c r="B1151" t="inlineStr">
        <is>
          <t>TCNZ001:社内業務等</t>
        </is>
      </c>
      <c r="D1151">
        <f>L1151</f>
        <v/>
      </c>
      <c r="E1151">
        <f>SUMIFS(J:J, G:G,             A1151, H:H, B1151, L:L, L1151)</f>
        <v/>
      </c>
      <c r="F1151" t="inlineStr">
        <is>
          <t>O-38</t>
        </is>
      </c>
      <c r="G1151" t="inlineStr">
        <is>
          <t>和田 清佳</t>
        </is>
      </c>
      <c r="H1151" t="inlineStr">
        <is>
          <t>TCNZ001:社内業務等</t>
        </is>
      </c>
      <c r="I1151" s="1" t="n">
        <v>45933</v>
      </c>
      <c r="J1151" t="n">
        <v>0.5</v>
      </c>
      <c r="K1151" t="inlineStr">
        <is>
          <t>タスク整理</t>
        </is>
      </c>
      <c r="L1151">
        <f>IFERROR(LEFT(K1151,             FIND(",", K1151) - 1), "-")</f>
        <v/>
      </c>
      <c r="M1151">
        <f>IFERROR(MID(K1151,             FIND(",", K1151) + 1, LEN(K1151) - FIND(",", K1151)), K1151)</f>
        <v/>
      </c>
      <c r="N1151" t="n">
        <v>5</v>
      </c>
      <c r="P1151" t="inlineStr">
        <is>
          <t>09:30</t>
        </is>
      </c>
      <c r="Q1151" t="inlineStr">
        <is>
          <t>10:00</t>
        </is>
      </c>
    </row>
    <row r="1152">
      <c r="A1152" t="inlineStr">
        <is>
          <t>和田 清佳</t>
        </is>
      </c>
      <c r="B1152" t="inlineStr">
        <is>
          <t>TCNZ001:社内業務等</t>
        </is>
      </c>
      <c r="D1152">
        <f>L1152</f>
        <v/>
      </c>
      <c r="E1152">
        <f>SUMIFS(J:J, G:G,             A1152, H:H, B1152, L:L, L1152)</f>
        <v/>
      </c>
      <c r="F1152" t="inlineStr">
        <is>
          <t>O-38</t>
        </is>
      </c>
      <c r="G1152" t="inlineStr">
        <is>
          <t>和田 清佳</t>
        </is>
      </c>
      <c r="H1152" t="inlineStr">
        <is>
          <t>TCNZ001:社内業務等</t>
        </is>
      </c>
      <c r="I1152" s="1" t="n">
        <v>45936</v>
      </c>
      <c r="J1152" t="n">
        <v>0.5</v>
      </c>
      <c r="K1152" t="inlineStr">
        <is>
          <t>タスク整理</t>
        </is>
      </c>
      <c r="L1152">
        <f>IFERROR(LEFT(K1152,             FIND(",", K1152) - 1), "-")</f>
        <v/>
      </c>
      <c r="M1152">
        <f>IFERROR(MID(K1152,             FIND(",", K1152) + 1, LEN(K1152) - FIND(",", K1152)), K1152)</f>
        <v/>
      </c>
      <c r="N1152" t="n">
        <v>5</v>
      </c>
      <c r="P1152" t="inlineStr">
        <is>
          <t>09:30</t>
        </is>
      </c>
      <c r="Q1152" t="inlineStr">
        <is>
          <t>10:00</t>
        </is>
      </c>
    </row>
    <row r="1153">
      <c r="A1153" t="inlineStr">
        <is>
          <t>和田 清佳</t>
        </is>
      </c>
      <c r="B1153" t="inlineStr">
        <is>
          <t>TCNZ001:社内業務等</t>
        </is>
      </c>
      <c r="D1153">
        <f>L1153</f>
        <v/>
      </c>
      <c r="E1153">
        <f>SUMIFS(J:J, G:G,             A1153, H:H, B1153, L:L, L1153)</f>
        <v/>
      </c>
      <c r="F1153" t="inlineStr">
        <is>
          <t>O-38</t>
        </is>
      </c>
      <c r="G1153" t="inlineStr">
        <is>
          <t>和田 清佳</t>
        </is>
      </c>
      <c r="H1153" t="inlineStr">
        <is>
          <t>TCNZ001:社内業務等</t>
        </is>
      </c>
      <c r="I1153" s="1" t="n">
        <v>45938</v>
      </c>
      <c r="J1153" t="n">
        <v>0.5</v>
      </c>
      <c r="K1153" t="inlineStr">
        <is>
          <t>タスク整理</t>
        </is>
      </c>
      <c r="L1153">
        <f>IFERROR(LEFT(K1153,             FIND(",", K1153) - 1), "-")</f>
        <v/>
      </c>
      <c r="M1153">
        <f>IFERROR(MID(K1153,             FIND(",", K1153) + 1, LEN(K1153) - FIND(",", K1153)), K1153)</f>
        <v/>
      </c>
      <c r="N1153" t="n">
        <v>5</v>
      </c>
      <c r="P1153" t="inlineStr">
        <is>
          <t>09:30</t>
        </is>
      </c>
      <c r="Q1153" t="inlineStr">
        <is>
          <t>10:00</t>
        </is>
      </c>
    </row>
    <row r="1154">
      <c r="A1154" t="inlineStr">
        <is>
          <t>和田 清佳</t>
        </is>
      </c>
      <c r="B1154" t="inlineStr">
        <is>
          <t>TCNZ001:社内業務等</t>
        </is>
      </c>
      <c r="D1154">
        <f>L1154</f>
        <v/>
      </c>
      <c r="E1154">
        <f>SUMIFS(J:J, G:G,             A1154, H:H, B1154, L:L, L1154)</f>
        <v/>
      </c>
      <c r="F1154" t="inlineStr">
        <is>
          <t>O-38</t>
        </is>
      </c>
      <c r="G1154" t="inlineStr">
        <is>
          <t>和田 清佳</t>
        </is>
      </c>
      <c r="H1154" t="inlineStr">
        <is>
          <t>TCNZ001:社内業務等</t>
        </is>
      </c>
      <c r="I1154" s="1" t="n">
        <v>45939</v>
      </c>
      <c r="J1154" t="n">
        <v>0.5</v>
      </c>
      <c r="K1154" t="inlineStr">
        <is>
          <t>タスク整理</t>
        </is>
      </c>
      <c r="L1154">
        <f>IFERROR(LEFT(K1154,             FIND(",", K1154) - 1), "-")</f>
        <v/>
      </c>
      <c r="M1154">
        <f>IFERROR(MID(K1154,             FIND(",", K1154) + 1, LEN(K1154) - FIND(",", K1154)), K1154)</f>
        <v/>
      </c>
      <c r="N1154" t="n">
        <v>5</v>
      </c>
      <c r="P1154" t="inlineStr">
        <is>
          <t>09:30</t>
        </is>
      </c>
      <c r="Q1154" t="inlineStr">
        <is>
          <t>10:00</t>
        </is>
      </c>
    </row>
    <row r="1155">
      <c r="A1155" t="inlineStr">
        <is>
          <t>和田 清佳</t>
        </is>
      </c>
      <c r="B1155" t="inlineStr">
        <is>
          <t>TCNZ001:社内業務等</t>
        </is>
      </c>
      <c r="D1155">
        <f>L1155</f>
        <v/>
      </c>
      <c r="E1155">
        <f>SUMIFS(J:J, G:G,             A1155, H:H, B1155, L:L, L1155)</f>
        <v/>
      </c>
      <c r="F1155" t="inlineStr">
        <is>
          <t>O-38</t>
        </is>
      </c>
      <c r="G1155" t="inlineStr">
        <is>
          <t>和田 清佳</t>
        </is>
      </c>
      <c r="H1155" t="inlineStr">
        <is>
          <t>TCNZ001:社内業務等</t>
        </is>
      </c>
      <c r="I1155" s="1" t="n">
        <v>45940</v>
      </c>
      <c r="J1155" t="n">
        <v>1</v>
      </c>
      <c r="K1155" t="inlineStr">
        <is>
          <t>タスク整理</t>
        </is>
      </c>
      <c r="L1155">
        <f>IFERROR(LEFT(K1155,             FIND(",", K1155) - 1), "-")</f>
        <v/>
      </c>
      <c r="M1155">
        <f>IFERROR(MID(K1155,             FIND(",", K1155) + 1, LEN(K1155) - FIND(",", K1155)), K1155)</f>
        <v/>
      </c>
      <c r="N1155" t="n">
        <v>5</v>
      </c>
      <c r="P1155" t="inlineStr">
        <is>
          <t>09:30</t>
        </is>
      </c>
      <c r="Q1155" t="inlineStr">
        <is>
          <t>10:30</t>
        </is>
      </c>
    </row>
    <row r="1156">
      <c r="A1156" t="inlineStr">
        <is>
          <t>和田 清佳</t>
        </is>
      </c>
      <c r="B1156" t="inlineStr">
        <is>
          <t>TCNZ001:社内業務等</t>
        </is>
      </c>
      <c r="D1156">
        <f>L1156</f>
        <v/>
      </c>
      <c r="E1156">
        <f>SUMIFS(J:J, G:G,             A1156, H:H, B1156, L:L, L1156)</f>
        <v/>
      </c>
      <c r="F1156" t="inlineStr">
        <is>
          <t>O-38</t>
        </is>
      </c>
      <c r="G1156" t="inlineStr">
        <is>
          <t>和田 清佳</t>
        </is>
      </c>
      <c r="H1156" t="inlineStr">
        <is>
          <t>TCNZ001:社内業務等</t>
        </is>
      </c>
      <c r="I1156" s="1" t="n">
        <v>45945</v>
      </c>
      <c r="J1156" t="n">
        <v>0.5</v>
      </c>
      <c r="K1156" t="inlineStr">
        <is>
          <t>タスク整理</t>
        </is>
      </c>
      <c r="L1156">
        <f>IFERROR(LEFT(K1156,             FIND(",", K1156) - 1), "-")</f>
        <v/>
      </c>
      <c r="M1156">
        <f>IFERROR(MID(K1156,             FIND(",", K1156) + 1, LEN(K1156) - FIND(",", K1156)), K1156)</f>
        <v/>
      </c>
      <c r="N1156" t="n">
        <v>5</v>
      </c>
      <c r="P1156" t="inlineStr">
        <is>
          <t>09:30</t>
        </is>
      </c>
      <c r="Q1156" t="inlineStr">
        <is>
          <t>10:00</t>
        </is>
      </c>
    </row>
    <row r="1157">
      <c r="A1157" t="inlineStr">
        <is>
          <t>和田 清佳</t>
        </is>
      </c>
      <c r="B1157" t="inlineStr">
        <is>
          <t>TCNZ001:社内業務等</t>
        </is>
      </c>
      <c r="D1157">
        <f>L1157</f>
        <v/>
      </c>
      <c r="E1157">
        <f>SUMIFS(J:J, G:G,             A1157, H:H, B1157, L:L, L1157)</f>
        <v/>
      </c>
      <c r="F1157" t="inlineStr">
        <is>
          <t>O-38</t>
        </is>
      </c>
      <c r="G1157" t="inlineStr">
        <is>
          <t>和田 清佳</t>
        </is>
      </c>
      <c r="H1157" t="inlineStr">
        <is>
          <t>TCNZ001:社内業務等</t>
        </is>
      </c>
      <c r="I1157" s="1" t="n">
        <v>45945</v>
      </c>
      <c r="J1157" t="n">
        <v>0.5</v>
      </c>
      <c r="K1157" t="inlineStr">
        <is>
          <t>タスク整理</t>
        </is>
      </c>
      <c r="L1157">
        <f>IFERROR(LEFT(K1157,             FIND(",", K1157) - 1), "-")</f>
        <v/>
      </c>
      <c r="M1157">
        <f>IFERROR(MID(K1157,             FIND(",", K1157) + 1, LEN(K1157) - FIND(",", K1157)), K1157)</f>
        <v/>
      </c>
      <c r="N1157" t="n">
        <v>5</v>
      </c>
      <c r="P1157" t="inlineStr">
        <is>
          <t>15:00</t>
        </is>
      </c>
      <c r="Q1157" t="inlineStr">
        <is>
          <t>15:30</t>
        </is>
      </c>
    </row>
    <row r="1158">
      <c r="A1158" t="inlineStr">
        <is>
          <t>和田 清佳</t>
        </is>
      </c>
      <c r="B1158" t="inlineStr">
        <is>
          <t>TCNZ001:社内業務等</t>
        </is>
      </c>
      <c r="D1158">
        <f>L1158</f>
        <v/>
      </c>
      <c r="E1158">
        <f>SUMIFS(J:J, G:G,             A1158, H:H, B1158, L:L, L1158)</f>
        <v/>
      </c>
      <c r="F1158" t="inlineStr">
        <is>
          <t>O-38</t>
        </is>
      </c>
      <c r="G1158" t="inlineStr">
        <is>
          <t>和田 清佳</t>
        </is>
      </c>
      <c r="H1158" t="inlineStr">
        <is>
          <t>TCNZ001:社内業務等</t>
        </is>
      </c>
      <c r="I1158" s="1" t="n">
        <v>45946</v>
      </c>
      <c r="J1158" t="n">
        <v>0.5</v>
      </c>
      <c r="K1158" t="inlineStr">
        <is>
          <t>タスク整理</t>
        </is>
      </c>
      <c r="L1158">
        <f>IFERROR(LEFT(K1158,             FIND(",", K1158) - 1), "-")</f>
        <v/>
      </c>
      <c r="M1158">
        <f>IFERROR(MID(K1158,             FIND(",", K1158) + 1, LEN(K1158) - FIND(",", K1158)), K1158)</f>
        <v/>
      </c>
      <c r="N1158" t="n">
        <v>5</v>
      </c>
      <c r="P1158" t="inlineStr">
        <is>
          <t>09:30</t>
        </is>
      </c>
      <c r="Q1158" t="inlineStr">
        <is>
          <t>10:00</t>
        </is>
      </c>
    </row>
    <row r="1159">
      <c r="A1159" t="inlineStr">
        <is>
          <t>和田 清佳</t>
        </is>
      </c>
      <c r="B1159" t="inlineStr">
        <is>
          <t>TCNZ001:社内業務等</t>
        </is>
      </c>
      <c r="D1159">
        <f>L1159</f>
        <v/>
      </c>
      <c r="E1159">
        <f>SUMIFS(J:J, G:G,             A1159, H:H, B1159, L:L, L1159)</f>
        <v/>
      </c>
      <c r="F1159" t="inlineStr">
        <is>
          <t>O-38</t>
        </is>
      </c>
      <c r="G1159" t="inlineStr">
        <is>
          <t>和田 清佳</t>
        </is>
      </c>
      <c r="H1159" t="inlineStr">
        <is>
          <t>TCNZ001:社内業務等</t>
        </is>
      </c>
      <c r="I1159" s="1" t="n">
        <v>45947</v>
      </c>
      <c r="J1159" t="n">
        <v>0.5</v>
      </c>
      <c r="K1159" t="inlineStr">
        <is>
          <t>タスク整理</t>
        </is>
      </c>
      <c r="L1159">
        <f>IFERROR(LEFT(K1159,             FIND(",", K1159) - 1), "-")</f>
        <v/>
      </c>
      <c r="M1159">
        <f>IFERROR(MID(K1159,             FIND(",", K1159) + 1, LEN(K1159) - FIND(",", K1159)), K1159)</f>
        <v/>
      </c>
      <c r="N1159" t="n">
        <v>5</v>
      </c>
      <c r="P1159" t="inlineStr">
        <is>
          <t>09:30</t>
        </is>
      </c>
      <c r="Q1159" t="inlineStr">
        <is>
          <t>10:00</t>
        </is>
      </c>
    </row>
    <row r="1160">
      <c r="A1160" t="inlineStr">
        <is>
          <t>和田 清佳</t>
        </is>
      </c>
      <c r="B1160" t="inlineStr">
        <is>
          <t>TCNZ001:社内業務等</t>
        </is>
      </c>
      <c r="D1160">
        <f>L1160</f>
        <v/>
      </c>
      <c r="E1160">
        <f>SUMIFS(J:J, G:G,             A1160, H:H, B1160, L:L, L1160)</f>
        <v/>
      </c>
      <c r="F1160" t="inlineStr">
        <is>
          <t>O-38</t>
        </is>
      </c>
      <c r="G1160" t="inlineStr">
        <is>
          <t>和田 清佳</t>
        </is>
      </c>
      <c r="H1160" t="inlineStr">
        <is>
          <t>TCNZ001:社内業務等</t>
        </is>
      </c>
      <c r="I1160" s="1" t="n">
        <v>45950</v>
      </c>
      <c r="J1160" t="n">
        <v>0.5</v>
      </c>
      <c r="K1160" t="inlineStr">
        <is>
          <t>タスク整理</t>
        </is>
      </c>
      <c r="L1160">
        <f>IFERROR(LEFT(K1160,             FIND(",", K1160) - 1), "-")</f>
        <v/>
      </c>
      <c r="M1160">
        <f>IFERROR(MID(K1160,             FIND(",", K1160) + 1, LEN(K1160) - FIND(",", K1160)), K1160)</f>
        <v/>
      </c>
      <c r="N1160" t="n">
        <v>5</v>
      </c>
      <c r="P1160" t="inlineStr">
        <is>
          <t>14:30</t>
        </is>
      </c>
      <c r="Q1160" t="inlineStr">
        <is>
          <t>15:00</t>
        </is>
      </c>
    </row>
    <row r="1161">
      <c r="A1161" t="inlineStr">
        <is>
          <t>和田 清佳</t>
        </is>
      </c>
      <c r="B1161" t="inlineStr">
        <is>
          <t>TCNZ001:社内業務等</t>
        </is>
      </c>
      <c r="D1161">
        <f>L1161</f>
        <v/>
      </c>
      <c r="E1161">
        <f>SUMIFS(J:J, G:G,             A1161, H:H, B1161, L:L, L1161)</f>
        <v/>
      </c>
      <c r="F1161" t="inlineStr">
        <is>
          <t>O-38</t>
        </is>
      </c>
      <c r="G1161" t="inlineStr">
        <is>
          <t>和田 清佳</t>
        </is>
      </c>
      <c r="H1161" t="inlineStr">
        <is>
          <t>TCNZ001:社内業務等</t>
        </is>
      </c>
      <c r="I1161" s="1" t="n">
        <v>45952</v>
      </c>
      <c r="J1161" t="n">
        <v>0.5</v>
      </c>
      <c r="K1161" t="inlineStr">
        <is>
          <t>タスク整理</t>
        </is>
      </c>
      <c r="L1161">
        <f>IFERROR(LEFT(K1161,             FIND(",", K1161) - 1), "-")</f>
        <v/>
      </c>
      <c r="M1161">
        <f>IFERROR(MID(K1161,             FIND(",", K1161) + 1, LEN(K1161) - FIND(",", K1161)), K1161)</f>
        <v/>
      </c>
      <c r="N1161" t="n">
        <v>5</v>
      </c>
      <c r="P1161" t="inlineStr">
        <is>
          <t>14:30</t>
        </is>
      </c>
      <c r="Q1161" t="inlineStr">
        <is>
          <t>15:00</t>
        </is>
      </c>
    </row>
    <row r="1162">
      <c r="A1162" t="inlineStr">
        <is>
          <t>和田 清佳</t>
        </is>
      </c>
      <c r="B1162" t="inlineStr">
        <is>
          <t>TCNZ001:社内業務等</t>
        </is>
      </c>
      <c r="D1162">
        <f>L1162</f>
        <v/>
      </c>
      <c r="E1162">
        <f>SUMIFS(J:J, G:G,             A1162, H:H, B1162, L:L, L1162)</f>
        <v/>
      </c>
      <c r="F1162" t="inlineStr">
        <is>
          <t>O-38</t>
        </is>
      </c>
      <c r="G1162" t="inlineStr">
        <is>
          <t>和田 清佳</t>
        </is>
      </c>
      <c r="H1162" t="inlineStr">
        <is>
          <t>TCNZ001:社内業務等</t>
        </is>
      </c>
      <c r="I1162" s="1" t="n">
        <v>45953</v>
      </c>
      <c r="J1162" t="n">
        <v>0.5</v>
      </c>
      <c r="K1162" t="inlineStr">
        <is>
          <t>タスク整理</t>
        </is>
      </c>
      <c r="L1162">
        <f>IFERROR(LEFT(K1162,             FIND(",", K1162) - 1), "-")</f>
        <v/>
      </c>
      <c r="M1162">
        <f>IFERROR(MID(K1162,             FIND(",", K1162) + 1, LEN(K1162) - FIND(",", K1162)), K1162)</f>
        <v/>
      </c>
      <c r="N1162" t="n">
        <v>5</v>
      </c>
      <c r="P1162" t="inlineStr">
        <is>
          <t>09:30</t>
        </is>
      </c>
      <c r="Q1162" t="inlineStr">
        <is>
          <t>10:00</t>
        </is>
      </c>
    </row>
    <row r="1163">
      <c r="A1163" t="inlineStr">
        <is>
          <t>和田 清佳</t>
        </is>
      </c>
      <c r="B1163" t="inlineStr">
        <is>
          <t>TCNZ001:社内業務等</t>
        </is>
      </c>
      <c r="D1163">
        <f>L1163</f>
        <v/>
      </c>
      <c r="E1163">
        <f>SUMIFS(J:J, G:G,             A1163, H:H, B1163, L:L, L1163)</f>
        <v/>
      </c>
      <c r="F1163" t="inlineStr">
        <is>
          <t>O-38</t>
        </is>
      </c>
      <c r="G1163" t="inlineStr">
        <is>
          <t>和田 清佳</t>
        </is>
      </c>
      <c r="H1163" t="inlineStr">
        <is>
          <t>TCNZ001:社内業務等</t>
        </is>
      </c>
      <c r="I1163" s="1" t="n">
        <v>45953</v>
      </c>
      <c r="J1163" t="n">
        <v>0.5</v>
      </c>
      <c r="K1163" t="inlineStr">
        <is>
          <t>タスク整理</t>
        </is>
      </c>
      <c r="L1163">
        <f>IFERROR(LEFT(K1163,             FIND(",", K1163) - 1), "-")</f>
        <v/>
      </c>
      <c r="M1163">
        <f>IFERROR(MID(K1163,             FIND(",", K1163) + 1, LEN(K1163) - FIND(",", K1163)), K1163)</f>
        <v/>
      </c>
      <c r="N1163" t="n">
        <v>5</v>
      </c>
      <c r="P1163" t="inlineStr">
        <is>
          <t>15:00</t>
        </is>
      </c>
      <c r="Q1163" t="inlineStr">
        <is>
          <t>15:30</t>
        </is>
      </c>
    </row>
    <row r="1164">
      <c r="A1164" t="inlineStr">
        <is>
          <t>和田 清佳</t>
        </is>
      </c>
      <c r="B1164" t="inlineStr">
        <is>
          <t>TCNZ001:社内業務等</t>
        </is>
      </c>
      <c r="D1164">
        <f>L1164</f>
        <v/>
      </c>
      <c r="E1164">
        <f>SUMIFS(J:J, G:G,             A1164, H:H, B1164, L:L, L1164)</f>
        <v/>
      </c>
      <c r="F1164" t="inlineStr">
        <is>
          <t>O-38</t>
        </is>
      </c>
      <c r="G1164" t="inlineStr">
        <is>
          <t>和田 清佳</t>
        </is>
      </c>
      <c r="H1164" t="inlineStr">
        <is>
          <t>TCNZ001:社内業務等</t>
        </is>
      </c>
      <c r="I1164" s="1" t="n">
        <v>45946</v>
      </c>
      <c r="J1164" t="n">
        <v>2.5</v>
      </c>
      <c r="K1164" t="inlineStr">
        <is>
          <t>調査,Indexの差分調査</t>
        </is>
      </c>
      <c r="L1164">
        <f>IFERROR(LEFT(K1164,             FIND(",", K1164) - 1), "-")</f>
        <v/>
      </c>
      <c r="M1164">
        <f>IFERROR(MID(K1164,             FIND(",", K1164) + 1, LEN(K1164) - FIND(",", K1164)), K1164)</f>
        <v/>
      </c>
      <c r="N1164" t="n">
        <v>5</v>
      </c>
      <c r="P1164" t="inlineStr">
        <is>
          <t>13:00</t>
        </is>
      </c>
      <c r="Q1164" t="inlineStr">
        <is>
          <t>15:30</t>
        </is>
      </c>
    </row>
    <row r="1165">
      <c r="A1165" t="inlineStr">
        <is>
          <t>和田 清佳</t>
        </is>
      </c>
      <c r="B1165" t="inlineStr">
        <is>
          <t>TCNZ001:社内業務等</t>
        </is>
      </c>
      <c r="D1165">
        <f>L1165</f>
        <v/>
      </c>
      <c r="E1165">
        <f>SUMIFS(J:J, G:G,             A1165, H:H, B1165, L:L, L1165)</f>
        <v/>
      </c>
      <c r="F1165" t="inlineStr">
        <is>
          <t>O-38</t>
        </is>
      </c>
      <c r="G1165" t="inlineStr">
        <is>
          <t>和田 清佳</t>
        </is>
      </c>
      <c r="H1165" t="inlineStr">
        <is>
          <t>TCNZ001:社内業務等</t>
        </is>
      </c>
      <c r="I1165" s="1" t="n">
        <v>45947</v>
      </c>
      <c r="J1165" t="n">
        <v>1</v>
      </c>
      <c r="K1165" t="inlineStr">
        <is>
          <t>調査,Indexの差分調査</t>
        </is>
      </c>
      <c r="L1165">
        <f>IFERROR(LEFT(K1165,             FIND(",", K1165) - 1), "-")</f>
        <v/>
      </c>
      <c r="M1165">
        <f>IFERROR(MID(K1165,             FIND(",", K1165) + 1, LEN(K1165) - FIND(",", K1165)), K1165)</f>
        <v/>
      </c>
      <c r="N1165" t="n">
        <v>5</v>
      </c>
      <c r="P1165" t="inlineStr">
        <is>
          <t>13:30</t>
        </is>
      </c>
      <c r="Q1165" t="inlineStr">
        <is>
          <t>14:30</t>
        </is>
      </c>
    </row>
    <row r="1166">
      <c r="A1166" t="inlineStr">
        <is>
          <t>和田 清佳</t>
        </is>
      </c>
      <c r="B1166" t="inlineStr">
        <is>
          <t>TCNZ001:社内業務等</t>
        </is>
      </c>
      <c r="D1166">
        <f>L1166</f>
        <v/>
      </c>
      <c r="E1166">
        <f>SUMIFS(J:J, G:G,             A1166, H:H, B1166, L:L, L1166)</f>
        <v/>
      </c>
      <c r="F1166" t="inlineStr">
        <is>
          <t>O-38</t>
        </is>
      </c>
      <c r="G1166" t="inlineStr">
        <is>
          <t>和田 清佳</t>
        </is>
      </c>
      <c r="H1166" t="inlineStr">
        <is>
          <t>TCNZ001:社内業務等</t>
        </is>
      </c>
      <c r="I1166" s="1" t="n">
        <v>45952</v>
      </c>
      <c r="J1166" t="n">
        <v>1</v>
      </c>
      <c r="K1166" t="inlineStr">
        <is>
          <t>調査,Indexの差分調査</t>
        </is>
      </c>
      <c r="L1166">
        <f>IFERROR(LEFT(K1166,             FIND(",", K1166) - 1), "-")</f>
        <v/>
      </c>
      <c r="M1166">
        <f>IFERROR(MID(K1166,             FIND(",", K1166) + 1, LEN(K1166) - FIND(",", K1166)), K1166)</f>
        <v/>
      </c>
      <c r="N1166" t="n">
        <v>5</v>
      </c>
      <c r="P1166" t="inlineStr">
        <is>
          <t>13:30</t>
        </is>
      </c>
      <c r="Q1166" t="inlineStr">
        <is>
          <t>14:30</t>
        </is>
      </c>
    </row>
    <row r="1167">
      <c r="A1167" t="inlineStr">
        <is>
          <t>和田 清佳</t>
        </is>
      </c>
      <c r="B1167" t="inlineStr">
        <is>
          <t>TCNZ001:社内業務等</t>
        </is>
      </c>
      <c r="D1167">
        <f>L1167</f>
        <v/>
      </c>
      <c r="E1167">
        <f>SUMIFS(J:J, G:G,             A1167, H:H, B1167, L:L, L1167)</f>
        <v/>
      </c>
      <c r="F1167" t="inlineStr">
        <is>
          <t>O-38</t>
        </is>
      </c>
      <c r="G1167" t="inlineStr">
        <is>
          <t>和田 清佳</t>
        </is>
      </c>
      <c r="H1167" t="inlineStr">
        <is>
          <t>TCNZ001:社内業務等</t>
        </is>
      </c>
      <c r="I1167" s="1" t="n">
        <v>45938</v>
      </c>
      <c r="J1167" t="n">
        <v>1.5</v>
      </c>
      <c r="K1167" t="inlineStr">
        <is>
          <t>調査,index差分調査(操作ログ)</t>
        </is>
      </c>
      <c r="L1167">
        <f>IFERROR(LEFT(K1167,             FIND(",", K1167) - 1), "-")</f>
        <v/>
      </c>
      <c r="M1167">
        <f>IFERROR(MID(K1167,             FIND(",", K1167) + 1, LEN(K1167) - FIND(",", K1167)), K1167)</f>
        <v/>
      </c>
      <c r="N1167" t="n">
        <v>5</v>
      </c>
      <c r="P1167" t="inlineStr">
        <is>
          <t>13:00</t>
        </is>
      </c>
      <c r="Q1167" t="inlineStr">
        <is>
          <t>14:30</t>
        </is>
      </c>
    </row>
    <row r="1168">
      <c r="A1168" t="inlineStr">
        <is>
          <t>和田 清佳</t>
        </is>
      </c>
      <c r="B1168" t="inlineStr">
        <is>
          <t>TCNZ001:社内業務等</t>
        </is>
      </c>
      <c r="D1168">
        <f>L1168</f>
        <v/>
      </c>
      <c r="E1168">
        <f>SUMIFS(J:J, G:G,             A1168, H:H, B1168, L:L, L1168)</f>
        <v/>
      </c>
      <c r="F1168" t="inlineStr">
        <is>
          <t>O-38</t>
        </is>
      </c>
      <c r="G1168" t="inlineStr">
        <is>
          <t>和田 清佳</t>
        </is>
      </c>
      <c r="H1168" t="inlineStr">
        <is>
          <t>TCNZ001:社内業務等</t>
        </is>
      </c>
      <c r="I1168" s="1" t="n">
        <v>45938</v>
      </c>
      <c r="J1168" t="n">
        <v>0.5</v>
      </c>
      <c r="K1168" t="inlineStr">
        <is>
          <t>調査,ディレクトリ情報整理</t>
        </is>
      </c>
      <c r="L1168">
        <f>IFERROR(LEFT(K1168,             FIND(",", K1168) - 1), "-")</f>
        <v/>
      </c>
      <c r="M1168">
        <f>IFERROR(MID(K1168,             FIND(",", K1168) + 1, LEN(K1168) - FIND(",", K1168)), K1168)</f>
        <v/>
      </c>
      <c r="N1168" t="n">
        <v>5</v>
      </c>
      <c r="P1168" t="inlineStr">
        <is>
          <t>15:00</t>
        </is>
      </c>
      <c r="Q1168" t="inlineStr">
        <is>
          <t>15:30</t>
        </is>
      </c>
    </row>
    <row r="1169">
      <c r="A1169" t="inlineStr">
        <is>
          <t>和田 清佳</t>
        </is>
      </c>
      <c r="B1169" t="inlineStr">
        <is>
          <t>TCNZ001:社内業務等</t>
        </is>
      </c>
      <c r="D1169">
        <f>L1169</f>
        <v/>
      </c>
      <c r="E1169">
        <f>SUMIFS(J:J, G:G,             A1169, H:H, B1169, L:L, L1169)</f>
        <v/>
      </c>
      <c r="F1169" t="inlineStr">
        <is>
          <t>O-38</t>
        </is>
      </c>
      <c r="G1169" t="inlineStr">
        <is>
          <t>和田 清佳</t>
        </is>
      </c>
      <c r="H1169" t="inlineStr">
        <is>
          <t>TCNZ001:社内業務等</t>
        </is>
      </c>
      <c r="I1169" s="1" t="n">
        <v>45945</v>
      </c>
      <c r="J1169" t="n">
        <v>1.5</v>
      </c>
      <c r="K1169" t="inlineStr">
        <is>
          <t>調査,口振データ読込の仕様確認</t>
        </is>
      </c>
      <c r="L1169">
        <f>IFERROR(LEFT(K1169,             FIND(",", K1169) - 1), "-")</f>
        <v/>
      </c>
      <c r="M1169">
        <f>IFERROR(MID(K1169,             FIND(",", K1169) + 1, LEN(K1169) - FIND(",", K1169)), K1169)</f>
        <v/>
      </c>
      <c r="N1169" t="n">
        <v>5</v>
      </c>
      <c r="P1169" t="inlineStr">
        <is>
          <t>10:30</t>
        </is>
      </c>
      <c r="Q1169" t="inlineStr">
        <is>
          <t>12:00</t>
        </is>
      </c>
    </row>
    <row r="1170">
      <c r="A1170" t="inlineStr">
        <is>
          <t>和田 清佳</t>
        </is>
      </c>
      <c r="B1170" t="inlineStr">
        <is>
          <t>TCNZ001:社内業務等</t>
        </is>
      </c>
      <c r="D1170">
        <f>L1170</f>
        <v/>
      </c>
      <c r="E1170">
        <f>SUMIFS(J:J, G:G,             A1170, H:H, B1170, L:L, L1170)</f>
        <v/>
      </c>
      <c r="F1170" t="inlineStr">
        <is>
          <t>O-38</t>
        </is>
      </c>
      <c r="G1170" t="inlineStr">
        <is>
          <t>和田 清佳</t>
        </is>
      </c>
      <c r="H1170" t="inlineStr">
        <is>
          <t>TCNZ001:社内業務等</t>
        </is>
      </c>
      <c r="I1170" s="1" t="n">
        <v>45945</v>
      </c>
      <c r="J1170" t="n">
        <v>0.5</v>
      </c>
      <c r="K1170" t="inlineStr">
        <is>
          <t>調査,口振データ読込の仕様確認</t>
        </is>
      </c>
      <c r="L1170">
        <f>IFERROR(LEFT(K1170,             FIND(",", K1170) - 1), "-")</f>
        <v/>
      </c>
      <c r="M1170">
        <f>IFERROR(MID(K1170,             FIND(",", K1170) + 1, LEN(K1170) - FIND(",", K1170)), K1170)</f>
        <v/>
      </c>
      <c r="N1170" t="n">
        <v>5</v>
      </c>
      <c r="P1170" t="inlineStr">
        <is>
          <t>14:00</t>
        </is>
      </c>
      <c r="Q1170" t="inlineStr">
        <is>
          <t>14:30</t>
        </is>
      </c>
    </row>
    <row r="1171">
      <c r="A1171" t="inlineStr">
        <is>
          <t>和田 清佳</t>
        </is>
      </c>
      <c r="B1171" t="inlineStr">
        <is>
          <t>TCNZ001:社内業務等</t>
        </is>
      </c>
      <c r="D1171">
        <f>L1171</f>
        <v/>
      </c>
      <c r="E1171">
        <f>SUMIFS(J:J, G:G,             A1171, H:H, B1171, L:L, L1171)</f>
        <v/>
      </c>
      <c r="F1171" t="inlineStr">
        <is>
          <t>O-38</t>
        </is>
      </c>
      <c r="G1171" t="inlineStr">
        <is>
          <t>和田 清佳</t>
        </is>
      </c>
      <c r="H1171" t="inlineStr">
        <is>
          <t>TCNZ001:社内業務等</t>
        </is>
      </c>
      <c r="I1171" s="1" t="n">
        <v>45931</v>
      </c>
      <c r="J1171" t="n">
        <v>1.5</v>
      </c>
      <c r="K1171" t="inlineStr">
        <is>
          <t>調査,口振データ読込動作確認</t>
        </is>
      </c>
      <c r="L1171">
        <f>IFERROR(LEFT(K1171,             FIND(",", K1171) - 1), "-")</f>
        <v/>
      </c>
      <c r="M1171">
        <f>IFERROR(MID(K1171,             FIND(",", K1171) + 1, LEN(K1171) - FIND(",", K1171)), K1171)</f>
        <v/>
      </c>
      <c r="N1171" t="n">
        <v>5</v>
      </c>
      <c r="P1171" t="inlineStr">
        <is>
          <t>13:00</t>
        </is>
      </c>
      <c r="Q1171" t="inlineStr">
        <is>
          <t>14:30</t>
        </is>
      </c>
    </row>
    <row r="1172">
      <c r="A1172" t="inlineStr">
        <is>
          <t>和田 清佳</t>
        </is>
      </c>
      <c r="B1172" t="inlineStr">
        <is>
          <t>TCNZ001:社内業務等</t>
        </is>
      </c>
      <c r="D1172">
        <f>L1172</f>
        <v/>
      </c>
      <c r="E1172">
        <f>SUMIFS(J:J, G:G,             A1172, H:H, B1172, L:L, L1172)</f>
        <v/>
      </c>
      <c r="F1172" t="inlineStr">
        <is>
          <t>O-38</t>
        </is>
      </c>
      <c r="G1172" t="inlineStr">
        <is>
          <t>和田 清佳</t>
        </is>
      </c>
      <c r="H1172" t="inlineStr">
        <is>
          <t>TCNZ001:社内業務等</t>
        </is>
      </c>
      <c r="I1172" s="1" t="n">
        <v>45932</v>
      </c>
      <c r="J1172" t="n">
        <v>1</v>
      </c>
      <c r="K1172" t="inlineStr">
        <is>
          <t>調査,口振データ読込動作確認</t>
        </is>
      </c>
      <c r="L1172">
        <f>IFERROR(LEFT(K1172,             FIND(",", K1172) - 1), "-")</f>
        <v/>
      </c>
      <c r="M1172">
        <f>IFERROR(MID(K1172,             FIND(",", K1172) + 1, LEN(K1172) - FIND(",", K1172)), K1172)</f>
        <v/>
      </c>
      <c r="N1172" t="n">
        <v>5</v>
      </c>
      <c r="P1172" t="inlineStr">
        <is>
          <t>14:00</t>
        </is>
      </c>
      <c r="Q1172" t="inlineStr">
        <is>
          <t>15:00</t>
        </is>
      </c>
    </row>
    <row r="1173">
      <c r="A1173" t="inlineStr">
        <is>
          <t>和田 清佳</t>
        </is>
      </c>
      <c r="B1173" t="inlineStr">
        <is>
          <t>TCNZ001:社内業務等</t>
        </is>
      </c>
      <c r="D1173">
        <f>L1173</f>
        <v/>
      </c>
      <c r="E1173">
        <f>SUMIFS(J:J, G:G,             A1173, H:H, B1173, L:L, L1173)</f>
        <v/>
      </c>
      <c r="F1173" t="inlineStr">
        <is>
          <t>O-38</t>
        </is>
      </c>
      <c r="G1173" t="inlineStr">
        <is>
          <t>和田 清佳</t>
        </is>
      </c>
      <c r="H1173" t="inlineStr">
        <is>
          <t>TCNZ001:社内業務等</t>
        </is>
      </c>
      <c r="I1173" s="1" t="n">
        <v>45933</v>
      </c>
      <c r="J1173" t="n">
        <v>2</v>
      </c>
      <c r="K1173" t="inlineStr">
        <is>
          <t>調査,口振データ読込動作確認</t>
        </is>
      </c>
      <c r="L1173">
        <f>IFERROR(LEFT(K1173,             FIND(",", K1173) - 1), "-")</f>
        <v/>
      </c>
      <c r="M1173">
        <f>IFERROR(MID(K1173,             FIND(",", K1173) + 1, LEN(K1173) - FIND(",", K1173)), K1173)</f>
        <v/>
      </c>
      <c r="N1173" t="n">
        <v>5</v>
      </c>
      <c r="P1173" t="inlineStr">
        <is>
          <t>10:00</t>
        </is>
      </c>
      <c r="Q1173" t="inlineStr">
        <is>
          <t>12:00</t>
        </is>
      </c>
    </row>
    <row r="1174">
      <c r="A1174" t="inlineStr">
        <is>
          <t>和田 清佳</t>
        </is>
      </c>
      <c r="B1174" t="inlineStr">
        <is>
          <t>TCNZ001:社内業務等</t>
        </is>
      </c>
      <c r="D1174">
        <f>L1174</f>
        <v/>
      </c>
      <c r="E1174">
        <f>SUMIFS(J:J, G:G,             A1174, H:H, B1174, L:L, L1174)</f>
        <v/>
      </c>
      <c r="F1174" t="inlineStr">
        <is>
          <t>O-38</t>
        </is>
      </c>
      <c r="G1174" t="inlineStr">
        <is>
          <t>和田 清佳</t>
        </is>
      </c>
      <c r="H1174" t="inlineStr">
        <is>
          <t>TCNZ001:社内業務等</t>
        </is>
      </c>
      <c r="I1174" s="1" t="n">
        <v>45947</v>
      </c>
      <c r="J1174" t="n">
        <v>1</v>
      </c>
      <c r="K1174" t="inlineStr">
        <is>
          <t>調査,役割設定（関連テーブル）</t>
        </is>
      </c>
      <c r="L1174">
        <f>IFERROR(LEFT(K1174,             FIND(",", K1174) - 1), "-")</f>
        <v/>
      </c>
      <c r="M1174">
        <f>IFERROR(MID(K1174,             FIND(",", K1174) + 1, LEN(K1174) - FIND(",", K1174)), K1174)</f>
        <v/>
      </c>
      <c r="N1174" t="n">
        <v>5</v>
      </c>
      <c r="P1174" t="inlineStr">
        <is>
          <t>14:30</t>
        </is>
      </c>
      <c r="Q1174" t="inlineStr">
        <is>
          <t>15:30</t>
        </is>
      </c>
    </row>
    <row r="1175">
      <c r="A1175" t="inlineStr">
        <is>
          <t>和田 清佳</t>
        </is>
      </c>
      <c r="B1175" t="inlineStr">
        <is>
          <t>TCNZ001:社内業務等</t>
        </is>
      </c>
      <c r="D1175">
        <f>L1175</f>
        <v/>
      </c>
      <c r="E1175">
        <f>SUMIFS(J:J, G:G,             A1175, H:H, B1175, L:L, L1175)</f>
        <v/>
      </c>
      <c r="F1175" t="inlineStr">
        <is>
          <t>O-38</t>
        </is>
      </c>
      <c r="G1175" t="inlineStr">
        <is>
          <t>和田 清佳</t>
        </is>
      </c>
      <c r="H1175" t="inlineStr">
        <is>
          <t>TCNZ001:社内業務等</t>
        </is>
      </c>
      <c r="I1175" s="1" t="n">
        <v>45939</v>
      </c>
      <c r="J1175" t="n">
        <v>1.5</v>
      </c>
      <c r="K1175" t="inlineStr">
        <is>
          <t>調査,退会処理時の口振データ作成</t>
        </is>
      </c>
      <c r="L1175">
        <f>IFERROR(LEFT(K1175,             FIND(",", K1175) - 1), "-")</f>
        <v/>
      </c>
      <c r="M1175">
        <f>IFERROR(MID(K1175,             FIND(",", K1175) + 1, LEN(K1175) - FIND(",", K1175)), K1175)</f>
        <v/>
      </c>
      <c r="N1175" t="n">
        <v>5</v>
      </c>
      <c r="P1175" t="inlineStr">
        <is>
          <t>14:00</t>
        </is>
      </c>
      <c r="Q1175" t="inlineStr">
        <is>
          <t>15:30</t>
        </is>
      </c>
    </row>
    <row r="1176">
      <c r="A1176" t="inlineStr">
        <is>
          <t>和田 清佳</t>
        </is>
      </c>
      <c r="B1176" t="inlineStr">
        <is>
          <t>TCNZ001:社内業務等</t>
        </is>
      </c>
      <c r="D1176">
        <f>L1176</f>
        <v/>
      </c>
      <c r="E1176">
        <f>SUMIFS(J:J, G:G,             A1176, H:H, B1176, L:L, L1176)</f>
        <v/>
      </c>
      <c r="F1176" t="inlineStr">
        <is>
          <t>O-38</t>
        </is>
      </c>
      <c r="G1176" t="inlineStr">
        <is>
          <t>和田 清佳</t>
        </is>
      </c>
      <c r="H1176" t="inlineStr">
        <is>
          <t>TCNZ001:社内業務等</t>
        </is>
      </c>
      <c r="I1176" s="1" t="n">
        <v>45940</v>
      </c>
      <c r="J1176" t="n">
        <v>1</v>
      </c>
      <c r="K1176" t="inlineStr">
        <is>
          <t>調査,退会処理時の口振データ作成</t>
        </is>
      </c>
      <c r="L1176">
        <f>IFERROR(LEFT(K1176,             FIND(",", K1176) - 1), "-")</f>
        <v/>
      </c>
      <c r="M1176">
        <f>IFERROR(MID(K1176,             FIND(",", K1176) + 1, LEN(K1176) - FIND(",", K1176)), K1176)</f>
        <v/>
      </c>
      <c r="N1176" t="n">
        <v>5</v>
      </c>
      <c r="P1176" t="inlineStr">
        <is>
          <t>14:30</t>
        </is>
      </c>
      <c r="Q1176" t="inlineStr">
        <is>
          <t>15:30</t>
        </is>
      </c>
    </row>
    <row r="1177">
      <c r="A1177" t="inlineStr">
        <is>
          <t>垂見 文子</t>
        </is>
      </c>
      <c r="B1177" t="inlineStr">
        <is>
          <t>JECS001:日本教育クリエイトサポート</t>
        </is>
      </c>
      <c r="C1177">
        <f>SUMIFS(J:J, G:G,             A1177, H:H, B1177)</f>
        <v/>
      </c>
      <c r="D1177">
        <f>L1177</f>
        <v/>
      </c>
      <c r="E1177">
        <f>SUMIFS(J:J, G:G,             A1177, H:H, B1177, L:L, L1177)</f>
        <v/>
      </c>
      <c r="F1177" t="inlineStr">
        <is>
          <t>45</t>
        </is>
      </c>
      <c r="G1177" t="inlineStr">
        <is>
          <t>垂見 文子</t>
        </is>
      </c>
      <c r="H1177" t="inlineStr">
        <is>
          <t>JECS001:日本教育クリエイトサポート</t>
        </is>
      </c>
      <c r="I1177" s="1" t="n">
        <v>45932</v>
      </c>
      <c r="J1177" t="n">
        <v>2</v>
      </c>
      <c r="L1177">
        <f>IFERROR(LEFT(K1177,             FIND(",", K1177) - 1), "-")</f>
        <v/>
      </c>
      <c r="M1177">
        <f>IFERROR(MID(K1177,             FIND(",", K1177) + 1, LEN(K1177) - FIND(",", K1177)), K1177)</f>
        <v/>
      </c>
      <c r="N1177" t="n">
        <v>3</v>
      </c>
      <c r="P1177" t="inlineStr">
        <is>
          <t>13:00</t>
        </is>
      </c>
      <c r="Q1177" t="inlineStr">
        <is>
          <t>15:00</t>
        </is>
      </c>
    </row>
    <row r="1178">
      <c r="A1178" t="inlineStr">
        <is>
          <t>垂見 文子</t>
        </is>
      </c>
      <c r="B1178" t="inlineStr">
        <is>
          <t>JECS001:日本教育クリエイトサポート</t>
        </is>
      </c>
      <c r="D1178">
        <f>L1178</f>
        <v/>
      </c>
      <c r="E1178">
        <f>SUMIFS(J:J, G:G,             A1178, H:H, B1178, L:L, L1178)</f>
        <v/>
      </c>
      <c r="F1178" t="inlineStr">
        <is>
          <t>45</t>
        </is>
      </c>
      <c r="G1178" t="inlineStr">
        <is>
          <t>垂見 文子</t>
        </is>
      </c>
      <c r="H1178" t="inlineStr">
        <is>
          <t>JECS001:日本教育クリエイトサポート</t>
        </is>
      </c>
      <c r="I1178" s="1" t="n">
        <v>45938</v>
      </c>
      <c r="J1178" t="n">
        <v>0.5</v>
      </c>
      <c r="L1178">
        <f>IFERROR(LEFT(K1178,             FIND(",", K1178) - 1), "-")</f>
        <v/>
      </c>
      <c r="M1178">
        <f>IFERROR(MID(K1178,             FIND(",", K1178) + 1, LEN(K1178) - FIND(",", K1178)), K1178)</f>
        <v/>
      </c>
      <c r="N1178" t="n">
        <v>3</v>
      </c>
      <c r="P1178" t="inlineStr">
        <is>
          <t>19:00</t>
        </is>
      </c>
      <c r="Q1178" t="inlineStr">
        <is>
          <t>19:30</t>
        </is>
      </c>
    </row>
    <row r="1179">
      <c r="A1179" t="inlineStr">
        <is>
          <t>垂見 文子</t>
        </is>
      </c>
      <c r="B1179" t="inlineStr">
        <is>
          <t>JECS001:日本教育クリエイトサポート</t>
        </is>
      </c>
      <c r="D1179">
        <f>L1179</f>
        <v/>
      </c>
      <c r="E1179">
        <f>SUMIFS(J:J, G:G,             A1179, H:H, B1179, L:L, L1179)</f>
        <v/>
      </c>
      <c r="F1179" t="inlineStr">
        <is>
          <t>45</t>
        </is>
      </c>
      <c r="G1179" t="inlineStr">
        <is>
          <t>垂見 文子</t>
        </is>
      </c>
      <c r="H1179" t="inlineStr">
        <is>
          <t>JECS001:日本教育クリエイトサポート</t>
        </is>
      </c>
      <c r="I1179" s="1" t="n">
        <v>45946</v>
      </c>
      <c r="J1179" t="n">
        <v>2</v>
      </c>
      <c r="L1179">
        <f>IFERROR(LEFT(K1179,             FIND(",", K1179) - 1), "-")</f>
        <v/>
      </c>
      <c r="M1179">
        <f>IFERROR(MID(K1179,             FIND(",", K1179) + 1, LEN(K1179) - FIND(",", K1179)), K1179)</f>
        <v/>
      </c>
      <c r="N1179" t="n">
        <v>3</v>
      </c>
      <c r="P1179" t="inlineStr">
        <is>
          <t>09:00</t>
        </is>
      </c>
      <c r="Q1179" t="inlineStr">
        <is>
          <t>11:00</t>
        </is>
      </c>
    </row>
    <row r="1180">
      <c r="A1180" t="inlineStr">
        <is>
          <t>垂見 文子</t>
        </is>
      </c>
      <c r="B1180" t="inlineStr">
        <is>
          <t>JECS001:日本教育クリエイトサポート</t>
        </is>
      </c>
      <c r="D1180">
        <f>L1180</f>
        <v/>
      </c>
      <c r="E1180">
        <f>SUMIFS(J:J, G:G,             A1180, H:H, B1180, L:L, L1180)</f>
        <v/>
      </c>
      <c r="F1180" t="inlineStr">
        <is>
          <t>45</t>
        </is>
      </c>
      <c r="G1180" t="inlineStr">
        <is>
          <t>垂見 文子</t>
        </is>
      </c>
      <c r="H1180" t="inlineStr">
        <is>
          <t>JECS001:日本教育クリエイトサポート</t>
        </is>
      </c>
      <c r="I1180" s="1" t="n">
        <v>45950</v>
      </c>
      <c r="J1180" t="n">
        <v>1</v>
      </c>
      <c r="L1180">
        <f>IFERROR(LEFT(K1180,             FIND(",", K1180) - 1), "-")</f>
        <v/>
      </c>
      <c r="M1180">
        <f>IFERROR(MID(K1180,             FIND(",", K1180) + 1, LEN(K1180) - FIND(",", K1180)), K1180)</f>
        <v/>
      </c>
      <c r="N1180" t="n">
        <v>3</v>
      </c>
      <c r="P1180" t="inlineStr">
        <is>
          <t>17:00</t>
        </is>
      </c>
      <c r="Q1180" t="inlineStr">
        <is>
          <t>18:00</t>
        </is>
      </c>
    </row>
    <row r="1181">
      <c r="A1181" t="inlineStr">
        <is>
          <t>垂見 文子</t>
        </is>
      </c>
      <c r="B1181" t="inlineStr">
        <is>
          <t>JECS001:日本教育クリエイトサポート</t>
        </is>
      </c>
      <c r="D1181">
        <f>L1181</f>
        <v/>
      </c>
      <c r="E1181">
        <f>SUMIFS(J:J, G:G,             A1181, H:H, B1181, L:L, L1181)</f>
        <v/>
      </c>
      <c r="F1181" t="inlineStr">
        <is>
          <t>45</t>
        </is>
      </c>
      <c r="G1181" t="inlineStr">
        <is>
          <t>垂見 文子</t>
        </is>
      </c>
      <c r="H1181" t="inlineStr">
        <is>
          <t>JECS001:日本教育クリエイトサポート</t>
        </is>
      </c>
      <c r="I1181" s="1" t="n">
        <v>45951</v>
      </c>
      <c r="J1181" t="n">
        <v>0.5</v>
      </c>
      <c r="L1181">
        <f>IFERROR(LEFT(K1181,             FIND(",", K1181) - 1), "-")</f>
        <v/>
      </c>
      <c r="M1181">
        <f>IFERROR(MID(K1181,             FIND(",", K1181) + 1, LEN(K1181) - FIND(",", K1181)), K1181)</f>
        <v/>
      </c>
      <c r="N1181" t="n">
        <v>3</v>
      </c>
      <c r="P1181" t="inlineStr">
        <is>
          <t>17:30</t>
        </is>
      </c>
      <c r="Q1181" t="inlineStr">
        <is>
          <t>18:00</t>
        </is>
      </c>
    </row>
    <row r="1182">
      <c r="A1182" t="inlineStr">
        <is>
          <t>垂見 文子</t>
        </is>
      </c>
      <c r="B1182" t="inlineStr">
        <is>
          <t>JECS001:日本教育クリエイトサポート</t>
        </is>
      </c>
      <c r="D1182">
        <f>L1182</f>
        <v/>
      </c>
      <c r="E1182">
        <f>SUMIFS(J:J, G:G,             A1182, H:H, B1182, L:L, L1182)</f>
        <v/>
      </c>
      <c r="F1182" t="inlineStr">
        <is>
          <t>45</t>
        </is>
      </c>
      <c r="G1182" t="inlineStr">
        <is>
          <t>垂見 文子</t>
        </is>
      </c>
      <c r="H1182" t="inlineStr">
        <is>
          <t>JECS001:日本教育クリエイトサポート</t>
        </is>
      </c>
      <c r="I1182" s="1" t="n">
        <v>45952</v>
      </c>
      <c r="J1182" t="n">
        <v>1.5</v>
      </c>
      <c r="L1182">
        <f>IFERROR(LEFT(K1182,             FIND(",", K1182) - 1), "-")</f>
        <v/>
      </c>
      <c r="M1182">
        <f>IFERROR(MID(K1182,             FIND(",", K1182) + 1, LEN(K1182) - FIND(",", K1182)), K1182)</f>
        <v/>
      </c>
      <c r="N1182" t="n">
        <v>3</v>
      </c>
      <c r="P1182" t="inlineStr">
        <is>
          <t>13:30</t>
        </is>
      </c>
      <c r="Q1182" t="inlineStr">
        <is>
          <t>15:00</t>
        </is>
      </c>
    </row>
    <row r="1183">
      <c r="A1183" t="inlineStr">
        <is>
          <t>垂見 文子</t>
        </is>
      </c>
      <c r="B1183" t="inlineStr">
        <is>
          <t>MSFs001:武蔵野市福祉公社 サポート</t>
        </is>
      </c>
      <c r="C1183">
        <f>SUMIFS(J:J, G:G,             A1183, H:H, B1183)</f>
        <v/>
      </c>
      <c r="D1183">
        <f>L1183</f>
        <v/>
      </c>
      <c r="E1183">
        <f>SUMIFS(J:J, G:G,             A1183, H:H, B1183, L:L, L1183)</f>
        <v/>
      </c>
      <c r="F1183" t="inlineStr">
        <is>
          <t>45</t>
        </is>
      </c>
      <c r="G1183" t="inlineStr">
        <is>
          <t>垂見 文子</t>
        </is>
      </c>
      <c r="H1183" t="inlineStr">
        <is>
          <t>MSFs001:武蔵野市福祉公社 サポート</t>
        </is>
      </c>
      <c r="I1183" s="1" t="n">
        <v>45931</v>
      </c>
      <c r="J1183" t="n">
        <v>2</v>
      </c>
      <c r="L1183">
        <f>IFERROR(LEFT(K1183,             FIND(",", K1183) - 1), "-")</f>
        <v/>
      </c>
      <c r="M1183">
        <f>IFERROR(MID(K1183,             FIND(",", K1183) + 1, LEN(K1183) - FIND(",", K1183)), K1183)</f>
        <v/>
      </c>
      <c r="N1183" t="n">
        <v>3</v>
      </c>
      <c r="P1183" t="inlineStr">
        <is>
          <t>13:00</t>
        </is>
      </c>
      <c r="Q1183" t="inlineStr">
        <is>
          <t>15:00</t>
        </is>
      </c>
    </row>
    <row r="1184">
      <c r="A1184" t="inlineStr">
        <is>
          <t>垂見 文子</t>
        </is>
      </c>
      <c r="B1184" t="inlineStr">
        <is>
          <t>MSFs001:武蔵野市福祉公社 サポート</t>
        </is>
      </c>
      <c r="D1184">
        <f>L1184</f>
        <v/>
      </c>
      <c r="E1184">
        <f>SUMIFS(J:J, G:G,             A1184, H:H, B1184, L:L, L1184)</f>
        <v/>
      </c>
      <c r="F1184" t="inlineStr">
        <is>
          <t>45</t>
        </is>
      </c>
      <c r="G1184" t="inlineStr">
        <is>
          <t>垂見 文子</t>
        </is>
      </c>
      <c r="H1184" t="inlineStr">
        <is>
          <t>MSFs001:武蔵野市福祉公社 サポート</t>
        </is>
      </c>
      <c r="I1184" s="1" t="n">
        <v>45945</v>
      </c>
      <c r="J1184" t="n">
        <v>0.5</v>
      </c>
      <c r="L1184">
        <f>IFERROR(LEFT(K1184,             FIND(",", K1184) - 1), "-")</f>
        <v/>
      </c>
      <c r="M1184">
        <f>IFERROR(MID(K1184,             FIND(",", K1184) + 1, LEN(K1184) - FIND(",", K1184)), K1184)</f>
        <v/>
      </c>
      <c r="N1184" t="n">
        <v>3</v>
      </c>
      <c r="P1184" t="inlineStr">
        <is>
          <t>12:00</t>
        </is>
      </c>
      <c r="Q1184" t="inlineStr">
        <is>
          <t>12:30</t>
        </is>
      </c>
    </row>
    <row r="1185">
      <c r="A1185" t="inlineStr">
        <is>
          <t>垂見 文子</t>
        </is>
      </c>
      <c r="B1185" t="inlineStr">
        <is>
          <t>MSFs001:武蔵野市福祉公社 サポート</t>
        </is>
      </c>
      <c r="D1185">
        <f>L1185</f>
        <v/>
      </c>
      <c r="E1185">
        <f>SUMIFS(J:J, G:G,             A1185, H:H, B1185, L:L, L1185)</f>
        <v/>
      </c>
      <c r="F1185" t="inlineStr">
        <is>
          <t>45</t>
        </is>
      </c>
      <c r="G1185" t="inlineStr">
        <is>
          <t>垂見 文子</t>
        </is>
      </c>
      <c r="H1185" t="inlineStr">
        <is>
          <t>MSFs001:武蔵野市福祉公社 サポート</t>
        </is>
      </c>
      <c r="I1185" s="1" t="n">
        <v>45946</v>
      </c>
      <c r="J1185" t="n">
        <v>0.5</v>
      </c>
      <c r="L1185">
        <f>IFERROR(LEFT(K1185,             FIND(",", K1185) - 1), "-")</f>
        <v/>
      </c>
      <c r="M1185">
        <f>IFERROR(MID(K1185,             FIND(",", K1185) + 1, LEN(K1185) - FIND(",", K1185)), K1185)</f>
        <v/>
      </c>
      <c r="N1185" t="n">
        <v>3</v>
      </c>
      <c r="P1185" t="inlineStr">
        <is>
          <t>11:00</t>
        </is>
      </c>
      <c r="Q1185" t="inlineStr">
        <is>
          <t>11:30</t>
        </is>
      </c>
    </row>
    <row r="1186">
      <c r="A1186" t="inlineStr">
        <is>
          <t>垂見 文子</t>
        </is>
      </c>
      <c r="B1186" t="inlineStr">
        <is>
          <t>MSFs001:武蔵野市福祉公社 サポート</t>
        </is>
      </c>
      <c r="D1186">
        <f>L1186</f>
        <v/>
      </c>
      <c r="E1186">
        <f>SUMIFS(J:J, G:G,             A1186, H:H, B1186, L:L, L1186)</f>
        <v/>
      </c>
      <c r="F1186" t="inlineStr">
        <is>
          <t>45</t>
        </is>
      </c>
      <c r="G1186" t="inlineStr">
        <is>
          <t>垂見 文子</t>
        </is>
      </c>
      <c r="H1186" t="inlineStr">
        <is>
          <t>MSFs001:武蔵野市福祉公社 サポート</t>
        </is>
      </c>
      <c r="I1186" s="1" t="n">
        <v>45947</v>
      </c>
      <c r="J1186" t="n">
        <v>1.5</v>
      </c>
      <c r="L1186">
        <f>IFERROR(LEFT(K1186,             FIND(",", K1186) - 1), "-")</f>
        <v/>
      </c>
      <c r="M1186">
        <f>IFERROR(MID(K1186,             FIND(",", K1186) + 1, LEN(K1186) - FIND(",", K1186)), K1186)</f>
        <v/>
      </c>
      <c r="N1186" t="n">
        <v>3</v>
      </c>
      <c r="P1186" t="inlineStr">
        <is>
          <t>09:30</t>
        </is>
      </c>
      <c r="Q1186" t="inlineStr">
        <is>
          <t>11:00</t>
        </is>
      </c>
    </row>
    <row r="1187">
      <c r="A1187" t="inlineStr">
        <is>
          <t>垂見 文子</t>
        </is>
      </c>
      <c r="B1187" t="inlineStr">
        <is>
          <t>MSFs001:武蔵野市福祉公社 サポート</t>
        </is>
      </c>
      <c r="D1187">
        <f>L1187</f>
        <v/>
      </c>
      <c r="E1187">
        <f>SUMIFS(J:J, G:G,             A1187, H:H, B1187, L:L, L1187)</f>
        <v/>
      </c>
      <c r="F1187" t="inlineStr">
        <is>
          <t>45</t>
        </is>
      </c>
      <c r="G1187" t="inlineStr">
        <is>
          <t>垂見 文子</t>
        </is>
      </c>
      <c r="H1187" t="inlineStr">
        <is>
          <t>MSFs001:武蔵野市福祉公社 サポート</t>
        </is>
      </c>
      <c r="I1187" s="1" t="n">
        <v>45950</v>
      </c>
      <c r="J1187" t="n">
        <v>2</v>
      </c>
      <c r="L1187">
        <f>IFERROR(LEFT(K1187,             FIND(",", K1187) - 1), "-")</f>
        <v/>
      </c>
      <c r="M1187">
        <f>IFERROR(MID(K1187,             FIND(",", K1187) + 1, LEN(K1187) - FIND(",", K1187)), K1187)</f>
        <v/>
      </c>
      <c r="N1187" t="n">
        <v>3</v>
      </c>
      <c r="P1187" t="inlineStr">
        <is>
          <t>09:30</t>
        </is>
      </c>
      <c r="Q1187" t="inlineStr">
        <is>
          <t>11:30</t>
        </is>
      </c>
    </row>
    <row r="1188">
      <c r="A1188" t="inlineStr">
        <is>
          <t>垂見 文子</t>
        </is>
      </c>
      <c r="B1188" t="inlineStr">
        <is>
          <t>SSKs001:酒類総研 サポート</t>
        </is>
      </c>
      <c r="C1188">
        <f>SUMIFS(J:J, G:G,             A1188, H:H, B1188)</f>
        <v/>
      </c>
      <c r="D1188">
        <f>L1188</f>
        <v/>
      </c>
      <c r="E1188">
        <f>SUMIFS(J:J, G:G,             A1188, H:H, B1188, L:L, L1188)</f>
        <v/>
      </c>
      <c r="F1188" t="inlineStr">
        <is>
          <t>45</t>
        </is>
      </c>
      <c r="G1188" t="inlineStr">
        <is>
          <t>垂見 文子</t>
        </is>
      </c>
      <c r="H1188" t="inlineStr">
        <is>
          <t>SSKs001:酒類総研 サポート</t>
        </is>
      </c>
      <c r="I1188" s="1" t="n">
        <v>45931</v>
      </c>
      <c r="J1188" t="n">
        <v>0.25</v>
      </c>
      <c r="L1188">
        <f>IFERROR(LEFT(K1188,             FIND(",", K1188) - 1), "-")</f>
        <v/>
      </c>
      <c r="M1188">
        <f>IFERROR(MID(K1188,             FIND(",", K1188) + 1, LEN(K1188) - FIND(",", K1188)), K1188)</f>
        <v/>
      </c>
      <c r="N1188" t="n">
        <v>3</v>
      </c>
      <c r="P1188" t="inlineStr">
        <is>
          <t>15:00</t>
        </is>
      </c>
      <c r="Q1188" t="inlineStr">
        <is>
          <t>15:15</t>
        </is>
      </c>
    </row>
    <row r="1189">
      <c r="A1189" t="inlineStr">
        <is>
          <t>垂見 文子</t>
        </is>
      </c>
      <c r="B1189" t="inlineStr">
        <is>
          <t>SSKs001:酒類総研 サポート</t>
        </is>
      </c>
      <c r="D1189">
        <f>L1189</f>
        <v/>
      </c>
      <c r="E1189">
        <f>SUMIFS(J:J, G:G,             A1189, H:H, B1189, L:L, L1189)</f>
        <v/>
      </c>
      <c r="F1189" t="inlineStr">
        <is>
          <t>45</t>
        </is>
      </c>
      <c r="G1189" t="inlineStr">
        <is>
          <t>垂見 文子</t>
        </is>
      </c>
      <c r="H1189" t="inlineStr">
        <is>
          <t>SSKs001:酒類総研 サポート</t>
        </is>
      </c>
      <c r="I1189" s="1" t="n">
        <v>45932</v>
      </c>
      <c r="J1189" t="n">
        <v>0.25</v>
      </c>
      <c r="L1189">
        <f>IFERROR(LEFT(K1189,             FIND(",", K1189) - 1), "-")</f>
        <v/>
      </c>
      <c r="M1189">
        <f>IFERROR(MID(K1189,             FIND(",", K1189) + 1, LEN(K1189) - FIND(",", K1189)), K1189)</f>
        <v/>
      </c>
      <c r="N1189" t="n">
        <v>3</v>
      </c>
      <c r="P1189" t="inlineStr">
        <is>
          <t>18:45</t>
        </is>
      </c>
      <c r="Q1189" t="inlineStr">
        <is>
          <t>19:00</t>
        </is>
      </c>
    </row>
    <row r="1190">
      <c r="A1190" t="inlineStr">
        <is>
          <t>垂見 文子</t>
        </is>
      </c>
      <c r="B1190" t="inlineStr">
        <is>
          <t>SSKs001:酒類総研 サポート</t>
        </is>
      </c>
      <c r="D1190">
        <f>L1190</f>
        <v/>
      </c>
      <c r="E1190">
        <f>SUMIFS(J:J, G:G,             A1190, H:H, B1190, L:L, L1190)</f>
        <v/>
      </c>
      <c r="F1190" t="inlineStr">
        <is>
          <t>45</t>
        </is>
      </c>
      <c r="G1190" t="inlineStr">
        <is>
          <t>垂見 文子</t>
        </is>
      </c>
      <c r="H1190" t="inlineStr">
        <is>
          <t>SSKs001:酒類総研 サポート</t>
        </is>
      </c>
      <c r="I1190" s="1" t="n">
        <v>45933</v>
      </c>
      <c r="J1190" t="n">
        <v>0.25</v>
      </c>
      <c r="L1190">
        <f>IFERROR(LEFT(K1190,             FIND(",", K1190) - 1), "-")</f>
        <v/>
      </c>
      <c r="M1190">
        <f>IFERROR(MID(K1190,             FIND(",", K1190) + 1, LEN(K1190) - FIND(",", K1190)), K1190)</f>
        <v/>
      </c>
      <c r="N1190" t="n">
        <v>3</v>
      </c>
      <c r="P1190" t="inlineStr">
        <is>
          <t>15:45</t>
        </is>
      </c>
      <c r="Q1190" t="inlineStr">
        <is>
          <t>16:00</t>
        </is>
      </c>
    </row>
    <row r="1191">
      <c r="A1191" t="inlineStr">
        <is>
          <t>垂見 文子</t>
        </is>
      </c>
      <c r="B1191" t="inlineStr">
        <is>
          <t>SSKs001:酒類総研 サポート</t>
        </is>
      </c>
      <c r="D1191">
        <f>L1191</f>
        <v/>
      </c>
      <c r="E1191">
        <f>SUMIFS(J:J, G:G,             A1191, H:H, B1191, L:L, L1191)</f>
        <v/>
      </c>
      <c r="F1191" t="inlineStr">
        <is>
          <t>45</t>
        </is>
      </c>
      <c r="G1191" t="inlineStr">
        <is>
          <t>垂見 文子</t>
        </is>
      </c>
      <c r="H1191" t="inlineStr">
        <is>
          <t>SSKs001:酒類総研 サポート</t>
        </is>
      </c>
      <c r="I1191" s="1" t="n">
        <v>45936</v>
      </c>
      <c r="J1191" t="n">
        <v>0.25</v>
      </c>
      <c r="L1191">
        <f>IFERROR(LEFT(K1191,             FIND(",", K1191) - 1), "-")</f>
        <v/>
      </c>
      <c r="M1191">
        <f>IFERROR(MID(K1191,             FIND(",", K1191) + 1, LEN(K1191) - FIND(",", K1191)), K1191)</f>
        <v/>
      </c>
      <c r="N1191" t="n">
        <v>3</v>
      </c>
      <c r="P1191" t="inlineStr">
        <is>
          <t>11:00</t>
        </is>
      </c>
      <c r="Q1191" t="inlineStr">
        <is>
          <t>11:15</t>
        </is>
      </c>
    </row>
    <row r="1192">
      <c r="A1192" t="inlineStr">
        <is>
          <t>垂見 文子</t>
        </is>
      </c>
      <c r="B1192" t="inlineStr">
        <is>
          <t>SSKs001:酒類総研 サポート</t>
        </is>
      </c>
      <c r="D1192">
        <f>L1192</f>
        <v/>
      </c>
      <c r="E1192">
        <f>SUMIFS(J:J, G:G,             A1192, H:H, B1192, L:L, L1192)</f>
        <v/>
      </c>
      <c r="F1192" t="inlineStr">
        <is>
          <t>45</t>
        </is>
      </c>
      <c r="G1192" t="inlineStr">
        <is>
          <t>垂見 文子</t>
        </is>
      </c>
      <c r="H1192" t="inlineStr">
        <is>
          <t>SSKs001:酒類総研 サポート</t>
        </is>
      </c>
      <c r="I1192" s="1" t="n">
        <v>45938</v>
      </c>
      <c r="J1192" t="n">
        <v>1</v>
      </c>
      <c r="L1192">
        <f>IFERROR(LEFT(K1192,             FIND(",", K1192) - 1), "-")</f>
        <v/>
      </c>
      <c r="M1192">
        <f>IFERROR(MID(K1192,             FIND(",", K1192) + 1, LEN(K1192) - FIND(",", K1192)), K1192)</f>
        <v/>
      </c>
      <c r="N1192" t="n">
        <v>3</v>
      </c>
      <c r="P1192" t="inlineStr">
        <is>
          <t>17:00</t>
        </is>
      </c>
      <c r="Q1192" t="inlineStr">
        <is>
          <t>18:00</t>
        </is>
      </c>
    </row>
    <row r="1193">
      <c r="A1193" t="inlineStr">
        <is>
          <t>垂見 文子</t>
        </is>
      </c>
      <c r="B1193" t="inlineStr">
        <is>
          <t>SSKs001:酒類総研 サポート</t>
        </is>
      </c>
      <c r="D1193">
        <f>L1193</f>
        <v/>
      </c>
      <c r="E1193">
        <f>SUMIFS(J:J, G:G,             A1193, H:H, B1193, L:L, L1193)</f>
        <v/>
      </c>
      <c r="F1193" t="inlineStr">
        <is>
          <t>45</t>
        </is>
      </c>
      <c r="G1193" t="inlineStr">
        <is>
          <t>垂見 文子</t>
        </is>
      </c>
      <c r="H1193" t="inlineStr">
        <is>
          <t>SSKs001:酒類総研 サポート</t>
        </is>
      </c>
      <c r="I1193" s="1" t="n">
        <v>45940</v>
      </c>
      <c r="J1193" t="n">
        <v>2.5</v>
      </c>
      <c r="L1193">
        <f>IFERROR(LEFT(K1193,             FIND(",", K1193) - 1), "-")</f>
        <v/>
      </c>
      <c r="M1193">
        <f>IFERROR(MID(K1193,             FIND(",", K1193) + 1, LEN(K1193) - FIND(",", K1193)), K1193)</f>
        <v/>
      </c>
      <c r="N1193" t="n">
        <v>3</v>
      </c>
      <c r="P1193" t="inlineStr">
        <is>
          <t>09:30</t>
        </is>
      </c>
      <c r="Q1193" t="inlineStr">
        <is>
          <t>12:00</t>
        </is>
      </c>
    </row>
    <row r="1194">
      <c r="A1194" t="inlineStr">
        <is>
          <t>垂見 文子</t>
        </is>
      </c>
      <c r="B1194" t="inlineStr">
        <is>
          <t>SSKs001:酒類総研 サポート</t>
        </is>
      </c>
      <c r="D1194">
        <f>L1194</f>
        <v/>
      </c>
      <c r="E1194">
        <f>SUMIFS(J:J, G:G,             A1194, H:H, B1194, L:L, L1194)</f>
        <v/>
      </c>
      <c r="F1194" t="inlineStr">
        <is>
          <t>45</t>
        </is>
      </c>
      <c r="G1194" t="inlineStr">
        <is>
          <t>垂見 文子</t>
        </is>
      </c>
      <c r="H1194" t="inlineStr">
        <is>
          <t>SSKs001:酒類総研 サポート</t>
        </is>
      </c>
      <c r="I1194" s="1" t="n">
        <v>45940</v>
      </c>
      <c r="J1194" t="n">
        <v>2</v>
      </c>
      <c r="L1194">
        <f>IFERROR(LEFT(K1194,             FIND(",", K1194) - 1), "-")</f>
        <v/>
      </c>
      <c r="M1194">
        <f>IFERROR(MID(K1194,             FIND(",", K1194) + 1, LEN(K1194) - FIND(",", K1194)), K1194)</f>
        <v/>
      </c>
      <c r="N1194" t="n">
        <v>3</v>
      </c>
      <c r="P1194" t="inlineStr">
        <is>
          <t>13:00</t>
        </is>
      </c>
      <c r="Q1194" t="inlineStr">
        <is>
          <t>15:00</t>
        </is>
      </c>
    </row>
    <row r="1195">
      <c r="A1195" t="inlineStr">
        <is>
          <t>垂見 文子</t>
        </is>
      </c>
      <c r="B1195" t="inlineStr">
        <is>
          <t>SSKs001:酒類総研 サポート</t>
        </is>
      </c>
      <c r="D1195">
        <f>L1195</f>
        <v/>
      </c>
      <c r="E1195">
        <f>SUMIFS(J:J, G:G,             A1195, H:H, B1195, L:L, L1195)</f>
        <v/>
      </c>
      <c r="F1195" t="inlineStr">
        <is>
          <t>45</t>
        </is>
      </c>
      <c r="G1195" t="inlineStr">
        <is>
          <t>垂見 文子</t>
        </is>
      </c>
      <c r="H1195" t="inlineStr">
        <is>
          <t>SSKs001:酒類総研 サポート</t>
        </is>
      </c>
      <c r="I1195" s="1" t="n">
        <v>45946</v>
      </c>
      <c r="J1195" t="n">
        <v>0.5</v>
      </c>
      <c r="L1195">
        <f>IFERROR(LEFT(K1195,             FIND(",", K1195) - 1), "-")</f>
        <v/>
      </c>
      <c r="M1195">
        <f>IFERROR(MID(K1195,             FIND(",", K1195) + 1, LEN(K1195) - FIND(",", K1195)), K1195)</f>
        <v/>
      </c>
      <c r="N1195" t="n">
        <v>3</v>
      </c>
      <c r="P1195" t="inlineStr">
        <is>
          <t>11:30</t>
        </is>
      </c>
      <c r="Q1195" t="inlineStr">
        <is>
          <t>12:00</t>
        </is>
      </c>
    </row>
    <row r="1196">
      <c r="A1196" t="inlineStr">
        <is>
          <t>垂見 文子</t>
        </is>
      </c>
      <c r="B1196" t="inlineStr">
        <is>
          <t>SSKs001:酒類総研 サポート</t>
        </is>
      </c>
      <c r="D1196">
        <f>L1196</f>
        <v/>
      </c>
      <c r="E1196">
        <f>SUMIFS(J:J, G:G,             A1196, H:H, B1196, L:L, L1196)</f>
        <v/>
      </c>
      <c r="F1196" t="inlineStr">
        <is>
          <t>45</t>
        </is>
      </c>
      <c r="G1196" t="inlineStr">
        <is>
          <t>垂見 文子</t>
        </is>
      </c>
      <c r="H1196" t="inlineStr">
        <is>
          <t>SSKs001:酒類総研 サポート</t>
        </is>
      </c>
      <c r="I1196" s="1" t="n">
        <v>45947</v>
      </c>
      <c r="J1196" t="n">
        <v>1</v>
      </c>
      <c r="L1196">
        <f>IFERROR(LEFT(K1196,             FIND(",", K1196) - 1), "-")</f>
        <v/>
      </c>
      <c r="M1196">
        <f>IFERROR(MID(K1196,             FIND(",", K1196) + 1, LEN(K1196) - FIND(",", K1196)), K1196)</f>
        <v/>
      </c>
      <c r="N1196" t="n">
        <v>3</v>
      </c>
      <c r="P1196" t="inlineStr">
        <is>
          <t>11:00</t>
        </is>
      </c>
      <c r="Q1196" t="inlineStr">
        <is>
          <t>12:00</t>
        </is>
      </c>
    </row>
    <row r="1197">
      <c r="A1197" t="inlineStr">
        <is>
          <t>垂見 文子</t>
        </is>
      </c>
      <c r="B1197" t="inlineStr">
        <is>
          <t>SSKs001:酒類総研 サポート</t>
        </is>
      </c>
      <c r="D1197">
        <f>L1197</f>
        <v/>
      </c>
      <c r="E1197">
        <f>SUMIFS(J:J, G:G,             A1197, H:H, B1197, L:L, L1197)</f>
        <v/>
      </c>
      <c r="F1197" t="inlineStr">
        <is>
          <t>45</t>
        </is>
      </c>
      <c r="G1197" t="inlineStr">
        <is>
          <t>垂見 文子</t>
        </is>
      </c>
      <c r="H1197" t="inlineStr">
        <is>
          <t>SSKs001:酒類総研 サポート</t>
        </is>
      </c>
      <c r="I1197" s="1" t="n">
        <v>45947</v>
      </c>
      <c r="J1197" t="n">
        <v>1</v>
      </c>
      <c r="L1197">
        <f>IFERROR(LEFT(K1197,             FIND(",", K1197) - 1), "-")</f>
        <v/>
      </c>
      <c r="M1197">
        <f>IFERROR(MID(K1197,             FIND(",", K1197) + 1, LEN(K1197) - FIND(",", K1197)), K1197)</f>
        <v/>
      </c>
      <c r="N1197" t="n">
        <v>3</v>
      </c>
      <c r="P1197" t="inlineStr">
        <is>
          <t>13:00</t>
        </is>
      </c>
      <c r="Q1197" t="inlineStr">
        <is>
          <t>14:00</t>
        </is>
      </c>
    </row>
    <row r="1198">
      <c r="A1198" t="inlineStr">
        <is>
          <t>垂見 文子</t>
        </is>
      </c>
      <c r="B1198" t="inlineStr">
        <is>
          <t>SSKs001:酒類総研 サポート</t>
        </is>
      </c>
      <c r="D1198">
        <f>L1198</f>
        <v/>
      </c>
      <c r="E1198">
        <f>SUMIFS(J:J, G:G,             A1198, H:H, B1198, L:L, L1198)</f>
        <v/>
      </c>
      <c r="F1198" t="inlineStr">
        <is>
          <t>45</t>
        </is>
      </c>
      <c r="G1198" t="inlineStr">
        <is>
          <t>垂見 文子</t>
        </is>
      </c>
      <c r="H1198" t="inlineStr">
        <is>
          <t>SSKs001:酒類総研 サポート</t>
        </is>
      </c>
      <c r="I1198" s="1" t="n">
        <v>45951</v>
      </c>
      <c r="J1198" t="n">
        <v>1</v>
      </c>
      <c r="L1198">
        <f>IFERROR(LEFT(K1198,             FIND(",", K1198) - 1), "-")</f>
        <v/>
      </c>
      <c r="M1198">
        <f>IFERROR(MID(K1198,             FIND(",", K1198) + 1, LEN(K1198) - FIND(",", K1198)), K1198)</f>
        <v/>
      </c>
      <c r="N1198" t="n">
        <v>3</v>
      </c>
      <c r="P1198" t="inlineStr">
        <is>
          <t>15:00</t>
        </is>
      </c>
      <c r="Q1198" t="inlineStr">
        <is>
          <t>16:00</t>
        </is>
      </c>
    </row>
    <row r="1199">
      <c r="A1199" t="inlineStr">
        <is>
          <t>垂見 文子</t>
        </is>
      </c>
      <c r="B1199" t="inlineStr">
        <is>
          <t>SSKs001:酒類総研 サポート</t>
        </is>
      </c>
      <c r="D1199">
        <f>L1199</f>
        <v/>
      </c>
      <c r="E1199">
        <f>SUMIFS(J:J, G:G,             A1199, H:H, B1199, L:L, L1199)</f>
        <v/>
      </c>
      <c r="F1199" t="inlineStr">
        <is>
          <t>45</t>
        </is>
      </c>
      <c r="G1199" t="inlineStr">
        <is>
          <t>垂見 文子</t>
        </is>
      </c>
      <c r="H1199" t="inlineStr">
        <is>
          <t>SSKs001:酒類総研 サポート</t>
        </is>
      </c>
      <c r="I1199" s="1" t="n">
        <v>45952</v>
      </c>
      <c r="J1199" t="n">
        <v>1.5</v>
      </c>
      <c r="L1199">
        <f>IFERROR(LEFT(K1199,             FIND(",", K1199) - 1), "-")</f>
        <v/>
      </c>
      <c r="M1199">
        <f>IFERROR(MID(K1199,             FIND(",", K1199) + 1, LEN(K1199) - FIND(",", K1199)), K1199)</f>
        <v/>
      </c>
      <c r="N1199" t="n">
        <v>3</v>
      </c>
      <c r="P1199" t="inlineStr">
        <is>
          <t>15:00</t>
        </is>
      </c>
      <c r="Q1199" t="inlineStr">
        <is>
          <t>16:30</t>
        </is>
      </c>
    </row>
    <row r="1200">
      <c r="A1200" t="inlineStr">
        <is>
          <t>垂見 文子</t>
        </is>
      </c>
      <c r="B1200" t="inlineStr">
        <is>
          <t>TCNZ001:社内業務等</t>
        </is>
      </c>
      <c r="C1200">
        <f>SUMIFS(J:J, G:G,             A1200, H:H, B1200)</f>
        <v/>
      </c>
      <c r="D1200">
        <f>L1200</f>
        <v/>
      </c>
      <c r="E1200">
        <f>SUMIFS(J:J, G:G,             A1200, H:H, B1200, L:L, L1200)</f>
        <v/>
      </c>
      <c r="F1200" t="inlineStr">
        <is>
          <t>45</t>
        </is>
      </c>
      <c r="G1200" t="inlineStr">
        <is>
          <t>垂見 文子</t>
        </is>
      </c>
      <c r="H1200" t="inlineStr">
        <is>
          <t>TCNZ001:社内業務等</t>
        </is>
      </c>
      <c r="I1200" s="1" t="n">
        <v>45931</v>
      </c>
      <c r="J1200" t="n">
        <v>1.25</v>
      </c>
      <c r="L1200">
        <f>IFERROR(LEFT(K1200,             FIND(",", K1200) - 1), "-")</f>
        <v/>
      </c>
      <c r="M1200">
        <f>IFERROR(MID(K1200,             FIND(",", K1200) + 1, LEN(K1200) - FIND(",", K1200)), K1200)</f>
        <v/>
      </c>
      <c r="N1200" t="n">
        <v>5</v>
      </c>
      <c r="P1200" t="inlineStr">
        <is>
          <t>17:00</t>
        </is>
      </c>
      <c r="Q1200" t="inlineStr">
        <is>
          <t>18:15</t>
        </is>
      </c>
    </row>
    <row r="1201">
      <c r="A1201" t="inlineStr">
        <is>
          <t>垂見 文子</t>
        </is>
      </c>
      <c r="B1201" t="inlineStr">
        <is>
          <t>TCNZ001:社内業務等</t>
        </is>
      </c>
      <c r="D1201">
        <f>L1201</f>
        <v/>
      </c>
      <c r="E1201">
        <f>SUMIFS(J:J, G:G,             A1201, H:H, B1201, L:L, L1201)</f>
        <v/>
      </c>
      <c r="F1201" t="inlineStr">
        <is>
          <t>45</t>
        </is>
      </c>
      <c r="G1201" t="inlineStr">
        <is>
          <t>垂見 文子</t>
        </is>
      </c>
      <c r="H1201" t="inlineStr">
        <is>
          <t>TCNZ001:社内業務等</t>
        </is>
      </c>
      <c r="I1201" s="1" t="n">
        <v>45932</v>
      </c>
      <c r="J1201" t="n">
        <v>1.25</v>
      </c>
      <c r="L1201">
        <f>IFERROR(LEFT(K1201,             FIND(",", K1201) - 1), "-")</f>
        <v/>
      </c>
      <c r="M1201">
        <f>IFERROR(MID(K1201,             FIND(",", K1201) + 1, LEN(K1201) - FIND(",", K1201)), K1201)</f>
        <v/>
      </c>
      <c r="N1201" t="n">
        <v>5</v>
      </c>
      <c r="P1201" t="inlineStr">
        <is>
          <t>17:30</t>
        </is>
      </c>
      <c r="Q1201" t="inlineStr">
        <is>
          <t>18:45</t>
        </is>
      </c>
    </row>
    <row r="1202">
      <c r="A1202" t="inlineStr">
        <is>
          <t>垂見 文子</t>
        </is>
      </c>
      <c r="B1202" t="inlineStr">
        <is>
          <t>TCNZ001:社内業務等</t>
        </is>
      </c>
      <c r="D1202">
        <f>L1202</f>
        <v/>
      </c>
      <c r="E1202">
        <f>SUMIFS(J:J, G:G,             A1202, H:H, B1202, L:L, L1202)</f>
        <v/>
      </c>
      <c r="F1202" t="inlineStr">
        <is>
          <t>45</t>
        </is>
      </c>
      <c r="G1202" t="inlineStr">
        <is>
          <t>垂見 文子</t>
        </is>
      </c>
      <c r="H1202" t="inlineStr">
        <is>
          <t>TCNZ001:社内業務等</t>
        </is>
      </c>
      <c r="I1202" s="1" t="n">
        <v>45933</v>
      </c>
      <c r="J1202" t="n">
        <v>2.75</v>
      </c>
      <c r="L1202">
        <f>IFERROR(LEFT(K1202,             FIND(",", K1202) - 1), "-")</f>
        <v/>
      </c>
      <c r="M1202">
        <f>IFERROR(MID(K1202,             FIND(",", K1202) + 1, LEN(K1202) - FIND(",", K1202)), K1202)</f>
        <v/>
      </c>
      <c r="N1202" t="n">
        <v>5</v>
      </c>
      <c r="P1202" t="inlineStr">
        <is>
          <t>16:00</t>
        </is>
      </c>
      <c r="Q1202" t="inlineStr">
        <is>
          <t>18:45</t>
        </is>
      </c>
    </row>
    <row r="1203">
      <c r="A1203" t="inlineStr">
        <is>
          <t>垂見 文子</t>
        </is>
      </c>
      <c r="B1203" t="inlineStr">
        <is>
          <t>TCNZ001:社内業務等</t>
        </is>
      </c>
      <c r="D1203">
        <f>L1203</f>
        <v/>
      </c>
      <c r="E1203">
        <f>SUMIFS(J:J, G:G,             A1203, H:H, B1203, L:L, L1203)</f>
        <v/>
      </c>
      <c r="F1203" t="inlineStr">
        <is>
          <t>45</t>
        </is>
      </c>
      <c r="G1203" t="inlineStr">
        <is>
          <t>垂見 文子</t>
        </is>
      </c>
      <c r="H1203" t="inlineStr">
        <is>
          <t>TCNZ001:社内業務等</t>
        </is>
      </c>
      <c r="I1203" s="1" t="n">
        <v>45936</v>
      </c>
      <c r="J1203" t="n">
        <v>0.5</v>
      </c>
      <c r="L1203">
        <f>IFERROR(LEFT(K1203,             FIND(",", K1203) - 1), "-")</f>
        <v/>
      </c>
      <c r="M1203">
        <f>IFERROR(MID(K1203,             FIND(",", K1203) + 1, LEN(K1203) - FIND(",", K1203)), K1203)</f>
        <v/>
      </c>
      <c r="N1203" t="n">
        <v>5</v>
      </c>
      <c r="P1203" t="inlineStr">
        <is>
          <t>12:30</t>
        </is>
      </c>
      <c r="Q1203" t="inlineStr">
        <is>
          <t>13:00</t>
        </is>
      </c>
    </row>
    <row r="1204">
      <c r="A1204" t="inlineStr">
        <is>
          <t>垂見 文子</t>
        </is>
      </c>
      <c r="B1204" t="inlineStr">
        <is>
          <t>TCNZ001:社内業務等</t>
        </is>
      </c>
      <c r="D1204">
        <f>L1204</f>
        <v/>
      </c>
      <c r="E1204">
        <f>SUMIFS(J:J, G:G,             A1204, H:H, B1204, L:L, L1204)</f>
        <v/>
      </c>
      <c r="F1204" t="inlineStr">
        <is>
          <t>45</t>
        </is>
      </c>
      <c r="G1204" t="inlineStr">
        <is>
          <t>垂見 文子</t>
        </is>
      </c>
      <c r="H1204" t="inlineStr">
        <is>
          <t>TCNZ001:社内業務等</t>
        </is>
      </c>
      <c r="I1204" s="1" t="n">
        <v>45937</v>
      </c>
      <c r="J1204" t="n">
        <v>1.5</v>
      </c>
      <c r="L1204">
        <f>IFERROR(LEFT(K1204,             FIND(",", K1204) - 1), "-")</f>
        <v/>
      </c>
      <c r="M1204">
        <f>IFERROR(MID(K1204,             FIND(",", K1204) + 1, LEN(K1204) - FIND(",", K1204)), K1204)</f>
        <v/>
      </c>
      <c r="N1204" t="n">
        <v>5</v>
      </c>
      <c r="P1204" t="inlineStr">
        <is>
          <t>14:30</t>
        </is>
      </c>
      <c r="Q1204" t="inlineStr">
        <is>
          <t>16:00</t>
        </is>
      </c>
    </row>
    <row r="1205">
      <c r="A1205" t="inlineStr">
        <is>
          <t>垂見 文子</t>
        </is>
      </c>
      <c r="B1205" t="inlineStr">
        <is>
          <t>TCNZ001:社内業務等</t>
        </is>
      </c>
      <c r="D1205">
        <f>L1205</f>
        <v/>
      </c>
      <c r="E1205">
        <f>SUMIFS(J:J, G:G,             A1205, H:H, B1205, L:L, L1205)</f>
        <v/>
      </c>
      <c r="F1205" t="inlineStr">
        <is>
          <t>45</t>
        </is>
      </c>
      <c r="G1205" t="inlineStr">
        <is>
          <t>垂見 文子</t>
        </is>
      </c>
      <c r="H1205" t="inlineStr">
        <is>
          <t>TCNZ001:社内業務等</t>
        </is>
      </c>
      <c r="I1205" s="1" t="n">
        <v>45939</v>
      </c>
      <c r="J1205" t="n">
        <v>1</v>
      </c>
      <c r="L1205">
        <f>IFERROR(LEFT(K1205,             FIND(",", K1205) - 1), "-")</f>
        <v/>
      </c>
      <c r="M1205">
        <f>IFERROR(MID(K1205,             FIND(",", K1205) + 1, LEN(K1205) - FIND(",", K1205)), K1205)</f>
        <v/>
      </c>
      <c r="N1205" t="n">
        <v>5</v>
      </c>
      <c r="P1205" t="inlineStr">
        <is>
          <t>17:00</t>
        </is>
      </c>
      <c r="Q1205" t="inlineStr">
        <is>
          <t>18:00</t>
        </is>
      </c>
    </row>
    <row r="1206">
      <c r="A1206" t="inlineStr">
        <is>
          <t>垂見 文子</t>
        </is>
      </c>
      <c r="B1206" t="inlineStr">
        <is>
          <t>TCNZ001:社内業務等</t>
        </is>
      </c>
      <c r="D1206">
        <f>L1206</f>
        <v/>
      </c>
      <c r="E1206">
        <f>SUMIFS(J:J, G:G,             A1206, H:H, B1206, L:L, L1206)</f>
        <v/>
      </c>
      <c r="F1206" t="inlineStr">
        <is>
          <t>45</t>
        </is>
      </c>
      <c r="G1206" t="inlineStr">
        <is>
          <t>垂見 文子</t>
        </is>
      </c>
      <c r="H1206" t="inlineStr">
        <is>
          <t>TCNZ001:社内業務等</t>
        </is>
      </c>
      <c r="I1206" s="1" t="n">
        <v>45940</v>
      </c>
      <c r="J1206" t="n">
        <v>0.5</v>
      </c>
      <c r="L1206">
        <f>IFERROR(LEFT(K1206,             FIND(",", K1206) - 1), "-")</f>
        <v/>
      </c>
      <c r="M1206">
        <f>IFERROR(MID(K1206,             FIND(",", K1206) + 1, LEN(K1206) - FIND(",", K1206)), K1206)</f>
        <v/>
      </c>
      <c r="N1206" t="n">
        <v>5</v>
      </c>
      <c r="P1206" t="inlineStr">
        <is>
          <t>18:00</t>
        </is>
      </c>
      <c r="Q1206" t="inlineStr">
        <is>
          <t>18:30</t>
        </is>
      </c>
    </row>
    <row r="1207">
      <c r="A1207" t="inlineStr">
        <is>
          <t>垂見 文子</t>
        </is>
      </c>
      <c r="B1207" t="inlineStr">
        <is>
          <t>TCNZ001:社内業務等</t>
        </is>
      </c>
      <c r="D1207">
        <f>L1207</f>
        <v/>
      </c>
      <c r="E1207">
        <f>SUMIFS(J:J, G:G,             A1207, H:H, B1207, L:L, L1207)</f>
        <v/>
      </c>
      <c r="F1207" t="inlineStr">
        <is>
          <t>45</t>
        </is>
      </c>
      <c r="G1207" t="inlineStr">
        <is>
          <t>垂見 文子</t>
        </is>
      </c>
      <c r="H1207" t="inlineStr">
        <is>
          <t>TCNZ001:社内業務等</t>
        </is>
      </c>
      <c r="I1207" s="1" t="n">
        <v>45944</v>
      </c>
      <c r="J1207" t="n">
        <v>0.75</v>
      </c>
      <c r="L1207">
        <f>IFERROR(LEFT(K1207,             FIND(",", K1207) - 1), "-")</f>
        <v/>
      </c>
      <c r="M1207">
        <f>IFERROR(MID(K1207,             FIND(",", K1207) + 1, LEN(K1207) - FIND(",", K1207)), K1207)</f>
        <v/>
      </c>
      <c r="N1207" t="n">
        <v>5</v>
      </c>
      <c r="P1207" t="inlineStr">
        <is>
          <t>16:45</t>
        </is>
      </c>
      <c r="Q1207" t="inlineStr">
        <is>
          <t>17:30</t>
        </is>
      </c>
    </row>
    <row r="1208">
      <c r="A1208" t="inlineStr">
        <is>
          <t>垂見 文子</t>
        </is>
      </c>
      <c r="B1208" t="inlineStr">
        <is>
          <t>TCNZ001:社内業務等</t>
        </is>
      </c>
      <c r="D1208">
        <f>L1208</f>
        <v/>
      </c>
      <c r="E1208">
        <f>SUMIFS(J:J, G:G,             A1208, H:H, B1208, L:L, L1208)</f>
        <v/>
      </c>
      <c r="F1208" t="inlineStr">
        <is>
          <t>45</t>
        </is>
      </c>
      <c r="G1208" t="inlineStr">
        <is>
          <t>垂見 文子</t>
        </is>
      </c>
      <c r="H1208" t="inlineStr">
        <is>
          <t>TCNZ001:社内業務等</t>
        </is>
      </c>
      <c r="I1208" s="1" t="n">
        <v>45945</v>
      </c>
      <c r="J1208" t="n">
        <v>0.75</v>
      </c>
      <c r="L1208">
        <f>IFERROR(LEFT(K1208,             FIND(",", K1208) - 1), "-")</f>
        <v/>
      </c>
      <c r="M1208">
        <f>IFERROR(MID(K1208,             FIND(",", K1208) + 1, LEN(K1208) - FIND(",", K1208)), K1208)</f>
        <v/>
      </c>
      <c r="N1208" t="n">
        <v>5</v>
      </c>
      <c r="P1208" t="inlineStr">
        <is>
          <t>12:30</t>
        </is>
      </c>
      <c r="Q1208" t="inlineStr">
        <is>
          <t>13:15</t>
        </is>
      </c>
    </row>
    <row r="1209">
      <c r="A1209" t="inlineStr">
        <is>
          <t>垂見 文子</t>
        </is>
      </c>
      <c r="B1209" t="inlineStr">
        <is>
          <t>TCNZ001:社内業務等</t>
        </is>
      </c>
      <c r="D1209">
        <f>L1209</f>
        <v/>
      </c>
      <c r="E1209">
        <f>SUMIFS(J:J, G:G,             A1209, H:H, B1209, L:L, L1209)</f>
        <v/>
      </c>
      <c r="F1209" t="inlineStr">
        <is>
          <t>45</t>
        </is>
      </c>
      <c r="G1209" t="inlineStr">
        <is>
          <t>垂見 文子</t>
        </is>
      </c>
      <c r="H1209" t="inlineStr">
        <is>
          <t>TCNZ001:社内業務等</t>
        </is>
      </c>
      <c r="I1209" s="1" t="n">
        <v>45946</v>
      </c>
      <c r="J1209" t="n">
        <v>2</v>
      </c>
      <c r="L1209">
        <f>IFERROR(LEFT(K1209,             FIND(",", K1209) - 1), "-")</f>
        <v/>
      </c>
      <c r="M1209">
        <f>IFERROR(MID(K1209,             FIND(",", K1209) + 1, LEN(K1209) - FIND(",", K1209)), K1209)</f>
        <v/>
      </c>
      <c r="N1209" t="n">
        <v>5</v>
      </c>
      <c r="P1209" t="inlineStr">
        <is>
          <t>18:30</t>
        </is>
      </c>
      <c r="Q1209" t="inlineStr">
        <is>
          <t>20:30</t>
        </is>
      </c>
    </row>
    <row r="1210">
      <c r="A1210" t="inlineStr">
        <is>
          <t>垂見 文子</t>
        </is>
      </c>
      <c r="B1210" t="inlineStr">
        <is>
          <t>TCNZ001:社内業務等</t>
        </is>
      </c>
      <c r="D1210">
        <f>L1210</f>
        <v/>
      </c>
      <c r="E1210">
        <f>SUMIFS(J:J, G:G,             A1210, H:H, B1210, L:L, L1210)</f>
        <v/>
      </c>
      <c r="F1210" t="inlineStr">
        <is>
          <t>45</t>
        </is>
      </c>
      <c r="G1210" t="inlineStr">
        <is>
          <t>垂見 文子</t>
        </is>
      </c>
      <c r="H1210" t="inlineStr">
        <is>
          <t>TCNZ001:社内業務等</t>
        </is>
      </c>
      <c r="I1210" s="1" t="n">
        <v>45947</v>
      </c>
      <c r="J1210" t="n">
        <v>3</v>
      </c>
      <c r="L1210">
        <f>IFERROR(LEFT(K1210,             FIND(",", K1210) - 1), "-")</f>
        <v/>
      </c>
      <c r="M1210">
        <f>IFERROR(MID(K1210,             FIND(",", K1210) + 1, LEN(K1210) - FIND(",", K1210)), K1210)</f>
        <v/>
      </c>
      <c r="N1210" t="n">
        <v>5</v>
      </c>
      <c r="P1210" t="inlineStr">
        <is>
          <t>16:00</t>
        </is>
      </c>
      <c r="Q1210" t="inlineStr">
        <is>
          <t>19:00</t>
        </is>
      </c>
    </row>
    <row r="1211">
      <c r="A1211" t="inlineStr">
        <is>
          <t>垂見 文子</t>
        </is>
      </c>
      <c r="B1211" t="inlineStr">
        <is>
          <t>TCNZ001:社内業務等</t>
        </is>
      </c>
      <c r="D1211">
        <f>L1211</f>
        <v/>
      </c>
      <c r="E1211">
        <f>SUMIFS(J:J, G:G,             A1211, H:H, B1211, L:L, L1211)</f>
        <v/>
      </c>
      <c r="F1211" t="inlineStr">
        <is>
          <t>45</t>
        </is>
      </c>
      <c r="G1211" t="inlineStr">
        <is>
          <t>垂見 文子</t>
        </is>
      </c>
      <c r="H1211" t="inlineStr">
        <is>
          <t>TCNZ001:社内業務等</t>
        </is>
      </c>
      <c r="I1211" s="1" t="n">
        <v>45950</v>
      </c>
      <c r="J1211" t="n">
        <v>0.5</v>
      </c>
      <c r="L1211">
        <f>IFERROR(LEFT(K1211,             FIND(",", K1211) - 1), "-")</f>
        <v/>
      </c>
      <c r="M1211">
        <f>IFERROR(MID(K1211,             FIND(",", K1211) + 1, LEN(K1211) - FIND(",", K1211)), K1211)</f>
        <v/>
      </c>
      <c r="N1211" t="n">
        <v>5</v>
      </c>
      <c r="P1211" t="inlineStr">
        <is>
          <t>18:00</t>
        </is>
      </c>
      <c r="Q1211" t="inlineStr">
        <is>
          <t>18:30</t>
        </is>
      </c>
    </row>
    <row r="1212">
      <c r="A1212" t="inlineStr">
        <is>
          <t>垂見 文子</t>
        </is>
      </c>
      <c r="B1212" t="inlineStr">
        <is>
          <t>TCNZ001:社内業務等</t>
        </is>
      </c>
      <c r="D1212">
        <f>L1212</f>
        <v/>
      </c>
      <c r="E1212">
        <f>SUMIFS(J:J, G:G,             A1212, H:H, B1212, L:L, L1212)</f>
        <v/>
      </c>
      <c r="F1212" t="inlineStr">
        <is>
          <t>45</t>
        </is>
      </c>
      <c r="G1212" t="inlineStr">
        <is>
          <t>垂見 文子</t>
        </is>
      </c>
      <c r="H1212" t="inlineStr">
        <is>
          <t>TCNZ001:社内業務等</t>
        </is>
      </c>
      <c r="I1212" s="1" t="n">
        <v>45951</v>
      </c>
      <c r="J1212" t="n">
        <v>1</v>
      </c>
      <c r="L1212">
        <f>IFERROR(LEFT(K1212,             FIND(",", K1212) - 1), "-")</f>
        <v/>
      </c>
      <c r="M1212">
        <f>IFERROR(MID(K1212,             FIND(",", K1212) + 1, LEN(K1212) - FIND(",", K1212)), K1212)</f>
        <v/>
      </c>
      <c r="N1212" t="n">
        <v>5</v>
      </c>
      <c r="P1212" t="inlineStr">
        <is>
          <t>16:00</t>
        </is>
      </c>
      <c r="Q1212" t="inlineStr">
        <is>
          <t>17:00</t>
        </is>
      </c>
    </row>
    <row r="1213">
      <c r="A1213" t="inlineStr">
        <is>
          <t>垂見 文子</t>
        </is>
      </c>
      <c r="B1213" t="inlineStr">
        <is>
          <t>TCNZ001:社内業務等</t>
        </is>
      </c>
      <c r="D1213">
        <f>L1213</f>
        <v/>
      </c>
      <c r="E1213">
        <f>SUMIFS(J:J, G:G,             A1213, H:H, B1213, L:L, L1213)</f>
        <v/>
      </c>
      <c r="F1213" t="inlineStr">
        <is>
          <t>45</t>
        </is>
      </c>
      <c r="G1213" t="inlineStr">
        <is>
          <t>垂見 文子</t>
        </is>
      </c>
      <c r="H1213" t="inlineStr">
        <is>
          <t>TCNZ001:社内業務等</t>
        </is>
      </c>
      <c r="I1213" s="1" t="n">
        <v>45952</v>
      </c>
      <c r="J1213" t="n">
        <v>0.25</v>
      </c>
      <c r="L1213">
        <f>IFERROR(LEFT(K1213,             FIND(",", K1213) - 1), "-")</f>
        <v/>
      </c>
      <c r="M1213">
        <f>IFERROR(MID(K1213,             FIND(",", K1213) + 1, LEN(K1213) - FIND(",", K1213)), K1213)</f>
        <v/>
      </c>
      <c r="N1213" t="n">
        <v>5</v>
      </c>
      <c r="P1213" t="inlineStr">
        <is>
          <t>19:00</t>
        </is>
      </c>
      <c r="Q1213" t="inlineStr">
        <is>
          <t>19:15</t>
        </is>
      </c>
    </row>
    <row r="1214">
      <c r="A1214" t="inlineStr">
        <is>
          <t>垂見 文子</t>
        </is>
      </c>
      <c r="B1214" t="inlineStr">
        <is>
          <t>TCNZ001:社内業務等</t>
        </is>
      </c>
      <c r="D1214">
        <f>L1214</f>
        <v/>
      </c>
      <c r="E1214">
        <f>SUMIFS(J:J, G:G,             A1214, H:H, B1214, L:L, L1214)</f>
        <v/>
      </c>
      <c r="F1214" t="inlineStr">
        <is>
          <t>45</t>
        </is>
      </c>
      <c r="G1214" t="inlineStr">
        <is>
          <t>垂見 文子</t>
        </is>
      </c>
      <c r="H1214" t="inlineStr">
        <is>
          <t>TCNZ001:社内業務等</t>
        </is>
      </c>
      <c r="I1214" s="1" t="n">
        <v>45953</v>
      </c>
      <c r="J1214" t="n">
        <v>1.75</v>
      </c>
      <c r="L1214">
        <f>IFERROR(LEFT(K1214,             FIND(",", K1214) - 1), "-")</f>
        <v/>
      </c>
      <c r="M1214">
        <f>IFERROR(MID(K1214,             FIND(",", K1214) + 1, LEN(K1214) - FIND(",", K1214)), K1214)</f>
        <v/>
      </c>
      <c r="N1214" t="n">
        <v>5</v>
      </c>
      <c r="P1214" t="inlineStr">
        <is>
          <t>16:30</t>
        </is>
      </c>
      <c r="Q1214" t="inlineStr">
        <is>
          <t>18:15</t>
        </is>
      </c>
    </row>
    <row r="1215">
      <c r="A1215" t="inlineStr">
        <is>
          <t>垂見 文子</t>
        </is>
      </c>
      <c r="B1215" t="inlineStr">
        <is>
          <t>TCNZ090:技術学習・資料作成</t>
        </is>
      </c>
      <c r="C1215">
        <f>SUMIFS(J:J, G:G,             A1215, H:H, B1215)</f>
        <v/>
      </c>
      <c r="D1215">
        <f>L1215</f>
        <v/>
      </c>
      <c r="E1215">
        <f>SUMIFS(J:J, G:G,             A1215, H:H, B1215, L:L, L1215)</f>
        <v/>
      </c>
      <c r="F1215" t="inlineStr">
        <is>
          <t>45</t>
        </is>
      </c>
      <c r="G1215" t="inlineStr">
        <is>
          <t>垂見 文子</t>
        </is>
      </c>
      <c r="H1215" t="inlineStr">
        <is>
          <t>TCNZ090:技術学習・資料作成</t>
        </is>
      </c>
      <c r="I1215" s="1" t="n">
        <v>45947</v>
      </c>
      <c r="J1215" t="n">
        <v>2</v>
      </c>
      <c r="K1215" t="inlineStr">
        <is>
          <t>武蔵野カードリーダ資料</t>
        </is>
      </c>
      <c r="L1215">
        <f>IFERROR(LEFT(K1215,             FIND(",", K1215) - 1), "-")</f>
        <v/>
      </c>
      <c r="M1215">
        <f>IFERROR(MID(K1215,             FIND(",", K1215) + 1, LEN(K1215) - FIND(",", K1215)), K1215)</f>
        <v/>
      </c>
      <c r="N1215" t="n">
        <v>5</v>
      </c>
      <c r="P1215" t="inlineStr">
        <is>
          <t>14:00</t>
        </is>
      </c>
      <c r="Q1215" t="inlineStr">
        <is>
          <t>16:00</t>
        </is>
      </c>
    </row>
    <row r="1216">
      <c r="A1216" t="inlineStr">
        <is>
          <t>垂見 文子</t>
        </is>
      </c>
      <c r="B1216" t="inlineStr">
        <is>
          <t>TCNZ090:技術学習・資料作成</t>
        </is>
      </c>
      <c r="D1216">
        <f>L1216</f>
        <v/>
      </c>
      <c r="E1216">
        <f>SUMIFS(J:J, G:G,             A1216, H:H, B1216, L:L, L1216)</f>
        <v/>
      </c>
      <c r="F1216" t="inlineStr">
        <is>
          <t>45</t>
        </is>
      </c>
      <c r="G1216" t="inlineStr">
        <is>
          <t>垂見 文子</t>
        </is>
      </c>
      <c r="H1216" t="inlineStr">
        <is>
          <t>TCNZ090:技術学習・資料作成</t>
        </is>
      </c>
      <c r="I1216" s="1" t="n">
        <v>45931</v>
      </c>
      <c r="J1216" t="n">
        <v>1.5</v>
      </c>
      <c r="L1216">
        <f>IFERROR(LEFT(K1216,             FIND(",", K1216) - 1), "-")</f>
        <v/>
      </c>
      <c r="M1216">
        <f>IFERROR(MID(K1216,             FIND(",", K1216) + 1, LEN(K1216) - FIND(",", K1216)), K1216)</f>
        <v/>
      </c>
      <c r="N1216" t="n">
        <v>5</v>
      </c>
      <c r="P1216" t="inlineStr">
        <is>
          <t>15:30</t>
        </is>
      </c>
      <c r="Q1216" t="inlineStr">
        <is>
          <t>17:00</t>
        </is>
      </c>
    </row>
    <row r="1217">
      <c r="A1217" t="inlineStr">
        <is>
          <t>垂見 文子</t>
        </is>
      </c>
      <c r="B1217" t="inlineStr">
        <is>
          <t>TCNZ090:技術学習・資料作成</t>
        </is>
      </c>
      <c r="D1217">
        <f>L1217</f>
        <v/>
      </c>
      <c r="E1217">
        <f>SUMIFS(J:J, G:G,             A1217, H:H, B1217, L:L, L1217)</f>
        <v/>
      </c>
      <c r="F1217" t="inlineStr">
        <is>
          <t>45</t>
        </is>
      </c>
      <c r="G1217" t="inlineStr">
        <is>
          <t>垂見 文子</t>
        </is>
      </c>
      <c r="H1217" t="inlineStr">
        <is>
          <t>TCNZ090:技術学習・資料作成</t>
        </is>
      </c>
      <c r="I1217" s="1" t="n">
        <v>45932</v>
      </c>
      <c r="J1217" t="n">
        <v>1.5</v>
      </c>
      <c r="L1217">
        <f>IFERROR(LEFT(K1217,             FIND(",", K1217) - 1), "-")</f>
        <v/>
      </c>
      <c r="M1217">
        <f>IFERROR(MID(K1217,             FIND(",", K1217) + 1, LEN(K1217) - FIND(",", K1217)), K1217)</f>
        <v/>
      </c>
      <c r="N1217" t="n">
        <v>5</v>
      </c>
      <c r="P1217" t="inlineStr">
        <is>
          <t>16:00</t>
        </is>
      </c>
      <c r="Q1217" t="inlineStr">
        <is>
          <t>17:30</t>
        </is>
      </c>
    </row>
    <row r="1218">
      <c r="A1218" t="inlineStr">
        <is>
          <t>垂見 文子</t>
        </is>
      </c>
      <c r="B1218" t="inlineStr">
        <is>
          <t>TCNZ090:技術学習・資料作成</t>
        </is>
      </c>
      <c r="D1218">
        <f>L1218</f>
        <v/>
      </c>
      <c r="E1218">
        <f>SUMIFS(J:J, G:G,             A1218, H:H, B1218, L:L, L1218)</f>
        <v/>
      </c>
      <c r="F1218" t="inlineStr">
        <is>
          <t>45</t>
        </is>
      </c>
      <c r="G1218" t="inlineStr">
        <is>
          <t>垂見 文子</t>
        </is>
      </c>
      <c r="H1218" t="inlineStr">
        <is>
          <t>TCNZ090:技術学習・資料作成</t>
        </is>
      </c>
      <c r="I1218" s="1" t="n">
        <v>45933</v>
      </c>
      <c r="J1218" t="n">
        <v>1</v>
      </c>
      <c r="L1218">
        <f>IFERROR(LEFT(K1218,             FIND(",", K1218) - 1), "-")</f>
        <v/>
      </c>
      <c r="M1218">
        <f>IFERROR(MID(K1218,             FIND(",", K1218) + 1, LEN(K1218) - FIND(",", K1218)), K1218)</f>
        <v/>
      </c>
      <c r="N1218" t="n">
        <v>5</v>
      </c>
      <c r="P1218" t="inlineStr">
        <is>
          <t>14:30</t>
        </is>
      </c>
      <c r="Q1218" t="inlineStr">
        <is>
          <t>15:30</t>
        </is>
      </c>
    </row>
    <row r="1219">
      <c r="A1219" t="inlineStr">
        <is>
          <t>垂見 文子</t>
        </is>
      </c>
      <c r="B1219" t="inlineStr">
        <is>
          <t>TCNZ090:技術学習・資料作成</t>
        </is>
      </c>
      <c r="D1219">
        <f>L1219</f>
        <v/>
      </c>
      <c r="E1219">
        <f>SUMIFS(J:J, G:G,             A1219, H:H, B1219, L:L, L1219)</f>
        <v/>
      </c>
      <c r="F1219" t="inlineStr">
        <is>
          <t>45</t>
        </is>
      </c>
      <c r="G1219" t="inlineStr">
        <is>
          <t>垂見 文子</t>
        </is>
      </c>
      <c r="H1219" t="inlineStr">
        <is>
          <t>TCNZ090:技術学習・資料作成</t>
        </is>
      </c>
      <c r="I1219" s="1" t="n">
        <v>45936</v>
      </c>
      <c r="J1219" t="n">
        <v>0.5</v>
      </c>
      <c r="L1219">
        <f>IFERROR(LEFT(K1219,             FIND(",", K1219) - 1), "-")</f>
        <v/>
      </c>
      <c r="M1219">
        <f>IFERROR(MID(K1219,             FIND(",", K1219) + 1, LEN(K1219) - FIND(",", K1219)), K1219)</f>
        <v/>
      </c>
      <c r="N1219" t="n">
        <v>5</v>
      </c>
      <c r="P1219" t="inlineStr">
        <is>
          <t>12:00</t>
        </is>
      </c>
      <c r="Q1219" t="inlineStr">
        <is>
          <t>12:30</t>
        </is>
      </c>
    </row>
    <row r="1220">
      <c r="A1220" t="inlineStr">
        <is>
          <t>垂見 文子</t>
        </is>
      </c>
      <c r="B1220" t="inlineStr">
        <is>
          <t>TCNZ090:技術学習・資料作成</t>
        </is>
      </c>
      <c r="D1220">
        <f>L1220</f>
        <v/>
      </c>
      <c r="E1220">
        <f>SUMIFS(J:J, G:G,             A1220, H:H, B1220, L:L, L1220)</f>
        <v/>
      </c>
      <c r="F1220" t="inlineStr">
        <is>
          <t>45</t>
        </is>
      </c>
      <c r="G1220" t="inlineStr">
        <is>
          <t>垂見 文子</t>
        </is>
      </c>
      <c r="H1220" t="inlineStr">
        <is>
          <t>TCNZ090:技術学習・資料作成</t>
        </is>
      </c>
      <c r="I1220" s="1" t="n">
        <v>45937</v>
      </c>
      <c r="J1220" t="n">
        <v>2.75</v>
      </c>
      <c r="L1220">
        <f>IFERROR(LEFT(K1220,             FIND(",", K1220) - 1), "-")</f>
        <v/>
      </c>
      <c r="M1220">
        <f>IFERROR(MID(K1220,             FIND(",", K1220) + 1, LEN(K1220) - FIND(",", K1220)), K1220)</f>
        <v/>
      </c>
      <c r="N1220" t="n">
        <v>5</v>
      </c>
      <c r="P1220" t="inlineStr">
        <is>
          <t>16:00</t>
        </is>
      </c>
      <c r="Q1220" t="inlineStr">
        <is>
          <t>18:45</t>
        </is>
      </c>
    </row>
    <row r="1221">
      <c r="A1221" t="inlineStr">
        <is>
          <t>垂見 文子</t>
        </is>
      </c>
      <c r="B1221" t="inlineStr">
        <is>
          <t>TCNZ090:技術学習・資料作成</t>
        </is>
      </c>
      <c r="D1221">
        <f>L1221</f>
        <v/>
      </c>
      <c r="E1221">
        <f>SUMIFS(J:J, G:G,             A1221, H:H, B1221, L:L, L1221)</f>
        <v/>
      </c>
      <c r="F1221" t="inlineStr">
        <is>
          <t>45</t>
        </is>
      </c>
      <c r="G1221" t="inlineStr">
        <is>
          <t>垂見 文子</t>
        </is>
      </c>
      <c r="H1221" t="inlineStr">
        <is>
          <t>TCNZ090:技術学習・資料作成</t>
        </is>
      </c>
      <c r="I1221" s="1" t="n">
        <v>45938</v>
      </c>
      <c r="J1221" t="n">
        <v>1</v>
      </c>
      <c r="L1221">
        <f>IFERROR(LEFT(K1221,             FIND(",", K1221) - 1), "-")</f>
        <v/>
      </c>
      <c r="M1221">
        <f>IFERROR(MID(K1221,             FIND(",", K1221) + 1, LEN(K1221) - FIND(",", K1221)), K1221)</f>
        <v/>
      </c>
      <c r="N1221" t="n">
        <v>5</v>
      </c>
      <c r="P1221" t="inlineStr">
        <is>
          <t>18:00</t>
        </is>
      </c>
      <c r="Q1221" t="inlineStr">
        <is>
          <t>19:00</t>
        </is>
      </c>
    </row>
    <row r="1222">
      <c r="A1222" t="inlineStr">
        <is>
          <t>垂見 文子</t>
        </is>
      </c>
      <c r="B1222" t="inlineStr">
        <is>
          <t>TCNZ090:技術学習・資料作成</t>
        </is>
      </c>
      <c r="D1222">
        <f>L1222</f>
        <v/>
      </c>
      <c r="E1222">
        <f>SUMIFS(J:J, G:G,             A1222, H:H, B1222, L:L, L1222)</f>
        <v/>
      </c>
      <c r="F1222" t="inlineStr">
        <is>
          <t>45</t>
        </is>
      </c>
      <c r="G1222" t="inlineStr">
        <is>
          <t>垂見 文子</t>
        </is>
      </c>
      <c r="H1222" t="inlineStr">
        <is>
          <t>TCNZ090:技術学習・資料作成</t>
        </is>
      </c>
      <c r="I1222" s="1" t="n">
        <v>45939</v>
      </c>
      <c r="J1222" t="n">
        <v>0.75</v>
      </c>
      <c r="L1222">
        <f>IFERROR(LEFT(K1222,             FIND(",", K1222) - 1), "-")</f>
        <v/>
      </c>
      <c r="M1222">
        <f>IFERROR(MID(K1222,             FIND(",", K1222) + 1, LEN(K1222) - FIND(",", K1222)), K1222)</f>
        <v/>
      </c>
      <c r="N1222" t="n">
        <v>5</v>
      </c>
      <c r="P1222" t="inlineStr">
        <is>
          <t>18:00</t>
        </is>
      </c>
      <c r="Q1222" t="inlineStr">
        <is>
          <t>18:45</t>
        </is>
      </c>
    </row>
    <row r="1223">
      <c r="A1223" t="inlineStr">
        <is>
          <t>垂見 文子</t>
        </is>
      </c>
      <c r="B1223" t="inlineStr">
        <is>
          <t>TCNZ090:技術学習・資料作成</t>
        </is>
      </c>
      <c r="D1223">
        <f>L1223</f>
        <v/>
      </c>
      <c r="E1223">
        <f>SUMIFS(J:J, G:G,             A1223, H:H, B1223, L:L, L1223)</f>
        <v/>
      </c>
      <c r="F1223" t="inlineStr">
        <is>
          <t>45</t>
        </is>
      </c>
      <c r="G1223" t="inlineStr">
        <is>
          <t>垂見 文子</t>
        </is>
      </c>
      <c r="H1223" t="inlineStr">
        <is>
          <t>TCNZ090:技術学習・資料作成</t>
        </is>
      </c>
      <c r="I1223" s="1" t="n">
        <v>45940</v>
      </c>
      <c r="J1223" t="n">
        <v>1</v>
      </c>
      <c r="L1223">
        <f>IFERROR(LEFT(K1223,             FIND(",", K1223) - 1), "-")</f>
        <v/>
      </c>
      <c r="M1223">
        <f>IFERROR(MID(K1223,             FIND(",", K1223) + 1, LEN(K1223) - FIND(",", K1223)), K1223)</f>
        <v/>
      </c>
      <c r="N1223" t="n">
        <v>5</v>
      </c>
      <c r="P1223" t="inlineStr">
        <is>
          <t>17:00</t>
        </is>
      </c>
      <c r="Q1223" t="inlineStr">
        <is>
          <t>18:00</t>
        </is>
      </c>
    </row>
    <row r="1224">
      <c r="A1224" t="inlineStr">
        <is>
          <t>垂見 文子</t>
        </is>
      </c>
      <c r="B1224" t="inlineStr">
        <is>
          <t>TCNZ090:技術学習・資料作成</t>
        </is>
      </c>
      <c r="D1224">
        <f>L1224</f>
        <v/>
      </c>
      <c r="E1224">
        <f>SUMIFS(J:J, G:G,             A1224, H:H, B1224, L:L, L1224)</f>
        <v/>
      </c>
      <c r="F1224" t="inlineStr">
        <is>
          <t>45</t>
        </is>
      </c>
      <c r="G1224" t="inlineStr">
        <is>
          <t>垂見 文子</t>
        </is>
      </c>
      <c r="H1224" t="inlineStr">
        <is>
          <t>TCNZ090:技術学習・資料作成</t>
        </is>
      </c>
      <c r="I1224" s="1" t="n">
        <v>45944</v>
      </c>
      <c r="J1224" t="n">
        <v>0.5</v>
      </c>
      <c r="L1224">
        <f>IFERROR(LEFT(K1224,             FIND(",", K1224) - 1), "-")</f>
        <v/>
      </c>
      <c r="M1224">
        <f>IFERROR(MID(K1224,             FIND(",", K1224) + 1, LEN(K1224) - FIND(",", K1224)), K1224)</f>
        <v/>
      </c>
      <c r="N1224" t="n">
        <v>5</v>
      </c>
      <c r="P1224" t="inlineStr">
        <is>
          <t>17:30</t>
        </is>
      </c>
      <c r="Q1224" t="inlineStr">
        <is>
          <t>18:00</t>
        </is>
      </c>
    </row>
    <row r="1225">
      <c r="A1225" t="inlineStr">
        <is>
          <t>垂見 文子</t>
        </is>
      </c>
      <c r="B1225" t="inlineStr">
        <is>
          <t>TCNZ090:技術学習・資料作成</t>
        </is>
      </c>
      <c r="D1225">
        <f>L1225</f>
        <v/>
      </c>
      <c r="E1225">
        <f>SUMIFS(J:J, G:G,             A1225, H:H, B1225, L:L, L1225)</f>
        <v/>
      </c>
      <c r="F1225" t="inlineStr">
        <is>
          <t>45</t>
        </is>
      </c>
      <c r="G1225" t="inlineStr">
        <is>
          <t>垂見 文子</t>
        </is>
      </c>
      <c r="H1225" t="inlineStr">
        <is>
          <t>TCNZ090:技術学習・資料作成</t>
        </is>
      </c>
      <c r="I1225" s="1" t="n">
        <v>45950</v>
      </c>
      <c r="J1225" t="n">
        <v>0.5</v>
      </c>
      <c r="L1225">
        <f>IFERROR(LEFT(K1225,             FIND(",", K1225) - 1), "-")</f>
        <v/>
      </c>
      <c r="M1225">
        <f>IFERROR(MID(K1225,             FIND(",", K1225) + 1, LEN(K1225) - FIND(",", K1225)), K1225)</f>
        <v/>
      </c>
      <c r="N1225" t="n">
        <v>5</v>
      </c>
      <c r="P1225" t="inlineStr">
        <is>
          <t>11:30</t>
        </is>
      </c>
      <c r="Q1225" t="inlineStr">
        <is>
          <t>12:00</t>
        </is>
      </c>
    </row>
    <row r="1226">
      <c r="A1226" t="inlineStr">
        <is>
          <t>垂見 文子</t>
        </is>
      </c>
      <c r="B1226" t="inlineStr">
        <is>
          <t>TCNZ090:技術学習・資料作成</t>
        </is>
      </c>
      <c r="D1226">
        <f>L1226</f>
        <v/>
      </c>
      <c r="E1226">
        <f>SUMIFS(J:J, G:G,             A1226, H:H, B1226, L:L, L1226)</f>
        <v/>
      </c>
      <c r="F1226" t="inlineStr">
        <is>
          <t>45</t>
        </is>
      </c>
      <c r="G1226" t="inlineStr">
        <is>
          <t>垂見 文子</t>
        </is>
      </c>
      <c r="H1226" t="inlineStr">
        <is>
          <t>TCNZ090:技術学習・資料作成</t>
        </is>
      </c>
      <c r="I1226" s="1" t="n">
        <v>45951</v>
      </c>
      <c r="J1226" t="n">
        <v>0.5</v>
      </c>
      <c r="L1226">
        <f>IFERROR(LEFT(K1226,             FIND(",", K1226) - 1), "-")</f>
        <v/>
      </c>
      <c r="M1226">
        <f>IFERROR(MID(K1226,             FIND(",", K1226) + 1, LEN(K1226) - FIND(",", K1226)), K1226)</f>
        <v/>
      </c>
      <c r="N1226" t="n">
        <v>5</v>
      </c>
      <c r="P1226" t="inlineStr">
        <is>
          <t>17:00</t>
        </is>
      </c>
      <c r="Q1226" t="inlineStr">
        <is>
          <t>17:30</t>
        </is>
      </c>
    </row>
    <row r="1227">
      <c r="A1227" t="inlineStr">
        <is>
          <t>垂見 文子</t>
        </is>
      </c>
      <c r="B1227" t="inlineStr">
        <is>
          <t>TCNZ090:技術学習・資料作成</t>
        </is>
      </c>
      <c r="D1227">
        <f>L1227</f>
        <v/>
      </c>
      <c r="E1227">
        <f>SUMIFS(J:J, G:G,             A1227, H:H, B1227, L:L, L1227)</f>
        <v/>
      </c>
      <c r="F1227" t="inlineStr">
        <is>
          <t>45</t>
        </is>
      </c>
      <c r="G1227" t="inlineStr">
        <is>
          <t>垂見 文子</t>
        </is>
      </c>
      <c r="H1227" t="inlineStr">
        <is>
          <t>TCNZ090:技術学習・資料作成</t>
        </is>
      </c>
      <c r="I1227" s="1" t="n">
        <v>45952</v>
      </c>
      <c r="J1227" t="n">
        <v>2.5</v>
      </c>
      <c r="L1227">
        <f>IFERROR(LEFT(K1227,             FIND(",", K1227) - 1), "-")</f>
        <v/>
      </c>
      <c r="M1227">
        <f>IFERROR(MID(K1227,             FIND(",", K1227) + 1, LEN(K1227) - FIND(",", K1227)), K1227)</f>
        <v/>
      </c>
      <c r="N1227" t="n">
        <v>5</v>
      </c>
      <c r="P1227" t="inlineStr">
        <is>
          <t>16:30</t>
        </is>
      </c>
      <c r="Q1227" t="inlineStr">
        <is>
          <t>19:00</t>
        </is>
      </c>
    </row>
    <row r="1228">
      <c r="A1228" t="inlineStr">
        <is>
          <t>垂見 文子</t>
        </is>
      </c>
      <c r="B1228" t="inlineStr">
        <is>
          <t>TCNZ090:技術学習・資料作成</t>
        </is>
      </c>
      <c r="D1228">
        <f>L1228</f>
        <v/>
      </c>
      <c r="E1228">
        <f>SUMIFS(J:J, G:G,             A1228, H:H, B1228, L:L, L1228)</f>
        <v/>
      </c>
      <c r="F1228" t="inlineStr">
        <is>
          <t>45</t>
        </is>
      </c>
      <c r="G1228" t="inlineStr">
        <is>
          <t>垂見 文子</t>
        </is>
      </c>
      <c r="H1228" t="inlineStr">
        <is>
          <t>TCNZ090:技術学習・資料作成</t>
        </is>
      </c>
      <c r="I1228" s="1" t="n">
        <v>45953</v>
      </c>
      <c r="J1228" t="n">
        <v>2</v>
      </c>
      <c r="L1228">
        <f>IFERROR(LEFT(K1228,             FIND(",", K1228) - 1), "-")</f>
        <v/>
      </c>
      <c r="M1228">
        <f>IFERROR(MID(K1228,             FIND(",", K1228) + 1, LEN(K1228) - FIND(",", K1228)), K1228)</f>
        <v/>
      </c>
      <c r="N1228" t="n">
        <v>5</v>
      </c>
      <c r="P1228" t="inlineStr">
        <is>
          <t>14:00</t>
        </is>
      </c>
      <c r="Q1228" t="inlineStr">
        <is>
          <t>16:00</t>
        </is>
      </c>
    </row>
    <row r="1229">
      <c r="A1229" t="inlineStr">
        <is>
          <t>垂見 文子</t>
        </is>
      </c>
      <c r="B1229" t="inlineStr">
        <is>
          <t>TCNz004:新SMS開発</t>
        </is>
      </c>
      <c r="C1229">
        <f>SUMIFS(J:J, G:G,             A1229, H:H, B1229)</f>
        <v/>
      </c>
      <c r="D1229">
        <f>L1229</f>
        <v/>
      </c>
      <c r="E1229">
        <f>SUMIFS(J:J, G:G,             A1229, H:H, B1229, L:L, L1229)</f>
        <v/>
      </c>
      <c r="F1229" t="inlineStr">
        <is>
          <t>45</t>
        </is>
      </c>
      <c r="G1229" t="inlineStr">
        <is>
          <t>垂見 文子</t>
        </is>
      </c>
      <c r="H1229" t="inlineStr">
        <is>
          <t>TCNz004:新SMS開発</t>
        </is>
      </c>
      <c r="I1229" s="1" t="n">
        <v>45931</v>
      </c>
      <c r="J1229" t="n">
        <v>3</v>
      </c>
      <c r="L1229">
        <f>IFERROR(LEFT(K1229,             FIND(",", K1229) - 1), "-")</f>
        <v/>
      </c>
      <c r="M1229">
        <f>IFERROR(MID(K1229,             FIND(",", K1229) + 1, LEN(K1229) - FIND(",", K1229)), K1229)</f>
        <v/>
      </c>
      <c r="N1229" t="n">
        <v>5</v>
      </c>
      <c r="P1229" t="inlineStr">
        <is>
          <t>09:00</t>
        </is>
      </c>
      <c r="Q1229" t="inlineStr">
        <is>
          <t>12:00</t>
        </is>
      </c>
    </row>
    <row r="1230">
      <c r="A1230" t="inlineStr">
        <is>
          <t>垂見 文子</t>
        </is>
      </c>
      <c r="B1230" t="inlineStr">
        <is>
          <t>TCNz004:新SMS開発</t>
        </is>
      </c>
      <c r="D1230">
        <f>L1230</f>
        <v/>
      </c>
      <c r="E1230">
        <f>SUMIFS(J:J, G:G,             A1230, H:H, B1230, L:L, L1230)</f>
        <v/>
      </c>
      <c r="F1230" t="inlineStr">
        <is>
          <t>45</t>
        </is>
      </c>
      <c r="G1230" t="inlineStr">
        <is>
          <t>垂見 文子</t>
        </is>
      </c>
      <c r="H1230" t="inlineStr">
        <is>
          <t>TCNz004:新SMS開発</t>
        </is>
      </c>
      <c r="I1230" s="1" t="n">
        <v>45932</v>
      </c>
      <c r="J1230" t="n">
        <v>3</v>
      </c>
      <c r="L1230">
        <f>IFERROR(LEFT(K1230,             FIND(",", K1230) - 1), "-")</f>
        <v/>
      </c>
      <c r="M1230">
        <f>IFERROR(MID(K1230,             FIND(",", K1230) + 1, LEN(K1230) - FIND(",", K1230)), K1230)</f>
        <v/>
      </c>
      <c r="N1230" t="n">
        <v>5</v>
      </c>
      <c r="P1230" t="inlineStr">
        <is>
          <t>09:00</t>
        </is>
      </c>
      <c r="Q1230" t="inlineStr">
        <is>
          <t>12:00</t>
        </is>
      </c>
    </row>
    <row r="1231">
      <c r="A1231" t="inlineStr">
        <is>
          <t>垂見 文子</t>
        </is>
      </c>
      <c r="B1231" t="inlineStr">
        <is>
          <t>TCNz004:新SMS開発</t>
        </is>
      </c>
      <c r="D1231">
        <f>L1231</f>
        <v/>
      </c>
      <c r="E1231">
        <f>SUMIFS(J:J, G:G,             A1231, H:H, B1231, L:L, L1231)</f>
        <v/>
      </c>
      <c r="F1231" t="inlineStr">
        <is>
          <t>45</t>
        </is>
      </c>
      <c r="G1231" t="inlineStr">
        <is>
          <t>垂見 文子</t>
        </is>
      </c>
      <c r="H1231" t="inlineStr">
        <is>
          <t>TCNz004:新SMS開発</t>
        </is>
      </c>
      <c r="I1231" s="1" t="n">
        <v>45933</v>
      </c>
      <c r="J1231" t="n">
        <v>3</v>
      </c>
      <c r="L1231">
        <f>IFERROR(LEFT(K1231,             FIND(",", K1231) - 1), "-")</f>
        <v/>
      </c>
      <c r="M1231">
        <f>IFERROR(MID(K1231,             FIND(",", K1231) + 1, LEN(K1231) - FIND(",", K1231)), K1231)</f>
        <v/>
      </c>
      <c r="N1231" t="n">
        <v>5</v>
      </c>
      <c r="P1231" t="inlineStr">
        <is>
          <t>09:00</t>
        </is>
      </c>
      <c r="Q1231" t="inlineStr">
        <is>
          <t>12:00</t>
        </is>
      </c>
    </row>
    <row r="1232">
      <c r="A1232" t="inlineStr">
        <is>
          <t>垂見 文子</t>
        </is>
      </c>
      <c r="B1232" t="inlineStr">
        <is>
          <t>TCNz004:新SMS開発</t>
        </is>
      </c>
      <c r="D1232">
        <f>L1232</f>
        <v/>
      </c>
      <c r="E1232">
        <f>SUMIFS(J:J, G:G,             A1232, H:H, B1232, L:L, L1232)</f>
        <v/>
      </c>
      <c r="F1232" t="inlineStr">
        <is>
          <t>45</t>
        </is>
      </c>
      <c r="G1232" t="inlineStr">
        <is>
          <t>垂見 文子</t>
        </is>
      </c>
      <c r="H1232" t="inlineStr">
        <is>
          <t>TCNz004:新SMS開発</t>
        </is>
      </c>
      <c r="I1232" s="1" t="n">
        <v>45933</v>
      </c>
      <c r="J1232" t="n">
        <v>1.5</v>
      </c>
      <c r="L1232">
        <f>IFERROR(LEFT(K1232,             FIND(",", K1232) - 1), "-")</f>
        <v/>
      </c>
      <c r="M1232">
        <f>IFERROR(MID(K1232,             FIND(",", K1232) + 1, LEN(K1232) - FIND(",", K1232)), K1232)</f>
        <v/>
      </c>
      <c r="N1232" t="n">
        <v>5</v>
      </c>
      <c r="P1232" t="inlineStr">
        <is>
          <t>13:00</t>
        </is>
      </c>
      <c r="Q1232" t="inlineStr">
        <is>
          <t>14:30</t>
        </is>
      </c>
    </row>
    <row r="1233">
      <c r="A1233" t="inlineStr">
        <is>
          <t>垂見 文子</t>
        </is>
      </c>
      <c r="B1233" t="inlineStr">
        <is>
          <t>TCNz004:新SMS開発</t>
        </is>
      </c>
      <c r="D1233">
        <f>L1233</f>
        <v/>
      </c>
      <c r="E1233">
        <f>SUMIFS(J:J, G:G,             A1233, H:H, B1233, L:L, L1233)</f>
        <v/>
      </c>
      <c r="F1233" t="inlineStr">
        <is>
          <t>45</t>
        </is>
      </c>
      <c r="G1233" t="inlineStr">
        <is>
          <t>垂見 文子</t>
        </is>
      </c>
      <c r="H1233" t="inlineStr">
        <is>
          <t>TCNz004:新SMS開発</t>
        </is>
      </c>
      <c r="I1233" s="1" t="n">
        <v>45936</v>
      </c>
      <c r="J1233" t="n">
        <v>2</v>
      </c>
      <c r="L1233">
        <f>IFERROR(LEFT(K1233,             FIND(",", K1233) - 1), "-")</f>
        <v/>
      </c>
      <c r="M1233">
        <f>IFERROR(MID(K1233,             FIND(",", K1233) + 1, LEN(K1233) - FIND(",", K1233)), K1233)</f>
        <v/>
      </c>
      <c r="N1233" t="n">
        <v>5</v>
      </c>
      <c r="P1233" t="inlineStr">
        <is>
          <t>09:00</t>
        </is>
      </c>
      <c r="Q1233" t="inlineStr">
        <is>
          <t>11:00</t>
        </is>
      </c>
    </row>
    <row r="1234">
      <c r="A1234" t="inlineStr">
        <is>
          <t>垂見 文子</t>
        </is>
      </c>
      <c r="B1234" t="inlineStr">
        <is>
          <t>TCNz004:新SMS開発</t>
        </is>
      </c>
      <c r="D1234">
        <f>L1234</f>
        <v/>
      </c>
      <c r="E1234">
        <f>SUMIFS(J:J, G:G,             A1234, H:H, B1234, L:L, L1234)</f>
        <v/>
      </c>
      <c r="F1234" t="inlineStr">
        <is>
          <t>45</t>
        </is>
      </c>
      <c r="G1234" t="inlineStr">
        <is>
          <t>垂見 文子</t>
        </is>
      </c>
      <c r="H1234" t="inlineStr">
        <is>
          <t>TCNz004:新SMS開発</t>
        </is>
      </c>
      <c r="I1234" s="1" t="n">
        <v>45937</v>
      </c>
      <c r="J1234" t="n">
        <v>3</v>
      </c>
      <c r="L1234">
        <f>IFERROR(LEFT(K1234,             FIND(",", K1234) - 1), "-")</f>
        <v/>
      </c>
      <c r="M1234">
        <f>IFERROR(MID(K1234,             FIND(",", K1234) + 1, LEN(K1234) - FIND(",", K1234)), K1234)</f>
        <v/>
      </c>
      <c r="N1234" t="n">
        <v>5</v>
      </c>
      <c r="P1234" t="inlineStr">
        <is>
          <t>09:00</t>
        </is>
      </c>
      <c r="Q1234" t="inlineStr">
        <is>
          <t>12:00</t>
        </is>
      </c>
    </row>
    <row r="1235">
      <c r="A1235" t="inlineStr">
        <is>
          <t>垂見 文子</t>
        </is>
      </c>
      <c r="B1235" t="inlineStr">
        <is>
          <t>TCNz004:新SMS開発</t>
        </is>
      </c>
      <c r="D1235">
        <f>L1235</f>
        <v/>
      </c>
      <c r="E1235">
        <f>SUMIFS(J:J, G:G,             A1235, H:H, B1235, L:L, L1235)</f>
        <v/>
      </c>
      <c r="F1235" t="inlineStr">
        <is>
          <t>45</t>
        </is>
      </c>
      <c r="G1235" t="inlineStr">
        <is>
          <t>垂見 文子</t>
        </is>
      </c>
      <c r="H1235" t="inlineStr">
        <is>
          <t>TCNz004:新SMS開発</t>
        </is>
      </c>
      <c r="I1235" s="1" t="n">
        <v>45937</v>
      </c>
      <c r="J1235" t="n">
        <v>1.5</v>
      </c>
      <c r="L1235">
        <f>IFERROR(LEFT(K1235,             FIND(",", K1235) - 1), "-")</f>
        <v/>
      </c>
      <c r="M1235">
        <f>IFERROR(MID(K1235,             FIND(",", K1235) + 1, LEN(K1235) - FIND(",", K1235)), K1235)</f>
        <v/>
      </c>
      <c r="N1235" t="n">
        <v>5</v>
      </c>
      <c r="P1235" t="inlineStr">
        <is>
          <t>13:00</t>
        </is>
      </c>
      <c r="Q1235" t="inlineStr">
        <is>
          <t>14:30</t>
        </is>
      </c>
    </row>
    <row r="1236">
      <c r="A1236" t="inlineStr">
        <is>
          <t>垂見 文子</t>
        </is>
      </c>
      <c r="B1236" t="inlineStr">
        <is>
          <t>TCNz004:新SMS開発</t>
        </is>
      </c>
      <c r="D1236">
        <f>L1236</f>
        <v/>
      </c>
      <c r="E1236">
        <f>SUMIFS(J:J, G:G,             A1236, H:H, B1236, L:L, L1236)</f>
        <v/>
      </c>
      <c r="F1236" t="inlineStr">
        <is>
          <t>45</t>
        </is>
      </c>
      <c r="G1236" t="inlineStr">
        <is>
          <t>垂見 文子</t>
        </is>
      </c>
      <c r="H1236" t="inlineStr">
        <is>
          <t>TCNz004:新SMS開発</t>
        </is>
      </c>
      <c r="I1236" s="1" t="n">
        <v>45938</v>
      </c>
      <c r="J1236" t="n">
        <v>3</v>
      </c>
      <c r="L1236">
        <f>IFERROR(LEFT(K1236,             FIND(",", K1236) - 1), "-")</f>
        <v/>
      </c>
      <c r="M1236">
        <f>IFERROR(MID(K1236,             FIND(",", K1236) + 1, LEN(K1236) - FIND(",", K1236)), K1236)</f>
        <v/>
      </c>
      <c r="N1236" t="n">
        <v>5</v>
      </c>
      <c r="P1236" t="inlineStr">
        <is>
          <t>09:00</t>
        </is>
      </c>
      <c r="Q1236" t="inlineStr">
        <is>
          <t>12:00</t>
        </is>
      </c>
    </row>
    <row r="1237">
      <c r="A1237" t="inlineStr">
        <is>
          <t>垂見 文子</t>
        </is>
      </c>
      <c r="B1237" t="inlineStr">
        <is>
          <t>TCNz004:新SMS開発</t>
        </is>
      </c>
      <c r="D1237">
        <f>L1237</f>
        <v/>
      </c>
      <c r="E1237">
        <f>SUMIFS(J:J, G:G,             A1237, H:H, B1237, L:L, L1237)</f>
        <v/>
      </c>
      <c r="F1237" t="inlineStr">
        <is>
          <t>45</t>
        </is>
      </c>
      <c r="G1237" t="inlineStr">
        <is>
          <t>垂見 文子</t>
        </is>
      </c>
      <c r="H1237" t="inlineStr">
        <is>
          <t>TCNz004:新SMS開発</t>
        </is>
      </c>
      <c r="I1237" s="1" t="n">
        <v>45938</v>
      </c>
      <c r="J1237" t="n">
        <v>3.75</v>
      </c>
      <c r="L1237">
        <f>IFERROR(LEFT(K1237,             FIND(",", K1237) - 1), "-")</f>
        <v/>
      </c>
      <c r="M1237">
        <f>IFERROR(MID(K1237,             FIND(",", K1237) + 1, LEN(K1237) - FIND(",", K1237)), K1237)</f>
        <v/>
      </c>
      <c r="N1237" t="n">
        <v>5</v>
      </c>
      <c r="P1237" t="inlineStr">
        <is>
          <t>13:00</t>
        </is>
      </c>
      <c r="Q1237" t="inlineStr">
        <is>
          <t>16:45</t>
        </is>
      </c>
    </row>
    <row r="1238">
      <c r="A1238" t="inlineStr">
        <is>
          <t>垂見 文子</t>
        </is>
      </c>
      <c r="B1238" t="inlineStr">
        <is>
          <t>TCNz004:新SMS開発</t>
        </is>
      </c>
      <c r="D1238">
        <f>L1238</f>
        <v/>
      </c>
      <c r="E1238">
        <f>SUMIFS(J:J, G:G,             A1238, H:H, B1238, L:L, L1238)</f>
        <v/>
      </c>
      <c r="F1238" t="inlineStr">
        <is>
          <t>45</t>
        </is>
      </c>
      <c r="G1238" t="inlineStr">
        <is>
          <t>垂見 文子</t>
        </is>
      </c>
      <c r="H1238" t="inlineStr">
        <is>
          <t>TCNz004:新SMS開発</t>
        </is>
      </c>
      <c r="I1238" s="1" t="n">
        <v>45939</v>
      </c>
      <c r="J1238" t="n">
        <v>3</v>
      </c>
      <c r="L1238">
        <f>IFERROR(LEFT(K1238,             FIND(",", K1238) - 1), "-")</f>
        <v/>
      </c>
      <c r="M1238">
        <f>IFERROR(MID(K1238,             FIND(",", K1238) + 1, LEN(K1238) - FIND(",", K1238)), K1238)</f>
        <v/>
      </c>
      <c r="N1238" t="n">
        <v>5</v>
      </c>
      <c r="P1238" t="inlineStr">
        <is>
          <t>09:00</t>
        </is>
      </c>
      <c r="Q1238" t="inlineStr">
        <is>
          <t>12:00</t>
        </is>
      </c>
    </row>
    <row r="1239">
      <c r="A1239" t="inlineStr">
        <is>
          <t>垂見 文子</t>
        </is>
      </c>
      <c r="B1239" t="inlineStr">
        <is>
          <t>TCNz004:新SMS開発</t>
        </is>
      </c>
      <c r="D1239">
        <f>L1239</f>
        <v/>
      </c>
      <c r="E1239">
        <f>SUMIFS(J:J, G:G,             A1239, H:H, B1239, L:L, L1239)</f>
        <v/>
      </c>
      <c r="F1239" t="inlineStr">
        <is>
          <t>45</t>
        </is>
      </c>
      <c r="G1239" t="inlineStr">
        <is>
          <t>垂見 文子</t>
        </is>
      </c>
      <c r="H1239" t="inlineStr">
        <is>
          <t>TCNz004:新SMS開発</t>
        </is>
      </c>
      <c r="I1239" s="1" t="n">
        <v>45939</v>
      </c>
      <c r="J1239" t="n">
        <v>4</v>
      </c>
      <c r="L1239">
        <f>IFERROR(LEFT(K1239,             FIND(",", K1239) - 1), "-")</f>
        <v/>
      </c>
      <c r="M1239">
        <f>IFERROR(MID(K1239,             FIND(",", K1239) + 1, LEN(K1239) - FIND(",", K1239)), K1239)</f>
        <v/>
      </c>
      <c r="N1239" t="n">
        <v>5</v>
      </c>
      <c r="P1239" t="inlineStr">
        <is>
          <t>13:00</t>
        </is>
      </c>
      <c r="Q1239" t="inlineStr">
        <is>
          <t>17:00</t>
        </is>
      </c>
    </row>
    <row r="1240">
      <c r="A1240" t="inlineStr">
        <is>
          <t>垂見 文子</t>
        </is>
      </c>
      <c r="B1240" t="inlineStr">
        <is>
          <t>TCNz004:新SMS開発</t>
        </is>
      </c>
      <c r="D1240">
        <f>L1240</f>
        <v/>
      </c>
      <c r="E1240">
        <f>SUMIFS(J:J, G:G,             A1240, H:H, B1240, L:L, L1240)</f>
        <v/>
      </c>
      <c r="F1240" t="inlineStr">
        <is>
          <t>45</t>
        </is>
      </c>
      <c r="G1240" t="inlineStr">
        <is>
          <t>垂見 文子</t>
        </is>
      </c>
      <c r="H1240" t="inlineStr">
        <is>
          <t>TCNz004:新SMS開発</t>
        </is>
      </c>
      <c r="I1240" s="1" t="n">
        <v>45945</v>
      </c>
      <c r="J1240" t="n">
        <v>2.75</v>
      </c>
      <c r="L1240">
        <f>IFERROR(LEFT(K1240,             FIND(",", K1240) - 1), "-")</f>
        <v/>
      </c>
      <c r="M1240">
        <f>IFERROR(MID(K1240,             FIND(",", K1240) + 1, LEN(K1240) - FIND(",", K1240)), K1240)</f>
        <v/>
      </c>
      <c r="N1240" t="n">
        <v>5</v>
      </c>
      <c r="P1240" t="inlineStr">
        <is>
          <t>09:00</t>
        </is>
      </c>
      <c r="Q1240" t="inlineStr">
        <is>
          <t>11:45</t>
        </is>
      </c>
    </row>
    <row r="1241">
      <c r="A1241" t="inlineStr">
        <is>
          <t>垂見 文子</t>
        </is>
      </c>
      <c r="B1241" t="inlineStr">
        <is>
          <t>TCNz004:新SMS開発</t>
        </is>
      </c>
      <c r="D1241">
        <f>L1241</f>
        <v/>
      </c>
      <c r="E1241">
        <f>SUMIFS(J:J, G:G,             A1241, H:H, B1241, L:L, L1241)</f>
        <v/>
      </c>
      <c r="F1241" t="inlineStr">
        <is>
          <t>45</t>
        </is>
      </c>
      <c r="G1241" t="inlineStr">
        <is>
          <t>垂見 文子</t>
        </is>
      </c>
      <c r="H1241" t="inlineStr">
        <is>
          <t>TCNz004:新SMS開発</t>
        </is>
      </c>
      <c r="I1241" s="1" t="n">
        <v>45946</v>
      </c>
      <c r="J1241" t="n">
        <v>4.75</v>
      </c>
      <c r="L1241">
        <f>IFERROR(LEFT(K1241,             FIND(",", K1241) - 1), "-")</f>
        <v/>
      </c>
      <c r="M1241">
        <f>IFERROR(MID(K1241,             FIND(",", K1241) + 1, LEN(K1241) - FIND(",", K1241)), K1241)</f>
        <v/>
      </c>
      <c r="N1241" t="n">
        <v>5</v>
      </c>
      <c r="P1241" t="inlineStr">
        <is>
          <t>13:00</t>
        </is>
      </c>
      <c r="Q1241" t="inlineStr">
        <is>
          <t>17:45</t>
        </is>
      </c>
    </row>
    <row r="1242">
      <c r="A1242" t="inlineStr">
        <is>
          <t>垂見 文子</t>
        </is>
      </c>
      <c r="B1242" t="inlineStr">
        <is>
          <t>TCNz004:新SMS開発</t>
        </is>
      </c>
      <c r="D1242">
        <f>L1242</f>
        <v/>
      </c>
      <c r="E1242">
        <f>SUMIFS(J:J, G:G,             A1242, H:H, B1242, L:L, L1242)</f>
        <v/>
      </c>
      <c r="F1242" t="inlineStr">
        <is>
          <t>45</t>
        </is>
      </c>
      <c r="G1242" t="inlineStr">
        <is>
          <t>垂見 文子</t>
        </is>
      </c>
      <c r="H1242" t="inlineStr">
        <is>
          <t>TCNz004:新SMS開発</t>
        </is>
      </c>
      <c r="I1242" s="1" t="n">
        <v>45950</v>
      </c>
      <c r="J1242" t="n">
        <v>4</v>
      </c>
      <c r="L1242">
        <f>IFERROR(LEFT(K1242,             FIND(",", K1242) - 1), "-")</f>
        <v/>
      </c>
      <c r="M1242">
        <f>IFERROR(MID(K1242,             FIND(",", K1242) + 1, LEN(K1242) - FIND(",", K1242)), K1242)</f>
        <v/>
      </c>
      <c r="N1242" t="n">
        <v>5</v>
      </c>
      <c r="P1242" t="inlineStr">
        <is>
          <t>13:00</t>
        </is>
      </c>
      <c r="Q1242" t="inlineStr">
        <is>
          <t>17:00</t>
        </is>
      </c>
    </row>
    <row r="1243">
      <c r="A1243" t="inlineStr">
        <is>
          <t>垂見 文子</t>
        </is>
      </c>
      <c r="B1243" t="inlineStr">
        <is>
          <t>TCNz004:新SMS開発</t>
        </is>
      </c>
      <c r="D1243">
        <f>L1243</f>
        <v/>
      </c>
      <c r="E1243">
        <f>SUMIFS(J:J, G:G,             A1243, H:H, B1243, L:L, L1243)</f>
        <v/>
      </c>
      <c r="F1243" t="inlineStr">
        <is>
          <t>45</t>
        </is>
      </c>
      <c r="G1243" t="inlineStr">
        <is>
          <t>垂見 文子</t>
        </is>
      </c>
      <c r="H1243" t="inlineStr">
        <is>
          <t>TCNz004:新SMS開発</t>
        </is>
      </c>
      <c r="I1243" s="1" t="n">
        <v>45951</v>
      </c>
      <c r="J1243" t="n">
        <v>3</v>
      </c>
      <c r="L1243">
        <f>IFERROR(LEFT(K1243,             FIND(",", K1243) - 1), "-")</f>
        <v/>
      </c>
      <c r="M1243">
        <f>IFERROR(MID(K1243,             FIND(",", K1243) + 1, LEN(K1243) - FIND(",", K1243)), K1243)</f>
        <v/>
      </c>
      <c r="N1243" t="n">
        <v>5</v>
      </c>
      <c r="P1243" t="inlineStr">
        <is>
          <t>09:00</t>
        </is>
      </c>
      <c r="Q1243" t="inlineStr">
        <is>
          <t>12:00</t>
        </is>
      </c>
    </row>
    <row r="1244">
      <c r="A1244" t="inlineStr">
        <is>
          <t>垂見 文子</t>
        </is>
      </c>
      <c r="B1244" t="inlineStr">
        <is>
          <t>TCNz004:新SMS開発</t>
        </is>
      </c>
      <c r="D1244">
        <f>L1244</f>
        <v/>
      </c>
      <c r="E1244">
        <f>SUMIFS(J:J, G:G,             A1244, H:H, B1244, L:L, L1244)</f>
        <v/>
      </c>
      <c r="F1244" t="inlineStr">
        <is>
          <t>45</t>
        </is>
      </c>
      <c r="G1244" t="inlineStr">
        <is>
          <t>垂見 文子</t>
        </is>
      </c>
      <c r="H1244" t="inlineStr">
        <is>
          <t>TCNz004:新SMS開発</t>
        </is>
      </c>
      <c r="I1244" s="1" t="n">
        <v>45951</v>
      </c>
      <c r="J1244" t="n">
        <v>2</v>
      </c>
      <c r="L1244">
        <f>IFERROR(LEFT(K1244,             FIND(",", K1244) - 1), "-")</f>
        <v/>
      </c>
      <c r="M1244">
        <f>IFERROR(MID(K1244,             FIND(",", K1244) + 1, LEN(K1244) - FIND(",", K1244)), K1244)</f>
        <v/>
      </c>
      <c r="N1244" t="n">
        <v>5</v>
      </c>
      <c r="P1244" t="inlineStr">
        <is>
          <t>13:00</t>
        </is>
      </c>
      <c r="Q1244" t="inlineStr">
        <is>
          <t>15:00</t>
        </is>
      </c>
    </row>
    <row r="1245">
      <c r="A1245" t="inlineStr">
        <is>
          <t>垂見 文子</t>
        </is>
      </c>
      <c r="B1245" t="inlineStr">
        <is>
          <t>TCNz004:新SMS開発</t>
        </is>
      </c>
      <c r="D1245">
        <f>L1245</f>
        <v/>
      </c>
      <c r="E1245">
        <f>SUMIFS(J:J, G:G,             A1245, H:H, B1245, L:L, L1245)</f>
        <v/>
      </c>
      <c r="F1245" t="inlineStr">
        <is>
          <t>45</t>
        </is>
      </c>
      <c r="G1245" t="inlineStr">
        <is>
          <t>垂見 文子</t>
        </is>
      </c>
      <c r="H1245" t="inlineStr">
        <is>
          <t>TCNz004:新SMS開発</t>
        </is>
      </c>
      <c r="I1245" s="1" t="n">
        <v>45952</v>
      </c>
      <c r="J1245" t="n">
        <v>3</v>
      </c>
      <c r="L1245">
        <f>IFERROR(LEFT(K1245,             FIND(",", K1245) - 1), "-")</f>
        <v/>
      </c>
      <c r="M1245">
        <f>IFERROR(MID(K1245,             FIND(",", K1245) + 1, LEN(K1245) - FIND(",", K1245)), K1245)</f>
        <v/>
      </c>
      <c r="N1245" t="n">
        <v>5</v>
      </c>
      <c r="P1245" t="inlineStr">
        <is>
          <t>09:00</t>
        </is>
      </c>
      <c r="Q1245" t="inlineStr">
        <is>
          <t>12:00</t>
        </is>
      </c>
    </row>
    <row r="1246">
      <c r="A1246" t="inlineStr">
        <is>
          <t>垂見 文子</t>
        </is>
      </c>
      <c r="B1246" t="inlineStr">
        <is>
          <t>TCNz004:新SMS開発</t>
        </is>
      </c>
      <c r="D1246">
        <f>L1246</f>
        <v/>
      </c>
      <c r="E1246">
        <f>SUMIFS(J:J, G:G,             A1246, H:H, B1246, L:L, L1246)</f>
        <v/>
      </c>
      <c r="F1246" t="inlineStr">
        <is>
          <t>45</t>
        </is>
      </c>
      <c r="G1246" t="inlineStr">
        <is>
          <t>垂見 文子</t>
        </is>
      </c>
      <c r="H1246" t="inlineStr">
        <is>
          <t>TCNz004:新SMS開発</t>
        </is>
      </c>
      <c r="I1246" s="1" t="n">
        <v>45952</v>
      </c>
      <c r="J1246" t="n">
        <v>0.25</v>
      </c>
      <c r="L1246">
        <f>IFERROR(LEFT(K1246,             FIND(",", K1246) - 1), "-")</f>
        <v/>
      </c>
      <c r="M1246">
        <f>IFERROR(MID(K1246,             FIND(",", K1246) + 1, LEN(K1246) - FIND(",", K1246)), K1246)</f>
        <v/>
      </c>
      <c r="N1246" t="n">
        <v>5</v>
      </c>
      <c r="P1246" t="inlineStr">
        <is>
          <t>13:00</t>
        </is>
      </c>
      <c r="Q1246" t="inlineStr">
        <is>
          <t>13:15</t>
        </is>
      </c>
    </row>
    <row r="1247">
      <c r="A1247" t="inlineStr">
        <is>
          <t>垂見 文子</t>
        </is>
      </c>
      <c r="B1247" t="inlineStr">
        <is>
          <t>TCNz004:新SMS開発</t>
        </is>
      </c>
      <c r="D1247">
        <f>L1247</f>
        <v/>
      </c>
      <c r="E1247">
        <f>SUMIFS(J:J, G:G,             A1247, H:H, B1247, L:L, L1247)</f>
        <v/>
      </c>
      <c r="F1247" t="inlineStr">
        <is>
          <t>45</t>
        </is>
      </c>
      <c r="G1247" t="inlineStr">
        <is>
          <t>垂見 文子</t>
        </is>
      </c>
      <c r="H1247" t="inlineStr">
        <is>
          <t>TCNz004:新SMS開発</t>
        </is>
      </c>
      <c r="I1247" s="1" t="n">
        <v>45953</v>
      </c>
      <c r="J1247" t="n">
        <v>3</v>
      </c>
      <c r="L1247">
        <f>IFERROR(LEFT(K1247,             FIND(",", K1247) - 1), "-")</f>
        <v/>
      </c>
      <c r="M1247">
        <f>IFERROR(MID(K1247,             FIND(",", K1247) + 1, LEN(K1247) - FIND(",", K1247)), K1247)</f>
        <v/>
      </c>
      <c r="N1247" t="n">
        <v>5</v>
      </c>
      <c r="P1247" t="inlineStr">
        <is>
          <t>09:00</t>
        </is>
      </c>
      <c r="Q1247" t="inlineStr">
        <is>
          <t>12:00</t>
        </is>
      </c>
    </row>
    <row r="1248">
      <c r="A1248" t="inlineStr">
        <is>
          <t>垂見 文子</t>
        </is>
      </c>
      <c r="B1248" t="inlineStr">
        <is>
          <t>TCNz004:新SMS開発</t>
        </is>
      </c>
      <c r="D1248">
        <f>L1248</f>
        <v/>
      </c>
      <c r="E1248">
        <f>SUMIFS(J:J, G:G,             A1248, H:H, B1248, L:L, L1248)</f>
        <v/>
      </c>
      <c r="F1248" t="inlineStr">
        <is>
          <t>45</t>
        </is>
      </c>
      <c r="G1248" t="inlineStr">
        <is>
          <t>垂見 文子</t>
        </is>
      </c>
      <c r="H1248" t="inlineStr">
        <is>
          <t>TCNz004:新SMS開発</t>
        </is>
      </c>
      <c r="I1248" s="1" t="n">
        <v>45953</v>
      </c>
      <c r="J1248" t="n">
        <v>1</v>
      </c>
      <c r="L1248">
        <f>IFERROR(LEFT(K1248,             FIND(",", K1248) - 1), "-")</f>
        <v/>
      </c>
      <c r="M1248">
        <f>IFERROR(MID(K1248,             FIND(",", K1248) + 1, LEN(K1248) - FIND(",", K1248)), K1248)</f>
        <v/>
      </c>
      <c r="N1248" t="n">
        <v>5</v>
      </c>
      <c r="P1248" t="inlineStr">
        <is>
          <t>13:00</t>
        </is>
      </c>
      <c r="Q1248" t="inlineStr">
        <is>
          <t>14:00</t>
        </is>
      </c>
    </row>
    <row r="1249">
      <c r="A1249" t="inlineStr">
        <is>
          <t>垂見 文子</t>
        </is>
      </c>
      <c r="B1249" t="inlineStr">
        <is>
          <t>WSDS000:見積調査：早稲田学習研究会</t>
        </is>
      </c>
      <c r="C1249">
        <f>SUMIFS(J:J, G:G,             A1249, H:H, B1249)</f>
        <v/>
      </c>
      <c r="D1249">
        <f>L1249</f>
        <v/>
      </c>
      <c r="E1249">
        <f>SUMIFS(J:J, G:G,             A1249, H:H, B1249, L:L, L1249)</f>
        <v/>
      </c>
      <c r="F1249" t="inlineStr">
        <is>
          <t>45</t>
        </is>
      </c>
      <c r="G1249" t="inlineStr">
        <is>
          <t>垂見 文子</t>
        </is>
      </c>
      <c r="H1249" t="inlineStr">
        <is>
          <t>WSDS000:見積調査：早稲田学習研究会</t>
        </is>
      </c>
      <c r="I1249" s="1" t="n">
        <v>45944</v>
      </c>
      <c r="J1249" t="n">
        <v>1</v>
      </c>
      <c r="L1249">
        <f>IFERROR(LEFT(K1249,             FIND(",", K1249) - 1), "-")</f>
        <v/>
      </c>
      <c r="M1249">
        <f>IFERROR(MID(K1249,             FIND(",", K1249) + 1, LEN(K1249) - FIND(",", K1249)), K1249)</f>
        <v/>
      </c>
      <c r="N1249" t="n">
        <v>3</v>
      </c>
      <c r="P1249" t="inlineStr">
        <is>
          <t>15:45</t>
        </is>
      </c>
      <c r="Q1249" t="inlineStr">
        <is>
          <t>16:45</t>
        </is>
      </c>
    </row>
    <row r="1250">
      <c r="A1250" t="inlineStr">
        <is>
          <t>垂見 文子</t>
        </is>
      </c>
      <c r="B1250" t="inlineStr">
        <is>
          <t>WSDs001:早稲田ゼミサポート</t>
        </is>
      </c>
      <c r="C1250">
        <f>SUMIFS(J:J, G:G,             A1250, H:H, B1250)</f>
        <v/>
      </c>
      <c r="D1250">
        <f>L1250</f>
        <v/>
      </c>
      <c r="E1250">
        <f>SUMIFS(J:J, G:G,             A1250, H:H, B1250, L:L, L1250)</f>
        <v/>
      </c>
      <c r="F1250" t="inlineStr">
        <is>
          <t>45</t>
        </is>
      </c>
      <c r="G1250" t="inlineStr">
        <is>
          <t>垂見 文子</t>
        </is>
      </c>
      <c r="H1250" t="inlineStr">
        <is>
          <t>WSDs001:早稲田ゼミサポート</t>
        </is>
      </c>
      <c r="I1250" s="1" t="n">
        <v>45931</v>
      </c>
      <c r="J1250" t="n">
        <v>0.25</v>
      </c>
      <c r="L1250">
        <f>IFERROR(LEFT(K1250,             FIND(",", K1250) - 1), "-")</f>
        <v/>
      </c>
      <c r="M1250">
        <f>IFERROR(MID(K1250,             FIND(",", K1250) + 1, LEN(K1250) - FIND(",", K1250)), K1250)</f>
        <v/>
      </c>
      <c r="N1250" t="n">
        <v>3</v>
      </c>
      <c r="P1250" t="inlineStr">
        <is>
          <t>15:15</t>
        </is>
      </c>
      <c r="Q1250" t="inlineStr">
        <is>
          <t>15:30</t>
        </is>
      </c>
    </row>
    <row r="1251">
      <c r="A1251" t="inlineStr">
        <is>
          <t>垂見 文子</t>
        </is>
      </c>
      <c r="B1251" t="inlineStr">
        <is>
          <t>WSDs001:早稲田ゼミサポート</t>
        </is>
      </c>
      <c r="D1251">
        <f>L1251</f>
        <v/>
      </c>
      <c r="E1251">
        <f>SUMIFS(J:J, G:G,             A1251, H:H, B1251, L:L, L1251)</f>
        <v/>
      </c>
      <c r="F1251" t="inlineStr">
        <is>
          <t>45</t>
        </is>
      </c>
      <c r="G1251" t="inlineStr">
        <is>
          <t>垂見 文子</t>
        </is>
      </c>
      <c r="H1251" t="inlineStr">
        <is>
          <t>WSDs001:早稲田ゼミサポート</t>
        </is>
      </c>
      <c r="I1251" s="1" t="n">
        <v>45932</v>
      </c>
      <c r="J1251" t="n">
        <v>1</v>
      </c>
      <c r="L1251">
        <f>IFERROR(LEFT(K1251,             FIND(",", K1251) - 1), "-")</f>
        <v/>
      </c>
      <c r="M1251">
        <f>IFERROR(MID(K1251,             FIND(",", K1251) + 1, LEN(K1251) - FIND(",", K1251)), K1251)</f>
        <v/>
      </c>
      <c r="N1251" t="n">
        <v>3</v>
      </c>
      <c r="P1251" t="inlineStr">
        <is>
          <t>15:00</t>
        </is>
      </c>
      <c r="Q1251" t="inlineStr">
        <is>
          <t>16:00</t>
        </is>
      </c>
    </row>
    <row r="1252">
      <c r="A1252" t="inlineStr">
        <is>
          <t>垂見 文子</t>
        </is>
      </c>
      <c r="B1252" t="inlineStr">
        <is>
          <t>WSDs001:早稲田ゼミサポート</t>
        </is>
      </c>
      <c r="D1252">
        <f>L1252</f>
        <v/>
      </c>
      <c r="E1252">
        <f>SUMIFS(J:J, G:G,             A1252, H:H, B1252, L:L, L1252)</f>
        <v/>
      </c>
      <c r="F1252" t="inlineStr">
        <is>
          <t>45</t>
        </is>
      </c>
      <c r="G1252" t="inlineStr">
        <is>
          <t>垂見 文子</t>
        </is>
      </c>
      <c r="H1252" t="inlineStr">
        <is>
          <t>WSDs001:早稲田ゼミサポート</t>
        </is>
      </c>
      <c r="I1252" s="1" t="n">
        <v>45933</v>
      </c>
      <c r="J1252" t="n">
        <v>0.25</v>
      </c>
      <c r="L1252">
        <f>IFERROR(LEFT(K1252,             FIND(",", K1252) - 1), "-")</f>
        <v/>
      </c>
      <c r="M1252">
        <f>IFERROR(MID(K1252,             FIND(",", K1252) + 1, LEN(K1252) - FIND(",", K1252)), K1252)</f>
        <v/>
      </c>
      <c r="N1252" t="n">
        <v>3</v>
      </c>
      <c r="P1252" t="inlineStr">
        <is>
          <t>15:30</t>
        </is>
      </c>
      <c r="Q1252" t="inlineStr">
        <is>
          <t>15:45</t>
        </is>
      </c>
    </row>
    <row r="1253">
      <c r="A1253" t="inlineStr">
        <is>
          <t>垂見 文子</t>
        </is>
      </c>
      <c r="B1253" t="inlineStr">
        <is>
          <t>WSDs001:早稲田ゼミサポート</t>
        </is>
      </c>
      <c r="D1253">
        <f>L1253</f>
        <v/>
      </c>
      <c r="E1253">
        <f>SUMIFS(J:J, G:G,             A1253, H:H, B1253, L:L, L1253)</f>
        <v/>
      </c>
      <c r="F1253" t="inlineStr">
        <is>
          <t>45</t>
        </is>
      </c>
      <c r="G1253" t="inlineStr">
        <is>
          <t>垂見 文子</t>
        </is>
      </c>
      <c r="H1253" t="inlineStr">
        <is>
          <t>WSDs001:早稲田ゼミサポート</t>
        </is>
      </c>
      <c r="I1253" s="1" t="n">
        <v>45936</v>
      </c>
      <c r="J1253" t="n">
        <v>0.75</v>
      </c>
      <c r="L1253">
        <f>IFERROR(LEFT(K1253,             FIND(",", K1253) - 1), "-")</f>
        <v/>
      </c>
      <c r="M1253">
        <f>IFERROR(MID(K1253,             FIND(",", K1253) + 1, LEN(K1253) - FIND(",", K1253)), K1253)</f>
        <v/>
      </c>
      <c r="N1253" t="n">
        <v>3</v>
      </c>
      <c r="P1253" t="inlineStr">
        <is>
          <t>11:15</t>
        </is>
      </c>
      <c r="Q1253" t="inlineStr">
        <is>
          <t>12:00</t>
        </is>
      </c>
    </row>
    <row r="1254">
      <c r="A1254" t="inlineStr">
        <is>
          <t>垂見 文子</t>
        </is>
      </c>
      <c r="B1254" t="inlineStr">
        <is>
          <t>WSDs001:早稲田ゼミサポート</t>
        </is>
      </c>
      <c r="D1254">
        <f>L1254</f>
        <v/>
      </c>
      <c r="E1254">
        <f>SUMIFS(J:J, G:G,             A1254, H:H, B1254, L:L, L1254)</f>
        <v/>
      </c>
      <c r="F1254" t="inlineStr">
        <is>
          <t>45</t>
        </is>
      </c>
      <c r="G1254" t="inlineStr">
        <is>
          <t>垂見 文子</t>
        </is>
      </c>
      <c r="H1254" t="inlineStr">
        <is>
          <t>WSDs001:早稲田ゼミサポート</t>
        </is>
      </c>
      <c r="I1254" s="1" t="n">
        <v>45937</v>
      </c>
      <c r="J1254" t="n">
        <v>0.25</v>
      </c>
      <c r="L1254">
        <f>IFERROR(LEFT(K1254,             FIND(",", K1254) - 1), "-")</f>
        <v/>
      </c>
      <c r="M1254">
        <f>IFERROR(MID(K1254,             FIND(",", K1254) + 1, LEN(K1254) - FIND(",", K1254)), K1254)</f>
        <v/>
      </c>
      <c r="N1254" t="n">
        <v>3</v>
      </c>
      <c r="P1254" t="inlineStr">
        <is>
          <t>18:45</t>
        </is>
      </c>
      <c r="Q1254" t="inlineStr">
        <is>
          <t>19:00</t>
        </is>
      </c>
    </row>
    <row r="1255">
      <c r="A1255" t="inlineStr">
        <is>
          <t>垂見 文子</t>
        </is>
      </c>
      <c r="B1255" t="inlineStr">
        <is>
          <t>WSDs001:早稲田ゼミサポート</t>
        </is>
      </c>
      <c r="D1255">
        <f>L1255</f>
        <v/>
      </c>
      <c r="E1255">
        <f>SUMIFS(J:J, G:G,             A1255, H:H, B1255, L:L, L1255)</f>
        <v/>
      </c>
      <c r="F1255" t="inlineStr">
        <is>
          <t>45</t>
        </is>
      </c>
      <c r="G1255" t="inlineStr">
        <is>
          <t>垂見 文子</t>
        </is>
      </c>
      <c r="H1255" t="inlineStr">
        <is>
          <t>WSDs001:早稲田ゼミサポート</t>
        </is>
      </c>
      <c r="I1255" s="1" t="n">
        <v>45938</v>
      </c>
      <c r="J1255" t="n">
        <v>0.25</v>
      </c>
      <c r="L1255">
        <f>IFERROR(LEFT(K1255,             FIND(",", K1255) - 1), "-")</f>
        <v/>
      </c>
      <c r="M1255">
        <f>IFERROR(MID(K1255,             FIND(",", K1255) + 1, LEN(K1255) - FIND(",", K1255)), K1255)</f>
        <v/>
      </c>
      <c r="N1255" t="n">
        <v>3</v>
      </c>
      <c r="P1255" t="inlineStr">
        <is>
          <t>16:45</t>
        </is>
      </c>
      <c r="Q1255" t="inlineStr">
        <is>
          <t>17:00</t>
        </is>
      </c>
    </row>
    <row r="1256">
      <c r="A1256" t="inlineStr">
        <is>
          <t>垂見 文子</t>
        </is>
      </c>
      <c r="B1256" t="inlineStr">
        <is>
          <t>WSDs001:早稲田ゼミサポート</t>
        </is>
      </c>
      <c r="D1256">
        <f>L1256</f>
        <v/>
      </c>
      <c r="E1256">
        <f>SUMIFS(J:J, G:G,             A1256, H:H, B1256, L:L, L1256)</f>
        <v/>
      </c>
      <c r="F1256" t="inlineStr">
        <is>
          <t>45</t>
        </is>
      </c>
      <c r="G1256" t="inlineStr">
        <is>
          <t>垂見 文子</t>
        </is>
      </c>
      <c r="H1256" t="inlineStr">
        <is>
          <t>WSDs001:早稲田ゼミサポート</t>
        </is>
      </c>
      <c r="I1256" s="1" t="n">
        <v>45939</v>
      </c>
      <c r="J1256" t="n">
        <v>0.25</v>
      </c>
      <c r="L1256">
        <f>IFERROR(LEFT(K1256,             FIND(",", K1256) - 1), "-")</f>
        <v/>
      </c>
      <c r="M1256">
        <f>IFERROR(MID(K1256,             FIND(",", K1256) + 1, LEN(K1256) - FIND(",", K1256)), K1256)</f>
        <v/>
      </c>
      <c r="N1256" t="n">
        <v>3</v>
      </c>
      <c r="P1256" t="inlineStr">
        <is>
          <t>18:45</t>
        </is>
      </c>
      <c r="Q1256" t="inlineStr">
        <is>
          <t>19:00</t>
        </is>
      </c>
    </row>
    <row r="1257">
      <c r="A1257" t="inlineStr">
        <is>
          <t>垂見 文子</t>
        </is>
      </c>
      <c r="B1257" t="inlineStr">
        <is>
          <t>WSDs001:早稲田ゼミサポート</t>
        </is>
      </c>
      <c r="D1257">
        <f>L1257</f>
        <v/>
      </c>
      <c r="E1257">
        <f>SUMIFS(J:J, G:G,             A1257, H:H, B1257, L:L, L1257)</f>
        <v/>
      </c>
      <c r="F1257" t="inlineStr">
        <is>
          <t>45</t>
        </is>
      </c>
      <c r="G1257" t="inlineStr">
        <is>
          <t>垂見 文子</t>
        </is>
      </c>
      <c r="H1257" t="inlineStr">
        <is>
          <t>WSDs001:早稲田ゼミサポート</t>
        </is>
      </c>
      <c r="I1257" s="1" t="n">
        <v>45940</v>
      </c>
      <c r="J1257" t="n">
        <v>2</v>
      </c>
      <c r="L1257">
        <f>IFERROR(LEFT(K1257,             FIND(",", K1257) - 1), "-")</f>
        <v/>
      </c>
      <c r="M1257">
        <f>IFERROR(MID(K1257,             FIND(",", K1257) + 1, LEN(K1257) - FIND(",", K1257)), K1257)</f>
        <v/>
      </c>
      <c r="N1257" t="n">
        <v>3</v>
      </c>
      <c r="P1257" t="inlineStr">
        <is>
          <t>15:00</t>
        </is>
      </c>
      <c r="Q1257" t="inlineStr">
        <is>
          <t>17:00</t>
        </is>
      </c>
    </row>
    <row r="1258">
      <c r="A1258" t="inlineStr">
        <is>
          <t>垂見 文子</t>
        </is>
      </c>
      <c r="B1258" t="inlineStr">
        <is>
          <t>WSDs001:早稲田ゼミサポート</t>
        </is>
      </c>
      <c r="D1258">
        <f>L1258</f>
        <v/>
      </c>
      <c r="E1258">
        <f>SUMIFS(J:J, G:G,             A1258, H:H, B1258, L:L, L1258)</f>
        <v/>
      </c>
      <c r="F1258" t="inlineStr">
        <is>
          <t>45</t>
        </is>
      </c>
      <c r="G1258" t="inlineStr">
        <is>
          <t>垂見 文子</t>
        </is>
      </c>
      <c r="H1258" t="inlineStr">
        <is>
          <t>WSDs001:早稲田ゼミサポート</t>
        </is>
      </c>
      <c r="I1258" s="1" t="n">
        <v>45944</v>
      </c>
      <c r="J1258" t="n">
        <v>0.25</v>
      </c>
      <c r="L1258">
        <f>IFERROR(LEFT(K1258,             FIND(",", K1258) - 1), "-")</f>
        <v/>
      </c>
      <c r="M1258">
        <f>IFERROR(MID(K1258,             FIND(",", K1258) + 1, LEN(K1258) - FIND(",", K1258)), K1258)</f>
        <v/>
      </c>
      <c r="N1258" t="n">
        <v>3</v>
      </c>
      <c r="P1258" t="inlineStr">
        <is>
          <t>18:00</t>
        </is>
      </c>
      <c r="Q1258" t="inlineStr">
        <is>
          <t>18:15</t>
        </is>
      </c>
    </row>
    <row r="1259">
      <c r="A1259" t="inlineStr">
        <is>
          <t>垂見 文子</t>
        </is>
      </c>
      <c r="B1259" t="inlineStr">
        <is>
          <t>WSDs001:早稲田ゼミサポート</t>
        </is>
      </c>
      <c r="D1259">
        <f>L1259</f>
        <v/>
      </c>
      <c r="E1259">
        <f>SUMIFS(J:J, G:G,             A1259, H:H, B1259, L:L, L1259)</f>
        <v/>
      </c>
      <c r="F1259" t="inlineStr">
        <is>
          <t>45</t>
        </is>
      </c>
      <c r="G1259" t="inlineStr">
        <is>
          <t>垂見 文子</t>
        </is>
      </c>
      <c r="H1259" t="inlineStr">
        <is>
          <t>WSDs001:早稲田ゼミサポート</t>
        </is>
      </c>
      <c r="I1259" s="1" t="n">
        <v>45945</v>
      </c>
      <c r="J1259" t="n">
        <v>0.25</v>
      </c>
      <c r="L1259">
        <f>IFERROR(LEFT(K1259,             FIND(",", K1259) - 1), "-")</f>
        <v/>
      </c>
      <c r="M1259">
        <f>IFERROR(MID(K1259,             FIND(",", K1259) + 1, LEN(K1259) - FIND(",", K1259)), K1259)</f>
        <v/>
      </c>
      <c r="N1259" t="n">
        <v>3</v>
      </c>
      <c r="P1259" t="inlineStr">
        <is>
          <t>11:45</t>
        </is>
      </c>
      <c r="Q1259" t="inlineStr">
        <is>
          <t>12:00</t>
        </is>
      </c>
    </row>
    <row r="1260">
      <c r="A1260" t="inlineStr">
        <is>
          <t>垂見 文子</t>
        </is>
      </c>
      <c r="B1260" t="inlineStr">
        <is>
          <t>WSDs001:早稲田ゼミサポート</t>
        </is>
      </c>
      <c r="D1260">
        <f>L1260</f>
        <v/>
      </c>
      <c r="E1260">
        <f>SUMIFS(J:J, G:G,             A1260, H:H, B1260, L:L, L1260)</f>
        <v/>
      </c>
      <c r="F1260" t="inlineStr">
        <is>
          <t>45</t>
        </is>
      </c>
      <c r="G1260" t="inlineStr">
        <is>
          <t>垂見 文子</t>
        </is>
      </c>
      <c r="H1260" t="inlineStr">
        <is>
          <t>WSDs001:早稲田ゼミサポート</t>
        </is>
      </c>
      <c r="I1260" s="1" t="n">
        <v>45946</v>
      </c>
      <c r="J1260" t="n">
        <v>0.75</v>
      </c>
      <c r="L1260">
        <f>IFERROR(LEFT(K1260,             FIND(",", K1260) - 1), "-")</f>
        <v/>
      </c>
      <c r="M1260">
        <f>IFERROR(MID(K1260,             FIND(",", K1260) + 1, LEN(K1260) - FIND(",", K1260)), K1260)</f>
        <v/>
      </c>
      <c r="N1260" t="n">
        <v>3</v>
      </c>
      <c r="P1260" t="inlineStr">
        <is>
          <t>17:45</t>
        </is>
      </c>
      <c r="Q1260" t="inlineStr">
        <is>
          <t>18:30</t>
        </is>
      </c>
    </row>
    <row r="1261">
      <c r="A1261" t="inlineStr">
        <is>
          <t>垂見 文子</t>
        </is>
      </c>
      <c r="B1261" t="inlineStr">
        <is>
          <t>WSDs001:早稲田ゼミサポート</t>
        </is>
      </c>
      <c r="D1261">
        <f>L1261</f>
        <v/>
      </c>
      <c r="E1261">
        <f>SUMIFS(J:J, G:G,             A1261, H:H, B1261, L:L, L1261)</f>
        <v/>
      </c>
      <c r="F1261" t="inlineStr">
        <is>
          <t>45</t>
        </is>
      </c>
      <c r="G1261" t="inlineStr">
        <is>
          <t>垂見 文子</t>
        </is>
      </c>
      <c r="H1261" t="inlineStr">
        <is>
          <t>WSDs001:早稲田ゼミサポート</t>
        </is>
      </c>
      <c r="I1261" s="1" t="n">
        <v>45947</v>
      </c>
      <c r="J1261" t="n">
        <v>0.25</v>
      </c>
      <c r="L1261">
        <f>IFERROR(LEFT(K1261,             FIND(",", K1261) - 1), "-")</f>
        <v/>
      </c>
      <c r="M1261">
        <f>IFERROR(MID(K1261,             FIND(",", K1261) + 1, LEN(K1261) - FIND(",", K1261)), K1261)</f>
        <v/>
      </c>
      <c r="N1261" t="n">
        <v>3</v>
      </c>
      <c r="P1261" t="inlineStr">
        <is>
          <t>19:00</t>
        </is>
      </c>
      <c r="Q1261" t="inlineStr">
        <is>
          <t>19:15</t>
        </is>
      </c>
    </row>
    <row r="1262">
      <c r="A1262" t="inlineStr">
        <is>
          <t>垂見 文子</t>
        </is>
      </c>
      <c r="B1262" t="inlineStr">
        <is>
          <t>WSDs001:早稲田ゼミサポート</t>
        </is>
      </c>
      <c r="D1262">
        <f>L1262</f>
        <v/>
      </c>
      <c r="E1262">
        <f>SUMIFS(J:J, G:G,             A1262, H:H, B1262, L:L, L1262)</f>
        <v/>
      </c>
      <c r="F1262" t="inlineStr">
        <is>
          <t>45</t>
        </is>
      </c>
      <c r="G1262" t="inlineStr">
        <is>
          <t>垂見 文子</t>
        </is>
      </c>
      <c r="H1262" t="inlineStr">
        <is>
          <t>WSDs001:早稲田ゼミサポート</t>
        </is>
      </c>
      <c r="I1262" s="1" t="n">
        <v>45950</v>
      </c>
      <c r="J1262" t="n">
        <v>0.25</v>
      </c>
      <c r="L1262">
        <f>IFERROR(LEFT(K1262,             FIND(",", K1262) - 1), "-")</f>
        <v/>
      </c>
      <c r="M1262">
        <f>IFERROR(MID(K1262,             FIND(",", K1262) + 1, LEN(K1262) - FIND(",", K1262)), K1262)</f>
        <v/>
      </c>
      <c r="N1262" t="n">
        <v>3</v>
      </c>
      <c r="P1262" t="inlineStr">
        <is>
          <t>18:30</t>
        </is>
      </c>
      <c r="Q1262" t="inlineStr">
        <is>
          <t>18:45</t>
        </is>
      </c>
    </row>
    <row r="1263">
      <c r="A1263" t="inlineStr">
        <is>
          <t>垂見 文子</t>
        </is>
      </c>
      <c r="B1263" t="inlineStr">
        <is>
          <t>WSDs001:早稲田ゼミサポート</t>
        </is>
      </c>
      <c r="D1263">
        <f>L1263</f>
        <v/>
      </c>
      <c r="E1263">
        <f>SUMIFS(J:J, G:G,             A1263, H:H, B1263, L:L, L1263)</f>
        <v/>
      </c>
      <c r="F1263" t="inlineStr">
        <is>
          <t>45</t>
        </is>
      </c>
      <c r="G1263" t="inlineStr">
        <is>
          <t>垂見 文子</t>
        </is>
      </c>
      <c r="H1263" t="inlineStr">
        <is>
          <t>WSDs001:早稲田ゼミサポート</t>
        </is>
      </c>
      <c r="I1263" s="1" t="n">
        <v>45951</v>
      </c>
      <c r="J1263" t="n">
        <v>0.25</v>
      </c>
      <c r="L1263">
        <f>IFERROR(LEFT(K1263,             FIND(",", K1263) - 1), "-")</f>
        <v/>
      </c>
      <c r="M1263">
        <f>IFERROR(MID(K1263,             FIND(",", K1263) + 1, LEN(K1263) - FIND(",", K1263)), K1263)</f>
        <v/>
      </c>
      <c r="N1263" t="n">
        <v>3</v>
      </c>
      <c r="P1263" t="inlineStr">
        <is>
          <t>18:00</t>
        </is>
      </c>
      <c r="Q1263" t="inlineStr">
        <is>
          <t>18:15</t>
        </is>
      </c>
    </row>
    <row r="1264">
      <c r="A1264" t="inlineStr">
        <is>
          <t>垂見 文子</t>
        </is>
      </c>
      <c r="B1264" t="inlineStr">
        <is>
          <t>WSDs001:早稲田ゼミサポート</t>
        </is>
      </c>
      <c r="D1264">
        <f>L1264</f>
        <v/>
      </c>
      <c r="E1264">
        <f>SUMIFS(J:J, G:G,             A1264, H:H, B1264, L:L, L1264)</f>
        <v/>
      </c>
      <c r="F1264" t="inlineStr">
        <is>
          <t>45</t>
        </is>
      </c>
      <c r="G1264" t="inlineStr">
        <is>
          <t>垂見 文子</t>
        </is>
      </c>
      <c r="H1264" t="inlineStr">
        <is>
          <t>WSDs001:早稲田ゼミサポート</t>
        </is>
      </c>
      <c r="I1264" s="1" t="n">
        <v>45952</v>
      </c>
      <c r="J1264" t="n">
        <v>0.25</v>
      </c>
      <c r="L1264">
        <f>IFERROR(LEFT(K1264,             FIND(",", K1264) - 1), "-")</f>
        <v/>
      </c>
      <c r="M1264">
        <f>IFERROR(MID(K1264,             FIND(",", K1264) + 1, LEN(K1264) - FIND(",", K1264)), K1264)</f>
        <v/>
      </c>
      <c r="N1264" t="n">
        <v>3</v>
      </c>
      <c r="P1264" t="inlineStr">
        <is>
          <t>13:15</t>
        </is>
      </c>
      <c r="Q1264" t="inlineStr">
        <is>
          <t>13:30</t>
        </is>
      </c>
    </row>
    <row r="1265">
      <c r="A1265" t="inlineStr">
        <is>
          <t>垂見 文子</t>
        </is>
      </c>
      <c r="B1265" t="inlineStr">
        <is>
          <t>WSDs001:早稲田ゼミサポート</t>
        </is>
      </c>
      <c r="D1265">
        <f>L1265</f>
        <v/>
      </c>
      <c r="E1265">
        <f>SUMIFS(J:J, G:G,             A1265, H:H, B1265, L:L, L1265)</f>
        <v/>
      </c>
      <c r="F1265" t="inlineStr">
        <is>
          <t>45</t>
        </is>
      </c>
      <c r="G1265" t="inlineStr">
        <is>
          <t>垂見 文子</t>
        </is>
      </c>
      <c r="H1265" t="inlineStr">
        <is>
          <t>WSDs001:早稲田ゼミサポート</t>
        </is>
      </c>
      <c r="I1265" s="1" t="n">
        <v>45953</v>
      </c>
      <c r="J1265" t="n">
        <v>0.5</v>
      </c>
      <c r="L1265">
        <f>IFERROR(LEFT(K1265,             FIND(",", K1265) - 1), "-")</f>
        <v/>
      </c>
      <c r="M1265">
        <f>IFERROR(MID(K1265,             FIND(",", K1265) + 1, LEN(K1265) - FIND(",", K1265)), K1265)</f>
        <v/>
      </c>
      <c r="N1265" t="n">
        <v>3</v>
      </c>
      <c r="P1265" t="inlineStr">
        <is>
          <t>16:00</t>
        </is>
      </c>
      <c r="Q1265" t="inlineStr">
        <is>
          <t>16:30</t>
        </is>
      </c>
    </row>
    <row r="1266">
      <c r="A1266" t="inlineStr">
        <is>
          <t>垂見 文子</t>
        </is>
      </c>
      <c r="B1266" t="inlineStr">
        <is>
          <t>WSDz002:早稲田ゼミPJ関連調査（見積調査は除く）</t>
        </is>
      </c>
      <c r="C1266">
        <f>SUMIFS(J:J, G:G,             A1266, H:H, B1266)</f>
        <v/>
      </c>
      <c r="D1266">
        <f>L1266</f>
        <v/>
      </c>
      <c r="E1266">
        <f>SUMIFS(J:J, G:G,             A1266, H:H, B1266, L:L, L1266)</f>
        <v/>
      </c>
      <c r="F1266" t="inlineStr">
        <is>
          <t>45</t>
        </is>
      </c>
      <c r="G1266" t="inlineStr">
        <is>
          <t>垂見 文子</t>
        </is>
      </c>
      <c r="H1266" t="inlineStr">
        <is>
          <t>WSDz002:早稲田ゼミPJ関連調査（見積調査は除く）</t>
        </is>
      </c>
      <c r="I1266" s="1" t="n">
        <v>45944</v>
      </c>
      <c r="J1266" t="n">
        <v>3</v>
      </c>
      <c r="K1266" t="inlineStr">
        <is>
          <t>3-230、3-231</t>
        </is>
      </c>
      <c r="L1266">
        <f>IFERROR(LEFT(K1266,             FIND(",", K1266) - 1), "-")</f>
        <v/>
      </c>
      <c r="M1266">
        <f>IFERROR(MID(K1266,             FIND(",", K1266) + 1, LEN(K1266) - FIND(",", K1266)), K1266)</f>
        <v/>
      </c>
      <c r="N1266" t="n">
        <v>3</v>
      </c>
      <c r="P1266" t="inlineStr">
        <is>
          <t>09:00</t>
        </is>
      </c>
      <c r="Q1266" t="inlineStr">
        <is>
          <t>12:00</t>
        </is>
      </c>
    </row>
    <row r="1267">
      <c r="A1267" t="inlineStr">
        <is>
          <t>垂見 文子</t>
        </is>
      </c>
      <c r="B1267" t="inlineStr">
        <is>
          <t>WSDz002:早稲田ゼミPJ関連調査（見積調査は除く）</t>
        </is>
      </c>
      <c r="D1267">
        <f>L1267</f>
        <v/>
      </c>
      <c r="E1267">
        <f>SUMIFS(J:J, G:G,             A1267, H:H, B1267, L:L, L1267)</f>
        <v/>
      </c>
      <c r="F1267" t="inlineStr">
        <is>
          <t>45</t>
        </is>
      </c>
      <c r="G1267" t="inlineStr">
        <is>
          <t>垂見 文子</t>
        </is>
      </c>
      <c r="H1267" t="inlineStr">
        <is>
          <t>WSDz002:早稲田ゼミPJ関連調査（見積調査は除く）</t>
        </is>
      </c>
      <c r="I1267" s="1" t="n">
        <v>45944</v>
      </c>
      <c r="J1267" t="n">
        <v>2.75</v>
      </c>
      <c r="K1267" t="inlineStr">
        <is>
          <t>3-230、3-231</t>
        </is>
      </c>
      <c r="L1267">
        <f>IFERROR(LEFT(K1267,             FIND(",", K1267) - 1), "-")</f>
        <v/>
      </c>
      <c r="M1267">
        <f>IFERROR(MID(K1267,             FIND(",", K1267) + 1, LEN(K1267) - FIND(",", K1267)), K1267)</f>
        <v/>
      </c>
      <c r="N1267" t="n">
        <v>3</v>
      </c>
      <c r="P1267" t="inlineStr">
        <is>
          <t>13:00</t>
        </is>
      </c>
      <c r="Q1267" t="inlineStr">
        <is>
          <t>15:45</t>
        </is>
      </c>
    </row>
    <row r="1268">
      <c r="A1268" t="inlineStr">
        <is>
          <t>実川 啓明</t>
        </is>
      </c>
      <c r="B1268" t="inlineStr">
        <is>
          <t>ANAS000:見積調査：ANAビジネスソリューション</t>
        </is>
      </c>
      <c r="C1268">
        <f>SUMIFS(J:J, G:G,             A1268, H:H, B1268)</f>
        <v/>
      </c>
      <c r="D1268">
        <f>L1268</f>
        <v/>
      </c>
      <c r="E1268">
        <f>SUMIFS(J:J, G:G,             A1268, H:H, B1268, L:L, L1268)</f>
        <v/>
      </c>
      <c r="F1268" t="inlineStr">
        <is>
          <t>34</t>
        </is>
      </c>
      <c r="G1268" t="inlineStr">
        <is>
          <t>実川 啓明</t>
        </is>
      </c>
      <c r="H1268" t="inlineStr">
        <is>
          <t>ANAS000:見積調査：ANAビジネスソリューション</t>
        </is>
      </c>
      <c r="I1268" s="1" t="n">
        <v>45932</v>
      </c>
      <c r="J1268" t="n">
        <v>2</v>
      </c>
      <c r="L1268">
        <f>IFERROR(LEFT(K1268,             FIND(",", K1268) - 1), "-")</f>
        <v/>
      </c>
      <c r="M1268">
        <f>IFERROR(MID(K1268,             FIND(",", K1268) + 1, LEN(K1268) - FIND(",", K1268)), K1268)</f>
        <v/>
      </c>
      <c r="N1268" t="n">
        <v>3</v>
      </c>
      <c r="P1268" t="inlineStr">
        <is>
          <t>10:00</t>
        </is>
      </c>
      <c r="Q1268" t="inlineStr">
        <is>
          <t>12:00</t>
        </is>
      </c>
    </row>
    <row r="1269">
      <c r="A1269" t="inlineStr">
        <is>
          <t>実川 啓明</t>
        </is>
      </c>
      <c r="B1269" t="inlineStr">
        <is>
          <t>ANAS000:見積調査：ANAビジネスソリューション</t>
        </is>
      </c>
      <c r="D1269">
        <f>L1269</f>
        <v/>
      </c>
      <c r="E1269">
        <f>SUMIFS(J:J, G:G,             A1269, H:H, B1269, L:L, L1269)</f>
        <v/>
      </c>
      <c r="F1269" t="inlineStr">
        <is>
          <t>34</t>
        </is>
      </c>
      <c r="G1269" t="inlineStr">
        <is>
          <t>実川 啓明</t>
        </is>
      </c>
      <c r="H1269" t="inlineStr">
        <is>
          <t>ANAS000:見積調査：ANAビジネスソリューション</t>
        </is>
      </c>
      <c r="I1269" s="1" t="n">
        <v>45932</v>
      </c>
      <c r="J1269" t="n">
        <v>1.5</v>
      </c>
      <c r="L1269">
        <f>IFERROR(LEFT(K1269,             FIND(",", K1269) - 1), "-")</f>
        <v/>
      </c>
      <c r="M1269">
        <f>IFERROR(MID(K1269,             FIND(",", K1269) + 1, LEN(K1269) - FIND(",", K1269)), K1269)</f>
        <v/>
      </c>
      <c r="N1269" t="n">
        <v>3</v>
      </c>
      <c r="P1269" t="inlineStr">
        <is>
          <t>17:00</t>
        </is>
      </c>
      <c r="Q1269" t="inlineStr">
        <is>
          <t>18:30</t>
        </is>
      </c>
    </row>
    <row r="1270">
      <c r="A1270" t="inlineStr">
        <is>
          <t>実川 啓明</t>
        </is>
      </c>
      <c r="B1270" t="inlineStr">
        <is>
          <t>ANAS000:見積調査：ANAビジネスソリューション</t>
        </is>
      </c>
      <c r="D1270">
        <f>L1270</f>
        <v/>
      </c>
      <c r="E1270">
        <f>SUMIFS(J:J, G:G,             A1270, H:H, B1270, L:L, L1270)</f>
        <v/>
      </c>
      <c r="F1270" t="inlineStr">
        <is>
          <t>34</t>
        </is>
      </c>
      <c r="G1270" t="inlineStr">
        <is>
          <t>実川 啓明</t>
        </is>
      </c>
      <c r="H1270" t="inlineStr">
        <is>
          <t>ANAS000:見積調査：ANAビジネスソリューション</t>
        </is>
      </c>
      <c r="I1270" s="1" t="n">
        <v>45933</v>
      </c>
      <c r="J1270" t="n">
        <v>1.5</v>
      </c>
      <c r="L1270">
        <f>IFERROR(LEFT(K1270,             FIND(",", K1270) - 1), "-")</f>
        <v/>
      </c>
      <c r="M1270">
        <f>IFERROR(MID(K1270,             FIND(",", K1270) + 1, LEN(K1270) - FIND(",", K1270)), K1270)</f>
        <v/>
      </c>
      <c r="N1270" t="n">
        <v>3</v>
      </c>
      <c r="P1270" t="inlineStr">
        <is>
          <t>09:00</t>
        </is>
      </c>
      <c r="Q1270" t="inlineStr">
        <is>
          <t>10:30</t>
        </is>
      </c>
    </row>
    <row r="1271">
      <c r="A1271" t="inlineStr">
        <is>
          <t>実川 啓明</t>
        </is>
      </c>
      <c r="B1271" t="inlineStr">
        <is>
          <t xml:space="preserve">ANAS001:ANAサポート　　</t>
        </is>
      </c>
      <c r="C1271">
        <f>SUMIFS(J:J, G:G,             A1271, H:H, B1271)</f>
        <v/>
      </c>
      <c r="D1271">
        <f>L1271</f>
        <v/>
      </c>
      <c r="E1271">
        <f>SUMIFS(J:J, G:G,             A1271, H:H, B1271, L:L, L1271)</f>
        <v/>
      </c>
      <c r="F1271" t="inlineStr">
        <is>
          <t>34</t>
        </is>
      </c>
      <c r="G1271" t="inlineStr">
        <is>
          <t>実川 啓明</t>
        </is>
      </c>
      <c r="H1271" t="inlineStr">
        <is>
          <t xml:space="preserve">ANAS001:ANAサポート　　</t>
        </is>
      </c>
      <c r="I1271" s="1" t="n">
        <v>45938</v>
      </c>
      <c r="J1271" t="n">
        <v>0.5</v>
      </c>
      <c r="K1271" t="inlineStr">
        <is>
          <t>打ち合わせ</t>
        </is>
      </c>
      <c r="L1271">
        <f>IFERROR(LEFT(K1271,             FIND(",", K1271) - 1), "-")</f>
        <v/>
      </c>
      <c r="M1271">
        <f>IFERROR(MID(K1271,             FIND(",", K1271) + 1, LEN(K1271) - FIND(",", K1271)), K1271)</f>
        <v/>
      </c>
      <c r="N1271" t="n">
        <v>3</v>
      </c>
      <c r="P1271" t="inlineStr">
        <is>
          <t>16:30</t>
        </is>
      </c>
      <c r="Q1271" t="inlineStr">
        <is>
          <t>17:00</t>
        </is>
      </c>
    </row>
    <row r="1272">
      <c r="A1272" t="inlineStr">
        <is>
          <t>実川 啓明</t>
        </is>
      </c>
      <c r="B1272" t="inlineStr">
        <is>
          <t xml:space="preserve">ANAS001:ANAサポート　　</t>
        </is>
      </c>
      <c r="D1272">
        <f>L1272</f>
        <v/>
      </c>
      <c r="E1272">
        <f>SUMIFS(J:J, G:G,             A1272, H:H, B1272, L:L, L1272)</f>
        <v/>
      </c>
      <c r="F1272" t="inlineStr">
        <is>
          <t>34</t>
        </is>
      </c>
      <c r="G1272" t="inlineStr">
        <is>
          <t>実川 啓明</t>
        </is>
      </c>
      <c r="H1272" t="inlineStr">
        <is>
          <t xml:space="preserve">ANAS001:ANAサポート　　</t>
        </is>
      </c>
      <c r="I1272" s="1" t="n">
        <v>45944</v>
      </c>
      <c r="J1272" t="n">
        <v>0.5</v>
      </c>
      <c r="K1272" t="inlineStr">
        <is>
          <t>打ち合わせ</t>
        </is>
      </c>
      <c r="L1272">
        <f>IFERROR(LEFT(K1272,             FIND(",", K1272) - 1), "-")</f>
        <v/>
      </c>
      <c r="M1272">
        <f>IFERROR(MID(K1272,             FIND(",", K1272) + 1, LEN(K1272) - FIND(",", K1272)), K1272)</f>
        <v/>
      </c>
      <c r="N1272" t="n">
        <v>3</v>
      </c>
      <c r="P1272" t="inlineStr">
        <is>
          <t>13:30</t>
        </is>
      </c>
      <c r="Q1272" t="inlineStr">
        <is>
          <t>14:00</t>
        </is>
      </c>
    </row>
    <row r="1273">
      <c r="A1273" t="inlineStr">
        <is>
          <t>実川 啓明</t>
        </is>
      </c>
      <c r="B1273" t="inlineStr">
        <is>
          <t xml:space="preserve">ANAS001:ANAサポート　　</t>
        </is>
      </c>
      <c r="D1273">
        <f>L1273</f>
        <v/>
      </c>
      <c r="E1273">
        <f>SUMIFS(J:J, G:G,             A1273, H:H, B1273, L:L, L1273)</f>
        <v/>
      </c>
      <c r="F1273" t="inlineStr">
        <is>
          <t>34</t>
        </is>
      </c>
      <c r="G1273" t="inlineStr">
        <is>
          <t>実川 啓明</t>
        </is>
      </c>
      <c r="H1273" t="inlineStr">
        <is>
          <t xml:space="preserve">ANAS001:ANAサポート　　</t>
        </is>
      </c>
      <c r="I1273" s="1" t="n">
        <v>45938</v>
      </c>
      <c r="J1273" t="n">
        <v>1</v>
      </c>
      <c r="K1273" t="inlineStr">
        <is>
          <t>打ち合わせ準備</t>
        </is>
      </c>
      <c r="L1273">
        <f>IFERROR(LEFT(K1273,             FIND(",", K1273) - 1), "-")</f>
        <v/>
      </c>
      <c r="M1273">
        <f>IFERROR(MID(K1273,             FIND(",", K1273) + 1, LEN(K1273) - FIND(",", K1273)), K1273)</f>
        <v/>
      </c>
      <c r="N1273" t="n">
        <v>3</v>
      </c>
      <c r="P1273" t="inlineStr">
        <is>
          <t>15:30</t>
        </is>
      </c>
      <c r="Q1273" t="inlineStr">
        <is>
          <t>16:30</t>
        </is>
      </c>
    </row>
    <row r="1274">
      <c r="A1274" t="inlineStr">
        <is>
          <t>実川 啓明</t>
        </is>
      </c>
      <c r="B1274" t="inlineStr">
        <is>
          <t xml:space="preserve">ANAS001:ANAサポート　　</t>
        </is>
      </c>
      <c r="D1274">
        <f>L1274</f>
        <v/>
      </c>
      <c r="E1274">
        <f>SUMIFS(J:J, G:G,             A1274, H:H, B1274, L:L, L1274)</f>
        <v/>
      </c>
      <c r="F1274" t="inlineStr">
        <is>
          <t>34</t>
        </is>
      </c>
      <c r="G1274" t="inlineStr">
        <is>
          <t>実川 啓明</t>
        </is>
      </c>
      <c r="H1274" t="inlineStr">
        <is>
          <t xml:space="preserve">ANAS001:ANAサポート　　</t>
        </is>
      </c>
      <c r="I1274" s="1" t="n">
        <v>45932</v>
      </c>
      <c r="J1274" t="n">
        <v>1</v>
      </c>
      <c r="L1274">
        <f>IFERROR(LEFT(K1274,             FIND(",", K1274) - 1), "-")</f>
        <v/>
      </c>
      <c r="M1274">
        <f>IFERROR(MID(K1274,             FIND(",", K1274) + 1, LEN(K1274) - FIND(",", K1274)), K1274)</f>
        <v/>
      </c>
      <c r="N1274" t="n">
        <v>3</v>
      </c>
      <c r="P1274" t="inlineStr">
        <is>
          <t>13:45</t>
        </is>
      </c>
      <c r="Q1274" t="inlineStr">
        <is>
          <t>14:45</t>
        </is>
      </c>
    </row>
    <row r="1275">
      <c r="A1275" t="inlineStr">
        <is>
          <t>実川 啓明</t>
        </is>
      </c>
      <c r="B1275" t="inlineStr">
        <is>
          <t xml:space="preserve">ANAS001:ANAサポート　　</t>
        </is>
      </c>
      <c r="D1275">
        <f>L1275</f>
        <v/>
      </c>
      <c r="E1275">
        <f>SUMIFS(J:J, G:G,             A1275, H:H, B1275, L:L, L1275)</f>
        <v/>
      </c>
      <c r="F1275" t="inlineStr">
        <is>
          <t>34</t>
        </is>
      </c>
      <c r="G1275" t="inlineStr">
        <is>
          <t>実川 啓明</t>
        </is>
      </c>
      <c r="H1275" t="inlineStr">
        <is>
          <t xml:space="preserve">ANAS001:ANAサポート　　</t>
        </is>
      </c>
      <c r="I1275" s="1" t="n">
        <v>45933</v>
      </c>
      <c r="J1275" t="n">
        <v>1</v>
      </c>
      <c r="L1275">
        <f>IFERROR(LEFT(K1275,             FIND(",", K1275) - 1), "-")</f>
        <v/>
      </c>
      <c r="M1275">
        <f>IFERROR(MID(K1275,             FIND(",", K1275) + 1, LEN(K1275) - FIND(",", K1275)), K1275)</f>
        <v/>
      </c>
      <c r="N1275" t="n">
        <v>3</v>
      </c>
      <c r="P1275" t="inlineStr">
        <is>
          <t>10:30</t>
        </is>
      </c>
      <c r="Q1275" t="inlineStr">
        <is>
          <t>11:30</t>
        </is>
      </c>
    </row>
    <row r="1276">
      <c r="A1276" t="inlineStr">
        <is>
          <t>実川 啓明</t>
        </is>
      </c>
      <c r="B1276" t="inlineStr">
        <is>
          <t xml:space="preserve">ANAS001:ANAサポート　　</t>
        </is>
      </c>
      <c r="D1276">
        <f>L1276</f>
        <v/>
      </c>
      <c r="E1276">
        <f>SUMIFS(J:J, G:G,             A1276, H:H, B1276, L:L, L1276)</f>
        <v/>
      </c>
      <c r="F1276" t="inlineStr">
        <is>
          <t>34</t>
        </is>
      </c>
      <c r="G1276" t="inlineStr">
        <is>
          <t>実川 啓明</t>
        </is>
      </c>
      <c r="H1276" t="inlineStr">
        <is>
          <t xml:space="preserve">ANAS001:ANAサポート　　</t>
        </is>
      </c>
      <c r="I1276" s="1" t="n">
        <v>45933</v>
      </c>
      <c r="J1276" t="n">
        <v>2.5</v>
      </c>
      <c r="L1276">
        <f>IFERROR(LEFT(K1276,             FIND(",", K1276) - 1), "-")</f>
        <v/>
      </c>
      <c r="M1276">
        <f>IFERROR(MID(K1276,             FIND(",", K1276) + 1, LEN(K1276) - FIND(",", K1276)), K1276)</f>
        <v/>
      </c>
      <c r="N1276" t="n">
        <v>3</v>
      </c>
      <c r="P1276" t="inlineStr">
        <is>
          <t>16:00</t>
        </is>
      </c>
      <c r="Q1276" t="inlineStr">
        <is>
          <t>18:30</t>
        </is>
      </c>
    </row>
    <row r="1277">
      <c r="A1277" t="inlineStr">
        <is>
          <t>実川 啓明</t>
        </is>
      </c>
      <c r="B1277" t="inlineStr">
        <is>
          <t xml:space="preserve">ANAS001:ANAサポート　　</t>
        </is>
      </c>
      <c r="D1277">
        <f>L1277</f>
        <v/>
      </c>
      <c r="E1277">
        <f>SUMIFS(J:J, G:G,             A1277, H:H, B1277, L:L, L1277)</f>
        <v/>
      </c>
      <c r="F1277" t="inlineStr">
        <is>
          <t>34</t>
        </is>
      </c>
      <c r="G1277" t="inlineStr">
        <is>
          <t>実川 啓明</t>
        </is>
      </c>
      <c r="H1277" t="inlineStr">
        <is>
          <t xml:space="preserve">ANAS001:ANAサポート　　</t>
        </is>
      </c>
      <c r="I1277" s="1" t="n">
        <v>45936</v>
      </c>
      <c r="J1277" t="n">
        <v>3</v>
      </c>
      <c r="L1277">
        <f>IFERROR(LEFT(K1277,             FIND(",", K1277) - 1), "-")</f>
        <v/>
      </c>
      <c r="M1277">
        <f>IFERROR(MID(K1277,             FIND(",", K1277) + 1, LEN(K1277) - FIND(",", K1277)), K1277)</f>
        <v/>
      </c>
      <c r="N1277" t="n">
        <v>3</v>
      </c>
      <c r="P1277" t="inlineStr">
        <is>
          <t>13:00</t>
        </is>
      </c>
      <c r="Q1277" t="inlineStr">
        <is>
          <t>16:00</t>
        </is>
      </c>
    </row>
    <row r="1278">
      <c r="A1278" t="inlineStr">
        <is>
          <t>実川 啓明</t>
        </is>
      </c>
      <c r="B1278" t="inlineStr">
        <is>
          <t xml:space="preserve">ANAS001:ANAサポート　　</t>
        </is>
      </c>
      <c r="D1278">
        <f>L1278</f>
        <v/>
      </c>
      <c r="E1278">
        <f>SUMIFS(J:J, G:G,             A1278, H:H, B1278, L:L, L1278)</f>
        <v/>
      </c>
      <c r="F1278" t="inlineStr">
        <is>
          <t>34</t>
        </is>
      </c>
      <c r="G1278" t="inlineStr">
        <is>
          <t>実川 啓明</t>
        </is>
      </c>
      <c r="H1278" t="inlineStr">
        <is>
          <t xml:space="preserve">ANAS001:ANAサポート　　</t>
        </is>
      </c>
      <c r="I1278" s="1" t="n">
        <v>45937</v>
      </c>
      <c r="J1278" t="n">
        <v>1.5</v>
      </c>
      <c r="L1278">
        <f>IFERROR(LEFT(K1278,             FIND(",", K1278) - 1), "-")</f>
        <v/>
      </c>
      <c r="M1278">
        <f>IFERROR(MID(K1278,             FIND(",", K1278) + 1, LEN(K1278) - FIND(",", K1278)), K1278)</f>
        <v/>
      </c>
      <c r="N1278" t="n">
        <v>3</v>
      </c>
      <c r="P1278" t="inlineStr">
        <is>
          <t>09:00</t>
        </is>
      </c>
      <c r="Q1278" t="inlineStr">
        <is>
          <t>10:30</t>
        </is>
      </c>
    </row>
    <row r="1279">
      <c r="A1279" t="inlineStr">
        <is>
          <t>実川 啓明</t>
        </is>
      </c>
      <c r="B1279" t="inlineStr">
        <is>
          <t xml:space="preserve">ANAS001:ANAサポート　　</t>
        </is>
      </c>
      <c r="D1279">
        <f>L1279</f>
        <v/>
      </c>
      <c r="E1279">
        <f>SUMIFS(J:J, G:G,             A1279, H:H, B1279, L:L, L1279)</f>
        <v/>
      </c>
      <c r="F1279" t="inlineStr">
        <is>
          <t>34</t>
        </is>
      </c>
      <c r="G1279" t="inlineStr">
        <is>
          <t>実川 啓明</t>
        </is>
      </c>
      <c r="H1279" t="inlineStr">
        <is>
          <t xml:space="preserve">ANAS001:ANAサポート　　</t>
        </is>
      </c>
      <c r="I1279" s="1" t="n">
        <v>45937</v>
      </c>
      <c r="J1279" t="n">
        <v>2.5</v>
      </c>
      <c r="L1279">
        <f>IFERROR(LEFT(K1279,             FIND(",", K1279) - 1), "-")</f>
        <v/>
      </c>
      <c r="M1279">
        <f>IFERROR(MID(K1279,             FIND(",", K1279) + 1, LEN(K1279) - FIND(",", K1279)), K1279)</f>
        <v/>
      </c>
      <c r="N1279" t="n">
        <v>3</v>
      </c>
      <c r="P1279" t="inlineStr">
        <is>
          <t>14:30</t>
        </is>
      </c>
      <c r="Q1279" t="inlineStr">
        <is>
          <t>17:00</t>
        </is>
      </c>
    </row>
    <row r="1280">
      <c r="A1280" t="inlineStr">
        <is>
          <t>実川 啓明</t>
        </is>
      </c>
      <c r="B1280" t="inlineStr">
        <is>
          <t xml:space="preserve">ANAS001:ANAサポート　　</t>
        </is>
      </c>
      <c r="D1280">
        <f>L1280</f>
        <v/>
      </c>
      <c r="E1280">
        <f>SUMIFS(J:J, G:G,             A1280, H:H, B1280, L:L, L1280)</f>
        <v/>
      </c>
      <c r="F1280" t="inlineStr">
        <is>
          <t>34</t>
        </is>
      </c>
      <c r="G1280" t="inlineStr">
        <is>
          <t>実川 啓明</t>
        </is>
      </c>
      <c r="H1280" t="inlineStr">
        <is>
          <t xml:space="preserve">ANAS001:ANAサポート　　</t>
        </is>
      </c>
      <c r="I1280" s="1" t="n">
        <v>45938</v>
      </c>
      <c r="J1280" t="n">
        <v>1</v>
      </c>
      <c r="L1280">
        <f>IFERROR(LEFT(K1280,             FIND(",", K1280) - 1), "-")</f>
        <v/>
      </c>
      <c r="M1280">
        <f>IFERROR(MID(K1280,             FIND(",", K1280) + 1, LEN(K1280) - FIND(",", K1280)), K1280)</f>
        <v/>
      </c>
      <c r="N1280" t="n">
        <v>3</v>
      </c>
      <c r="P1280" t="inlineStr">
        <is>
          <t>10:00</t>
        </is>
      </c>
      <c r="Q1280" t="inlineStr">
        <is>
          <t>11:00</t>
        </is>
      </c>
    </row>
    <row r="1281">
      <c r="A1281" t="inlineStr">
        <is>
          <t>実川 啓明</t>
        </is>
      </c>
      <c r="B1281" t="inlineStr">
        <is>
          <t xml:space="preserve">ANAS001:ANAサポート　　</t>
        </is>
      </c>
      <c r="D1281">
        <f>L1281</f>
        <v/>
      </c>
      <c r="E1281">
        <f>SUMIFS(J:J, G:G,             A1281, H:H, B1281, L:L, L1281)</f>
        <v/>
      </c>
      <c r="F1281" t="inlineStr">
        <is>
          <t>34</t>
        </is>
      </c>
      <c r="G1281" t="inlineStr">
        <is>
          <t>実川 啓明</t>
        </is>
      </c>
      <c r="H1281" t="inlineStr">
        <is>
          <t xml:space="preserve">ANAS001:ANAサポート　　</t>
        </is>
      </c>
      <c r="I1281" s="1" t="n">
        <v>45938</v>
      </c>
      <c r="J1281" t="n">
        <v>1.25</v>
      </c>
      <c r="L1281">
        <f>IFERROR(LEFT(K1281,             FIND(",", K1281) - 1), "-")</f>
        <v/>
      </c>
      <c r="M1281">
        <f>IFERROR(MID(K1281,             FIND(",", K1281) + 1, LEN(K1281) - FIND(",", K1281)), K1281)</f>
        <v/>
      </c>
      <c r="N1281" t="n">
        <v>3</v>
      </c>
      <c r="P1281" t="inlineStr">
        <is>
          <t>17:00</t>
        </is>
      </c>
      <c r="Q1281" t="inlineStr">
        <is>
          <t>18:15</t>
        </is>
      </c>
    </row>
    <row r="1282">
      <c r="A1282" t="inlineStr">
        <is>
          <t>実川 啓明</t>
        </is>
      </c>
      <c r="B1282" t="inlineStr">
        <is>
          <t xml:space="preserve">ANAS001:ANAサポート　　</t>
        </is>
      </c>
      <c r="D1282">
        <f>L1282</f>
        <v/>
      </c>
      <c r="E1282">
        <f>SUMIFS(J:J, G:G,             A1282, H:H, B1282, L:L, L1282)</f>
        <v/>
      </c>
      <c r="F1282" t="inlineStr">
        <is>
          <t>34</t>
        </is>
      </c>
      <c r="G1282" t="inlineStr">
        <is>
          <t>実川 啓明</t>
        </is>
      </c>
      <c r="H1282" t="inlineStr">
        <is>
          <t xml:space="preserve">ANAS001:ANAサポート　　</t>
        </is>
      </c>
      <c r="I1282" s="1" t="n">
        <v>45939</v>
      </c>
      <c r="J1282" t="n">
        <v>2</v>
      </c>
      <c r="L1282">
        <f>IFERROR(LEFT(K1282,             FIND(",", K1282) - 1), "-")</f>
        <v/>
      </c>
      <c r="M1282">
        <f>IFERROR(MID(K1282,             FIND(",", K1282) + 1, LEN(K1282) - FIND(",", K1282)), K1282)</f>
        <v/>
      </c>
      <c r="N1282" t="n">
        <v>3</v>
      </c>
      <c r="P1282" t="inlineStr">
        <is>
          <t>10:00</t>
        </is>
      </c>
      <c r="Q1282" t="inlineStr">
        <is>
          <t>12:00</t>
        </is>
      </c>
    </row>
    <row r="1283">
      <c r="A1283" t="inlineStr">
        <is>
          <t>実川 啓明</t>
        </is>
      </c>
      <c r="B1283" t="inlineStr">
        <is>
          <t xml:space="preserve">ANAS001:ANAサポート　　</t>
        </is>
      </c>
      <c r="D1283">
        <f>L1283</f>
        <v/>
      </c>
      <c r="E1283">
        <f>SUMIFS(J:J, G:G,             A1283, H:H, B1283, L:L, L1283)</f>
        <v/>
      </c>
      <c r="F1283" t="inlineStr">
        <is>
          <t>34</t>
        </is>
      </c>
      <c r="G1283" t="inlineStr">
        <is>
          <t>実川 啓明</t>
        </is>
      </c>
      <c r="H1283" t="inlineStr">
        <is>
          <t xml:space="preserve">ANAS001:ANAサポート　　</t>
        </is>
      </c>
      <c r="I1283" s="1" t="n">
        <v>45939</v>
      </c>
      <c r="J1283" t="n">
        <v>1.5</v>
      </c>
      <c r="L1283">
        <f>IFERROR(LEFT(K1283,             FIND(",", K1283) - 1), "-")</f>
        <v/>
      </c>
      <c r="M1283">
        <f>IFERROR(MID(K1283,             FIND(",", K1283) + 1, LEN(K1283) - FIND(",", K1283)), K1283)</f>
        <v/>
      </c>
      <c r="N1283" t="n">
        <v>3</v>
      </c>
      <c r="P1283" t="inlineStr">
        <is>
          <t>13:00</t>
        </is>
      </c>
      <c r="Q1283" t="inlineStr">
        <is>
          <t>14:30</t>
        </is>
      </c>
    </row>
    <row r="1284">
      <c r="A1284" t="inlineStr">
        <is>
          <t>実川 啓明</t>
        </is>
      </c>
      <c r="B1284" t="inlineStr">
        <is>
          <t xml:space="preserve">ANAS001:ANAサポート　　</t>
        </is>
      </c>
      <c r="D1284">
        <f>L1284</f>
        <v/>
      </c>
      <c r="E1284">
        <f>SUMIFS(J:J, G:G,             A1284, H:H, B1284, L:L, L1284)</f>
        <v/>
      </c>
      <c r="F1284" t="inlineStr">
        <is>
          <t>34</t>
        </is>
      </c>
      <c r="G1284" t="inlineStr">
        <is>
          <t>実川 啓明</t>
        </is>
      </c>
      <c r="H1284" t="inlineStr">
        <is>
          <t xml:space="preserve">ANAS001:ANAサポート　　</t>
        </is>
      </c>
      <c r="I1284" s="1" t="n">
        <v>45939</v>
      </c>
      <c r="J1284" t="n">
        <v>1.25</v>
      </c>
      <c r="L1284">
        <f>IFERROR(LEFT(K1284,             FIND(",", K1284) - 1), "-")</f>
        <v/>
      </c>
      <c r="M1284">
        <f>IFERROR(MID(K1284,             FIND(",", K1284) + 1, LEN(K1284) - FIND(",", K1284)), K1284)</f>
        <v/>
      </c>
      <c r="N1284" t="n">
        <v>3</v>
      </c>
      <c r="P1284" t="inlineStr">
        <is>
          <t>17:30</t>
        </is>
      </c>
      <c r="Q1284" t="inlineStr">
        <is>
          <t>18:45</t>
        </is>
      </c>
    </row>
    <row r="1285">
      <c r="A1285" t="inlineStr">
        <is>
          <t>実川 啓明</t>
        </is>
      </c>
      <c r="B1285" t="inlineStr">
        <is>
          <t xml:space="preserve">ANAS001:ANAサポート　　</t>
        </is>
      </c>
      <c r="D1285">
        <f>L1285</f>
        <v/>
      </c>
      <c r="E1285">
        <f>SUMIFS(J:J, G:G,             A1285, H:H, B1285, L:L, L1285)</f>
        <v/>
      </c>
      <c r="F1285" t="inlineStr">
        <is>
          <t>34</t>
        </is>
      </c>
      <c r="G1285" t="inlineStr">
        <is>
          <t>実川 啓明</t>
        </is>
      </c>
      <c r="H1285" t="inlineStr">
        <is>
          <t xml:space="preserve">ANAS001:ANAサポート　　</t>
        </is>
      </c>
      <c r="I1285" s="1" t="n">
        <v>45940</v>
      </c>
      <c r="J1285" t="n">
        <v>1.5</v>
      </c>
      <c r="L1285">
        <f>IFERROR(LEFT(K1285,             FIND(",", K1285) - 1), "-")</f>
        <v/>
      </c>
      <c r="M1285">
        <f>IFERROR(MID(K1285,             FIND(",", K1285) + 1, LEN(K1285) - FIND(",", K1285)), K1285)</f>
        <v/>
      </c>
      <c r="N1285" t="n">
        <v>3</v>
      </c>
      <c r="P1285" t="inlineStr">
        <is>
          <t>10:30</t>
        </is>
      </c>
      <c r="Q1285" t="inlineStr">
        <is>
          <t>12:00</t>
        </is>
      </c>
    </row>
    <row r="1286">
      <c r="A1286" t="inlineStr">
        <is>
          <t>実川 啓明</t>
        </is>
      </c>
      <c r="B1286" t="inlineStr">
        <is>
          <t xml:space="preserve">ANAS001:ANAサポート　　</t>
        </is>
      </c>
      <c r="D1286">
        <f>L1286</f>
        <v/>
      </c>
      <c r="E1286">
        <f>SUMIFS(J:J, G:G,             A1286, H:H, B1286, L:L, L1286)</f>
        <v/>
      </c>
      <c r="F1286" t="inlineStr">
        <is>
          <t>34</t>
        </is>
      </c>
      <c r="G1286" t="inlineStr">
        <is>
          <t>実川 啓明</t>
        </is>
      </c>
      <c r="H1286" t="inlineStr">
        <is>
          <t xml:space="preserve">ANAS001:ANAサポート　　</t>
        </is>
      </c>
      <c r="I1286" s="1" t="n">
        <v>45940</v>
      </c>
      <c r="J1286" t="n">
        <v>2.5</v>
      </c>
      <c r="L1286">
        <f>IFERROR(LEFT(K1286,             FIND(",", K1286) - 1), "-")</f>
        <v/>
      </c>
      <c r="M1286">
        <f>IFERROR(MID(K1286,             FIND(",", K1286) + 1, LEN(K1286) - FIND(",", K1286)), K1286)</f>
        <v/>
      </c>
      <c r="N1286" t="n">
        <v>3</v>
      </c>
      <c r="P1286" t="inlineStr">
        <is>
          <t>16:00</t>
        </is>
      </c>
      <c r="Q1286" t="inlineStr">
        <is>
          <t>18:30</t>
        </is>
      </c>
    </row>
    <row r="1287">
      <c r="A1287" t="inlineStr">
        <is>
          <t>実川 啓明</t>
        </is>
      </c>
      <c r="B1287" t="inlineStr">
        <is>
          <t xml:space="preserve">ANAS001:ANAサポート　　</t>
        </is>
      </c>
      <c r="D1287">
        <f>L1287</f>
        <v/>
      </c>
      <c r="E1287">
        <f>SUMIFS(J:J, G:G,             A1287, H:H, B1287, L:L, L1287)</f>
        <v/>
      </c>
      <c r="F1287" t="inlineStr">
        <is>
          <t>34</t>
        </is>
      </c>
      <c r="G1287" t="inlineStr">
        <is>
          <t>実川 啓明</t>
        </is>
      </c>
      <c r="H1287" t="inlineStr">
        <is>
          <t xml:space="preserve">ANAS001:ANAサポート　　</t>
        </is>
      </c>
      <c r="I1287" s="1" t="n">
        <v>45944</v>
      </c>
      <c r="J1287" t="n">
        <v>1</v>
      </c>
      <c r="L1287">
        <f>IFERROR(LEFT(K1287,             FIND(",", K1287) - 1), "-")</f>
        <v/>
      </c>
      <c r="M1287">
        <f>IFERROR(MID(K1287,             FIND(",", K1287) + 1, LEN(K1287) - FIND(",", K1287)), K1287)</f>
        <v/>
      </c>
      <c r="N1287" t="n">
        <v>3</v>
      </c>
      <c r="P1287" t="inlineStr">
        <is>
          <t>09:00</t>
        </is>
      </c>
      <c r="Q1287" t="inlineStr">
        <is>
          <t>10:00</t>
        </is>
      </c>
    </row>
    <row r="1288">
      <c r="A1288" t="inlineStr">
        <is>
          <t>実川 啓明</t>
        </is>
      </c>
      <c r="B1288" t="inlineStr">
        <is>
          <t xml:space="preserve">ANAS001:ANAサポート　　</t>
        </is>
      </c>
      <c r="D1288">
        <f>L1288</f>
        <v/>
      </c>
      <c r="E1288">
        <f>SUMIFS(J:J, G:G,             A1288, H:H, B1288, L:L, L1288)</f>
        <v/>
      </c>
      <c r="F1288" t="inlineStr">
        <is>
          <t>34</t>
        </is>
      </c>
      <c r="G1288" t="inlineStr">
        <is>
          <t>実川 啓明</t>
        </is>
      </c>
      <c r="H1288" t="inlineStr">
        <is>
          <t xml:space="preserve">ANAS001:ANAサポート　　</t>
        </is>
      </c>
      <c r="I1288" s="1" t="n">
        <v>45944</v>
      </c>
      <c r="J1288" t="n">
        <v>1</v>
      </c>
      <c r="L1288">
        <f>IFERROR(LEFT(K1288,             FIND(",", K1288) - 1), "-")</f>
        <v/>
      </c>
      <c r="M1288">
        <f>IFERROR(MID(K1288,             FIND(",", K1288) + 1, LEN(K1288) - FIND(",", K1288)), K1288)</f>
        <v/>
      </c>
      <c r="N1288" t="n">
        <v>3</v>
      </c>
      <c r="P1288" t="inlineStr">
        <is>
          <t>11:00</t>
        </is>
      </c>
      <c r="Q1288" t="inlineStr">
        <is>
          <t>12:00</t>
        </is>
      </c>
    </row>
    <row r="1289">
      <c r="A1289" t="inlineStr">
        <is>
          <t>実川 啓明</t>
        </is>
      </c>
      <c r="B1289" t="inlineStr">
        <is>
          <t xml:space="preserve">ANAS001:ANAサポート　　</t>
        </is>
      </c>
      <c r="D1289">
        <f>L1289</f>
        <v/>
      </c>
      <c r="E1289">
        <f>SUMIFS(J:J, G:G,             A1289, H:H, B1289, L:L, L1289)</f>
        <v/>
      </c>
      <c r="F1289" t="inlineStr">
        <is>
          <t>34</t>
        </is>
      </c>
      <c r="G1289" t="inlineStr">
        <is>
          <t>実川 啓明</t>
        </is>
      </c>
      <c r="H1289" t="inlineStr">
        <is>
          <t xml:space="preserve">ANAS001:ANAサポート　　</t>
        </is>
      </c>
      <c r="I1289" s="1" t="n">
        <v>45944</v>
      </c>
      <c r="J1289" t="n">
        <v>0.5</v>
      </c>
      <c r="L1289">
        <f>IFERROR(LEFT(K1289,             FIND(",", K1289) - 1), "-")</f>
        <v/>
      </c>
      <c r="M1289">
        <f>IFERROR(MID(K1289,             FIND(",", K1289) + 1, LEN(K1289) - FIND(",", K1289)), K1289)</f>
        <v/>
      </c>
      <c r="N1289" t="n">
        <v>3</v>
      </c>
      <c r="P1289" t="inlineStr">
        <is>
          <t>13:00</t>
        </is>
      </c>
      <c r="Q1289" t="inlineStr">
        <is>
          <t>13:30</t>
        </is>
      </c>
    </row>
    <row r="1290">
      <c r="A1290" t="inlineStr">
        <is>
          <t>実川 啓明</t>
        </is>
      </c>
      <c r="B1290" t="inlineStr">
        <is>
          <t xml:space="preserve">ANAS001:ANAサポート　　</t>
        </is>
      </c>
      <c r="D1290">
        <f>L1290</f>
        <v/>
      </c>
      <c r="E1290">
        <f>SUMIFS(J:J, G:G,             A1290, H:H, B1290, L:L, L1290)</f>
        <v/>
      </c>
      <c r="F1290" t="inlineStr">
        <is>
          <t>34</t>
        </is>
      </c>
      <c r="G1290" t="inlineStr">
        <is>
          <t>実川 啓明</t>
        </is>
      </c>
      <c r="H1290" t="inlineStr">
        <is>
          <t xml:space="preserve">ANAS001:ANAサポート　　</t>
        </is>
      </c>
      <c r="I1290" s="1" t="n">
        <v>45944</v>
      </c>
      <c r="J1290" t="n">
        <v>1</v>
      </c>
      <c r="L1290">
        <f>IFERROR(LEFT(K1290,             FIND(",", K1290) - 1), "-")</f>
        <v/>
      </c>
      <c r="M1290">
        <f>IFERROR(MID(K1290,             FIND(",", K1290) + 1, LEN(K1290) - FIND(",", K1290)), K1290)</f>
        <v/>
      </c>
      <c r="N1290" t="n">
        <v>3</v>
      </c>
      <c r="P1290" t="inlineStr">
        <is>
          <t>14:00</t>
        </is>
      </c>
      <c r="Q1290" t="inlineStr">
        <is>
          <t>15:00</t>
        </is>
      </c>
    </row>
    <row r="1291">
      <c r="A1291" t="inlineStr">
        <is>
          <t>実川 啓明</t>
        </is>
      </c>
      <c r="B1291" t="inlineStr">
        <is>
          <t xml:space="preserve">ANAS001:ANAサポート　　</t>
        </is>
      </c>
      <c r="D1291">
        <f>L1291</f>
        <v/>
      </c>
      <c r="E1291">
        <f>SUMIFS(J:J, G:G,             A1291, H:H, B1291, L:L, L1291)</f>
        <v/>
      </c>
      <c r="F1291" t="inlineStr">
        <is>
          <t>34</t>
        </is>
      </c>
      <c r="G1291" t="inlineStr">
        <is>
          <t>実川 啓明</t>
        </is>
      </c>
      <c r="H1291" t="inlineStr">
        <is>
          <t xml:space="preserve">ANAS001:ANAサポート　　</t>
        </is>
      </c>
      <c r="I1291" s="1" t="n">
        <v>45945</v>
      </c>
      <c r="J1291" t="n">
        <v>0.5</v>
      </c>
      <c r="L1291">
        <f>IFERROR(LEFT(K1291,             FIND(",", K1291) - 1), "-")</f>
        <v/>
      </c>
      <c r="M1291">
        <f>IFERROR(MID(K1291,             FIND(",", K1291) + 1, LEN(K1291) - FIND(",", K1291)), K1291)</f>
        <v/>
      </c>
      <c r="N1291" t="n">
        <v>3</v>
      </c>
      <c r="P1291" t="inlineStr">
        <is>
          <t>10:00</t>
        </is>
      </c>
      <c r="Q1291" t="inlineStr">
        <is>
          <t>10:30</t>
        </is>
      </c>
    </row>
    <row r="1292">
      <c r="A1292" t="inlineStr">
        <is>
          <t>実川 啓明</t>
        </is>
      </c>
      <c r="B1292" t="inlineStr">
        <is>
          <t xml:space="preserve">ANAS001:ANAサポート　　</t>
        </is>
      </c>
      <c r="D1292">
        <f>L1292</f>
        <v/>
      </c>
      <c r="E1292">
        <f>SUMIFS(J:J, G:G,             A1292, H:H, B1292, L:L, L1292)</f>
        <v/>
      </c>
      <c r="F1292" t="inlineStr">
        <is>
          <t>34</t>
        </is>
      </c>
      <c r="G1292" t="inlineStr">
        <is>
          <t>実川 啓明</t>
        </is>
      </c>
      <c r="H1292" t="inlineStr">
        <is>
          <t xml:space="preserve">ANAS001:ANAサポート　　</t>
        </is>
      </c>
      <c r="I1292" s="1" t="n">
        <v>45945</v>
      </c>
      <c r="J1292" t="n">
        <v>2</v>
      </c>
      <c r="L1292">
        <f>IFERROR(LEFT(K1292,             FIND(",", K1292) - 1), "-")</f>
        <v/>
      </c>
      <c r="M1292">
        <f>IFERROR(MID(K1292,             FIND(",", K1292) + 1, LEN(K1292) - FIND(",", K1292)), K1292)</f>
        <v/>
      </c>
      <c r="N1292" t="n">
        <v>3</v>
      </c>
      <c r="P1292" t="inlineStr">
        <is>
          <t>13:00</t>
        </is>
      </c>
      <c r="Q1292" t="inlineStr">
        <is>
          <t>15:00</t>
        </is>
      </c>
    </row>
    <row r="1293">
      <c r="A1293" t="inlineStr">
        <is>
          <t>実川 啓明</t>
        </is>
      </c>
      <c r="B1293" t="inlineStr">
        <is>
          <t xml:space="preserve">ANAS001:ANAサポート　　</t>
        </is>
      </c>
      <c r="D1293">
        <f>L1293</f>
        <v/>
      </c>
      <c r="E1293">
        <f>SUMIFS(J:J, G:G,             A1293, H:H, B1293, L:L, L1293)</f>
        <v/>
      </c>
      <c r="F1293" t="inlineStr">
        <is>
          <t>34</t>
        </is>
      </c>
      <c r="G1293" t="inlineStr">
        <is>
          <t>実川 啓明</t>
        </is>
      </c>
      <c r="H1293" t="inlineStr">
        <is>
          <t xml:space="preserve">ANAS001:ANAサポート　　</t>
        </is>
      </c>
      <c r="I1293" s="1" t="n">
        <v>45946</v>
      </c>
      <c r="J1293" t="n">
        <v>1</v>
      </c>
      <c r="L1293">
        <f>IFERROR(LEFT(K1293,             FIND(",", K1293) - 1), "-")</f>
        <v/>
      </c>
      <c r="M1293">
        <f>IFERROR(MID(K1293,             FIND(",", K1293) + 1, LEN(K1293) - FIND(",", K1293)), K1293)</f>
        <v/>
      </c>
      <c r="N1293" t="n">
        <v>3</v>
      </c>
      <c r="P1293" t="inlineStr">
        <is>
          <t>09:00</t>
        </is>
      </c>
      <c r="Q1293" t="inlineStr">
        <is>
          <t>10:00</t>
        </is>
      </c>
    </row>
    <row r="1294">
      <c r="A1294" t="inlineStr">
        <is>
          <t>実川 啓明</t>
        </is>
      </c>
      <c r="B1294" t="inlineStr">
        <is>
          <t xml:space="preserve">ANAS001:ANAサポート　　</t>
        </is>
      </c>
      <c r="D1294">
        <f>L1294</f>
        <v/>
      </c>
      <c r="E1294">
        <f>SUMIFS(J:J, G:G,             A1294, H:H, B1294, L:L, L1294)</f>
        <v/>
      </c>
      <c r="F1294" t="inlineStr">
        <is>
          <t>34</t>
        </is>
      </c>
      <c r="G1294" t="inlineStr">
        <is>
          <t>実川 啓明</t>
        </is>
      </c>
      <c r="H1294" t="inlineStr">
        <is>
          <t xml:space="preserve">ANAS001:ANAサポート　　</t>
        </is>
      </c>
      <c r="I1294" s="1" t="n">
        <v>45947</v>
      </c>
      <c r="J1294" t="n">
        <v>0.5</v>
      </c>
      <c r="L1294">
        <f>IFERROR(LEFT(K1294,             FIND(",", K1294) - 1), "-")</f>
        <v/>
      </c>
      <c r="M1294">
        <f>IFERROR(MID(K1294,             FIND(",", K1294) + 1, LEN(K1294) - FIND(",", K1294)), K1294)</f>
        <v/>
      </c>
      <c r="N1294" t="n">
        <v>3</v>
      </c>
      <c r="P1294" t="inlineStr">
        <is>
          <t>13:00</t>
        </is>
      </c>
      <c r="Q1294" t="inlineStr">
        <is>
          <t>13:30</t>
        </is>
      </c>
    </row>
    <row r="1295">
      <c r="A1295" t="inlineStr">
        <is>
          <t>実川 啓明</t>
        </is>
      </c>
      <c r="B1295" t="inlineStr">
        <is>
          <t xml:space="preserve">ANAS001:ANAサポート　　</t>
        </is>
      </c>
      <c r="D1295">
        <f>L1295</f>
        <v/>
      </c>
      <c r="E1295">
        <f>SUMIFS(J:J, G:G,             A1295, H:H, B1295, L:L, L1295)</f>
        <v/>
      </c>
      <c r="F1295" t="inlineStr">
        <is>
          <t>34</t>
        </is>
      </c>
      <c r="G1295" t="inlineStr">
        <is>
          <t>実川 啓明</t>
        </is>
      </c>
      <c r="H1295" t="inlineStr">
        <is>
          <t xml:space="preserve">ANAS001:ANAサポート　　</t>
        </is>
      </c>
      <c r="I1295" s="1" t="n">
        <v>45947</v>
      </c>
      <c r="J1295" t="n">
        <v>1</v>
      </c>
      <c r="L1295">
        <f>IFERROR(LEFT(K1295,             FIND(",", K1295) - 1), "-")</f>
        <v/>
      </c>
      <c r="M1295">
        <f>IFERROR(MID(K1295,             FIND(",", K1295) + 1, LEN(K1295) - FIND(",", K1295)), K1295)</f>
        <v/>
      </c>
      <c r="N1295" t="n">
        <v>3</v>
      </c>
      <c r="P1295" t="inlineStr">
        <is>
          <t>15:45</t>
        </is>
      </c>
      <c r="Q1295" t="inlineStr">
        <is>
          <t>16:45</t>
        </is>
      </c>
    </row>
    <row r="1296">
      <c r="A1296" t="inlineStr">
        <is>
          <t>実川 啓明</t>
        </is>
      </c>
      <c r="B1296" t="inlineStr">
        <is>
          <t xml:space="preserve">ANAS001:ANAサポート　　</t>
        </is>
      </c>
      <c r="D1296">
        <f>L1296</f>
        <v/>
      </c>
      <c r="E1296">
        <f>SUMIFS(J:J, G:G,             A1296, H:H, B1296, L:L, L1296)</f>
        <v/>
      </c>
      <c r="F1296" t="inlineStr">
        <is>
          <t>34</t>
        </is>
      </c>
      <c r="G1296" t="inlineStr">
        <is>
          <t>実川 啓明</t>
        </is>
      </c>
      <c r="H1296" t="inlineStr">
        <is>
          <t xml:space="preserve">ANAS001:ANAサポート　　</t>
        </is>
      </c>
      <c r="I1296" s="1" t="n">
        <v>45951</v>
      </c>
      <c r="J1296" t="n">
        <v>1.5</v>
      </c>
      <c r="L1296">
        <f>IFERROR(LEFT(K1296,             FIND(",", K1296) - 1), "-")</f>
        <v/>
      </c>
      <c r="M1296">
        <f>IFERROR(MID(K1296,             FIND(",", K1296) + 1, LEN(K1296) - FIND(",", K1296)), K1296)</f>
        <v/>
      </c>
      <c r="N1296" t="n">
        <v>3</v>
      </c>
      <c r="P1296" t="inlineStr">
        <is>
          <t>09:00</t>
        </is>
      </c>
      <c r="Q1296" t="inlineStr">
        <is>
          <t>10:30</t>
        </is>
      </c>
    </row>
    <row r="1297">
      <c r="A1297" t="inlineStr">
        <is>
          <t>実川 啓明</t>
        </is>
      </c>
      <c r="B1297" t="inlineStr">
        <is>
          <t>KSUS001:九州 サポート</t>
        </is>
      </c>
      <c r="C1297">
        <f>SUMIFS(J:J, G:G,             A1297, H:H, B1297)</f>
        <v/>
      </c>
      <c r="D1297">
        <f>L1297</f>
        <v/>
      </c>
      <c r="E1297">
        <f>SUMIFS(J:J, G:G,             A1297, H:H, B1297, L:L, L1297)</f>
        <v/>
      </c>
      <c r="F1297" t="inlineStr">
        <is>
          <t>34</t>
        </is>
      </c>
      <c r="G1297" t="inlineStr">
        <is>
          <t>実川 啓明</t>
        </is>
      </c>
      <c r="H1297" t="inlineStr">
        <is>
          <t>KSUS001:九州 サポート</t>
        </is>
      </c>
      <c r="I1297" s="1" t="n">
        <v>45937</v>
      </c>
      <c r="J1297" t="n">
        <v>1.5</v>
      </c>
      <c r="L1297">
        <f>IFERROR(LEFT(K1297,             FIND(",", K1297) - 1), "-")</f>
        <v/>
      </c>
      <c r="M1297">
        <f>IFERROR(MID(K1297,             FIND(",", K1297) + 1, LEN(K1297) - FIND(",", K1297)), K1297)</f>
        <v/>
      </c>
      <c r="N1297" t="n">
        <v>3</v>
      </c>
      <c r="P1297" t="inlineStr">
        <is>
          <t>17:00</t>
        </is>
      </c>
      <c r="Q1297" t="inlineStr">
        <is>
          <t>18:30</t>
        </is>
      </c>
    </row>
    <row r="1298">
      <c r="A1298" t="inlineStr">
        <is>
          <t>実川 啓明</t>
        </is>
      </c>
      <c r="B1298" t="inlineStr">
        <is>
          <t>KSUS001:九州 サポート</t>
        </is>
      </c>
      <c r="D1298">
        <f>L1298</f>
        <v/>
      </c>
      <c r="E1298">
        <f>SUMIFS(J:J, G:G,             A1298, H:H, B1298, L:L, L1298)</f>
        <v/>
      </c>
      <c r="F1298" t="inlineStr">
        <is>
          <t>34</t>
        </is>
      </c>
      <c r="G1298" t="inlineStr">
        <is>
          <t>実川 啓明</t>
        </is>
      </c>
      <c r="H1298" t="inlineStr">
        <is>
          <t>KSUS001:九州 サポート</t>
        </is>
      </c>
      <c r="I1298" s="1" t="n">
        <v>45938</v>
      </c>
      <c r="J1298" t="n">
        <v>1</v>
      </c>
      <c r="L1298">
        <f>IFERROR(LEFT(K1298,             FIND(",", K1298) - 1), "-")</f>
        <v/>
      </c>
      <c r="M1298">
        <f>IFERROR(MID(K1298,             FIND(",", K1298) + 1, LEN(K1298) - FIND(",", K1298)), K1298)</f>
        <v/>
      </c>
      <c r="N1298" t="n">
        <v>3</v>
      </c>
      <c r="P1298" t="inlineStr">
        <is>
          <t>09:00</t>
        </is>
      </c>
      <c r="Q1298" t="inlineStr">
        <is>
          <t>10:00</t>
        </is>
      </c>
    </row>
    <row r="1299">
      <c r="A1299" t="inlineStr">
        <is>
          <t>実川 啓明</t>
        </is>
      </c>
      <c r="B1299" t="inlineStr">
        <is>
          <t>OSKs001:音楽院サポート</t>
        </is>
      </c>
      <c r="C1299">
        <f>SUMIFS(J:J, G:G,             A1299, H:H, B1299)</f>
        <v/>
      </c>
      <c r="D1299">
        <f>L1299</f>
        <v/>
      </c>
      <c r="E1299">
        <f>SUMIFS(J:J, G:G,             A1299, H:H, B1299, L:L, L1299)</f>
        <v/>
      </c>
      <c r="F1299" t="inlineStr">
        <is>
          <t>34</t>
        </is>
      </c>
      <c r="G1299" t="inlineStr">
        <is>
          <t>実川 啓明</t>
        </is>
      </c>
      <c r="H1299" t="inlineStr">
        <is>
          <t>OSKs001:音楽院サポート</t>
        </is>
      </c>
      <c r="I1299" s="1" t="n">
        <v>45932</v>
      </c>
      <c r="J1299" t="n">
        <v>1</v>
      </c>
      <c r="L1299">
        <f>IFERROR(LEFT(K1299,             FIND(",", K1299) - 1), "-")</f>
        <v/>
      </c>
      <c r="M1299">
        <f>IFERROR(MID(K1299,             FIND(",", K1299) + 1, LEN(K1299) - FIND(",", K1299)), K1299)</f>
        <v/>
      </c>
      <c r="N1299" t="n">
        <v>3</v>
      </c>
      <c r="P1299" t="inlineStr">
        <is>
          <t>09:00</t>
        </is>
      </c>
      <c r="Q1299" t="inlineStr">
        <is>
          <t>10:00</t>
        </is>
      </c>
    </row>
    <row r="1300">
      <c r="A1300" t="inlineStr">
        <is>
          <t>実川 啓明</t>
        </is>
      </c>
      <c r="B1300" t="inlineStr">
        <is>
          <t>OSKs001:音楽院サポート</t>
        </is>
      </c>
      <c r="D1300">
        <f>L1300</f>
        <v/>
      </c>
      <c r="E1300">
        <f>SUMIFS(J:J, G:G,             A1300, H:H, B1300, L:L, L1300)</f>
        <v/>
      </c>
      <c r="F1300" t="inlineStr">
        <is>
          <t>34</t>
        </is>
      </c>
      <c r="G1300" t="inlineStr">
        <is>
          <t>実川 啓明</t>
        </is>
      </c>
      <c r="H1300" t="inlineStr">
        <is>
          <t>OSKs001:音楽院サポート</t>
        </is>
      </c>
      <c r="I1300" s="1" t="n">
        <v>45932</v>
      </c>
      <c r="J1300" t="n">
        <v>1</v>
      </c>
      <c r="L1300">
        <f>IFERROR(LEFT(K1300,             FIND(",", K1300) - 1), "-")</f>
        <v/>
      </c>
      <c r="M1300">
        <f>IFERROR(MID(K1300,             FIND(",", K1300) + 1, LEN(K1300) - FIND(",", K1300)), K1300)</f>
        <v/>
      </c>
      <c r="N1300" t="n">
        <v>3</v>
      </c>
      <c r="P1300" t="inlineStr">
        <is>
          <t>16:00</t>
        </is>
      </c>
      <c r="Q1300" t="inlineStr">
        <is>
          <t>17:00</t>
        </is>
      </c>
    </row>
    <row r="1301">
      <c r="A1301" t="inlineStr">
        <is>
          <t>実川 啓明</t>
        </is>
      </c>
      <c r="B1301" t="inlineStr">
        <is>
          <t>OSKs001:音楽院サポート</t>
        </is>
      </c>
      <c r="D1301">
        <f>L1301</f>
        <v/>
      </c>
      <c r="E1301">
        <f>SUMIFS(J:J, G:G,             A1301, H:H, B1301, L:L, L1301)</f>
        <v/>
      </c>
      <c r="F1301" t="inlineStr">
        <is>
          <t>34</t>
        </is>
      </c>
      <c r="G1301" t="inlineStr">
        <is>
          <t>実川 啓明</t>
        </is>
      </c>
      <c r="H1301" t="inlineStr">
        <is>
          <t>OSKs001:音楽院サポート</t>
        </is>
      </c>
      <c r="I1301" s="1" t="n">
        <v>45933</v>
      </c>
      <c r="J1301" t="n">
        <v>0.5</v>
      </c>
      <c r="L1301">
        <f>IFERROR(LEFT(K1301,             FIND(",", K1301) - 1), "-")</f>
        <v/>
      </c>
      <c r="M1301">
        <f>IFERROR(MID(K1301,             FIND(",", K1301) + 1, LEN(K1301) - FIND(",", K1301)), K1301)</f>
        <v/>
      </c>
      <c r="N1301" t="n">
        <v>3</v>
      </c>
      <c r="P1301" t="inlineStr">
        <is>
          <t>11:30</t>
        </is>
      </c>
      <c r="Q1301" t="inlineStr">
        <is>
          <t>12:00</t>
        </is>
      </c>
    </row>
    <row r="1302">
      <c r="A1302" t="inlineStr">
        <is>
          <t>実川 啓明</t>
        </is>
      </c>
      <c r="B1302" t="inlineStr">
        <is>
          <t>OSKs001:音楽院サポート</t>
        </is>
      </c>
      <c r="D1302">
        <f>L1302</f>
        <v/>
      </c>
      <c r="E1302">
        <f>SUMIFS(J:J, G:G,             A1302, H:H, B1302, L:L, L1302)</f>
        <v/>
      </c>
      <c r="F1302" t="inlineStr">
        <is>
          <t>34</t>
        </is>
      </c>
      <c r="G1302" t="inlineStr">
        <is>
          <t>実川 啓明</t>
        </is>
      </c>
      <c r="H1302" t="inlineStr">
        <is>
          <t>OSKs001:音楽院サポート</t>
        </is>
      </c>
      <c r="I1302" s="1" t="n">
        <v>45933</v>
      </c>
      <c r="J1302" t="n">
        <v>0.5</v>
      </c>
      <c r="L1302">
        <f>IFERROR(LEFT(K1302,             FIND(",", K1302) - 1), "-")</f>
        <v/>
      </c>
      <c r="M1302">
        <f>IFERROR(MID(K1302,             FIND(",", K1302) + 1, LEN(K1302) - FIND(",", K1302)), K1302)</f>
        <v/>
      </c>
      <c r="N1302" t="n">
        <v>3</v>
      </c>
      <c r="P1302" t="inlineStr">
        <is>
          <t>13:00</t>
        </is>
      </c>
      <c r="Q1302" t="inlineStr">
        <is>
          <t>13:30</t>
        </is>
      </c>
    </row>
    <row r="1303">
      <c r="A1303" t="inlineStr">
        <is>
          <t>実川 啓明</t>
        </is>
      </c>
      <c r="B1303" t="inlineStr">
        <is>
          <t>OSKs001:音楽院サポート</t>
        </is>
      </c>
      <c r="D1303">
        <f>L1303</f>
        <v/>
      </c>
      <c r="E1303">
        <f>SUMIFS(J:J, G:G,             A1303, H:H, B1303, L:L, L1303)</f>
        <v/>
      </c>
      <c r="F1303" t="inlineStr">
        <is>
          <t>34</t>
        </is>
      </c>
      <c r="G1303" t="inlineStr">
        <is>
          <t>実川 啓明</t>
        </is>
      </c>
      <c r="H1303" t="inlineStr">
        <is>
          <t>OSKs001:音楽院サポート</t>
        </is>
      </c>
      <c r="I1303" s="1" t="n">
        <v>45933</v>
      </c>
      <c r="J1303" t="n">
        <v>0.5</v>
      </c>
      <c r="L1303">
        <f>IFERROR(LEFT(K1303,             FIND(",", K1303) - 1), "-")</f>
        <v/>
      </c>
      <c r="M1303">
        <f>IFERROR(MID(K1303,             FIND(",", K1303) + 1, LEN(K1303) - FIND(",", K1303)), K1303)</f>
        <v/>
      </c>
      <c r="N1303" t="n">
        <v>3</v>
      </c>
      <c r="P1303" t="inlineStr">
        <is>
          <t>14:30</t>
        </is>
      </c>
      <c r="Q1303" t="inlineStr">
        <is>
          <t>15:00</t>
        </is>
      </c>
    </row>
    <row r="1304">
      <c r="A1304" t="inlineStr">
        <is>
          <t>実川 啓明</t>
        </is>
      </c>
      <c r="B1304" t="inlineStr">
        <is>
          <t>OSKs001:音楽院サポート</t>
        </is>
      </c>
      <c r="D1304">
        <f>L1304</f>
        <v/>
      </c>
      <c r="E1304">
        <f>SUMIFS(J:J, G:G,             A1304, H:H, B1304, L:L, L1304)</f>
        <v/>
      </c>
      <c r="F1304" t="inlineStr">
        <is>
          <t>34</t>
        </is>
      </c>
      <c r="G1304" t="inlineStr">
        <is>
          <t>実川 啓明</t>
        </is>
      </c>
      <c r="H1304" t="inlineStr">
        <is>
          <t>OSKs001:音楽院サポート</t>
        </is>
      </c>
      <c r="I1304" s="1" t="n">
        <v>45936</v>
      </c>
      <c r="J1304" t="n">
        <v>3</v>
      </c>
      <c r="L1304">
        <f>IFERROR(LEFT(K1304,             FIND(",", K1304) - 1), "-")</f>
        <v/>
      </c>
      <c r="M1304">
        <f>IFERROR(MID(K1304,             FIND(",", K1304) + 1, LEN(K1304) - FIND(",", K1304)), K1304)</f>
        <v/>
      </c>
      <c r="N1304" t="n">
        <v>3</v>
      </c>
      <c r="P1304" t="inlineStr">
        <is>
          <t>09:00</t>
        </is>
      </c>
      <c r="Q1304" t="inlineStr">
        <is>
          <t>12:00</t>
        </is>
      </c>
    </row>
    <row r="1305">
      <c r="A1305" t="inlineStr">
        <is>
          <t>実川 啓明</t>
        </is>
      </c>
      <c r="B1305" t="inlineStr">
        <is>
          <t>OSKs001:音楽院サポート</t>
        </is>
      </c>
      <c r="D1305">
        <f>L1305</f>
        <v/>
      </c>
      <c r="E1305">
        <f>SUMIFS(J:J, G:G,             A1305, H:H, B1305, L:L, L1305)</f>
        <v/>
      </c>
      <c r="F1305" t="inlineStr">
        <is>
          <t>34</t>
        </is>
      </c>
      <c r="G1305" t="inlineStr">
        <is>
          <t>実川 啓明</t>
        </is>
      </c>
      <c r="H1305" t="inlineStr">
        <is>
          <t>OSKs001:音楽院サポート</t>
        </is>
      </c>
      <c r="I1305" s="1" t="n">
        <v>45936</v>
      </c>
      <c r="J1305" t="n">
        <v>1</v>
      </c>
      <c r="L1305">
        <f>IFERROR(LEFT(K1305,             FIND(",", K1305) - 1), "-")</f>
        <v/>
      </c>
      <c r="M1305">
        <f>IFERROR(MID(K1305,             FIND(",", K1305) + 1, LEN(K1305) - FIND(",", K1305)), K1305)</f>
        <v/>
      </c>
      <c r="N1305" t="n">
        <v>3</v>
      </c>
      <c r="P1305" t="inlineStr">
        <is>
          <t>17:00</t>
        </is>
      </c>
      <c r="Q1305" t="inlineStr">
        <is>
          <t>18:00</t>
        </is>
      </c>
    </row>
    <row r="1306">
      <c r="A1306" t="inlineStr">
        <is>
          <t>実川 啓明</t>
        </is>
      </c>
      <c r="B1306" t="inlineStr">
        <is>
          <t>OSKs001:音楽院サポート</t>
        </is>
      </c>
      <c r="D1306">
        <f>L1306</f>
        <v/>
      </c>
      <c r="E1306">
        <f>SUMIFS(J:J, G:G,             A1306, H:H, B1306, L:L, L1306)</f>
        <v/>
      </c>
      <c r="F1306" t="inlineStr">
        <is>
          <t>34</t>
        </is>
      </c>
      <c r="G1306" t="inlineStr">
        <is>
          <t>実川 啓明</t>
        </is>
      </c>
      <c r="H1306" t="inlineStr">
        <is>
          <t>OSKs001:音楽院サポート</t>
        </is>
      </c>
      <c r="I1306" s="1" t="n">
        <v>45937</v>
      </c>
      <c r="J1306" t="n">
        <v>1.5</v>
      </c>
      <c r="L1306">
        <f>IFERROR(LEFT(K1306,             FIND(",", K1306) - 1), "-")</f>
        <v/>
      </c>
      <c r="M1306">
        <f>IFERROR(MID(K1306,             FIND(",", K1306) + 1, LEN(K1306) - FIND(",", K1306)), K1306)</f>
        <v/>
      </c>
      <c r="N1306" t="n">
        <v>3</v>
      </c>
      <c r="P1306" t="inlineStr">
        <is>
          <t>10:30</t>
        </is>
      </c>
      <c r="Q1306" t="inlineStr">
        <is>
          <t>12:00</t>
        </is>
      </c>
    </row>
    <row r="1307">
      <c r="A1307" t="inlineStr">
        <is>
          <t>実川 啓明</t>
        </is>
      </c>
      <c r="B1307" t="inlineStr">
        <is>
          <t>OSKs001:音楽院サポート</t>
        </is>
      </c>
      <c r="D1307">
        <f>L1307</f>
        <v/>
      </c>
      <c r="E1307">
        <f>SUMIFS(J:J, G:G,             A1307, H:H, B1307, L:L, L1307)</f>
        <v/>
      </c>
      <c r="F1307" t="inlineStr">
        <is>
          <t>34</t>
        </is>
      </c>
      <c r="G1307" t="inlineStr">
        <is>
          <t>実川 啓明</t>
        </is>
      </c>
      <c r="H1307" t="inlineStr">
        <is>
          <t>OSKs001:音楽院サポート</t>
        </is>
      </c>
      <c r="I1307" s="1" t="n">
        <v>45940</v>
      </c>
      <c r="J1307" t="n">
        <v>1.5</v>
      </c>
      <c r="L1307">
        <f>IFERROR(LEFT(K1307,             FIND(",", K1307) - 1), "-")</f>
        <v/>
      </c>
      <c r="M1307">
        <f>IFERROR(MID(K1307,             FIND(",", K1307) + 1, LEN(K1307) - FIND(",", K1307)), K1307)</f>
        <v/>
      </c>
      <c r="N1307" t="n">
        <v>3</v>
      </c>
      <c r="P1307" t="inlineStr">
        <is>
          <t>09:00</t>
        </is>
      </c>
      <c r="Q1307" t="inlineStr">
        <is>
          <t>10:30</t>
        </is>
      </c>
    </row>
    <row r="1308">
      <c r="A1308" t="inlineStr">
        <is>
          <t>実川 啓明</t>
        </is>
      </c>
      <c r="B1308" t="inlineStr">
        <is>
          <t>OSKs001:音楽院サポート</t>
        </is>
      </c>
      <c r="D1308">
        <f>L1308</f>
        <v/>
      </c>
      <c r="E1308">
        <f>SUMIFS(J:J, G:G,             A1308, H:H, B1308, L:L, L1308)</f>
        <v/>
      </c>
      <c r="F1308" t="inlineStr">
        <is>
          <t>34</t>
        </is>
      </c>
      <c r="G1308" t="inlineStr">
        <is>
          <t>実川 啓明</t>
        </is>
      </c>
      <c r="H1308" t="inlineStr">
        <is>
          <t>OSKs001:音楽院サポート</t>
        </is>
      </c>
      <c r="I1308" s="1" t="n">
        <v>45940</v>
      </c>
      <c r="J1308" t="n">
        <v>1</v>
      </c>
      <c r="L1308">
        <f>IFERROR(LEFT(K1308,             FIND(",", K1308) - 1), "-")</f>
        <v/>
      </c>
      <c r="M1308">
        <f>IFERROR(MID(K1308,             FIND(",", K1308) + 1, LEN(K1308) - FIND(",", K1308)), K1308)</f>
        <v/>
      </c>
      <c r="N1308" t="n">
        <v>3</v>
      </c>
      <c r="P1308" t="inlineStr">
        <is>
          <t>13:00</t>
        </is>
      </c>
      <c r="Q1308" t="inlineStr">
        <is>
          <t>14:00</t>
        </is>
      </c>
    </row>
    <row r="1309">
      <c r="A1309" t="inlineStr">
        <is>
          <t>実川 啓明</t>
        </is>
      </c>
      <c r="B1309" t="inlineStr">
        <is>
          <t>OSKs001:音楽院サポート</t>
        </is>
      </c>
      <c r="D1309">
        <f>L1309</f>
        <v/>
      </c>
      <c r="E1309">
        <f>SUMIFS(J:J, G:G,             A1309, H:H, B1309, L:L, L1309)</f>
        <v/>
      </c>
      <c r="F1309" t="inlineStr">
        <is>
          <t>34</t>
        </is>
      </c>
      <c r="G1309" t="inlineStr">
        <is>
          <t>実川 啓明</t>
        </is>
      </c>
      <c r="H1309" t="inlineStr">
        <is>
          <t>OSKs001:音楽院サポート</t>
        </is>
      </c>
      <c r="I1309" s="1" t="n">
        <v>45944</v>
      </c>
      <c r="J1309" t="n">
        <v>1</v>
      </c>
      <c r="L1309">
        <f>IFERROR(LEFT(K1309,             FIND(",", K1309) - 1), "-")</f>
        <v/>
      </c>
      <c r="M1309">
        <f>IFERROR(MID(K1309,             FIND(",", K1309) + 1, LEN(K1309) - FIND(",", K1309)), K1309)</f>
        <v/>
      </c>
      <c r="N1309" t="n">
        <v>3</v>
      </c>
      <c r="P1309" t="inlineStr">
        <is>
          <t>10:00</t>
        </is>
      </c>
      <c r="Q1309" t="inlineStr">
        <is>
          <t>11:00</t>
        </is>
      </c>
    </row>
    <row r="1310">
      <c r="A1310" t="inlineStr">
        <is>
          <t>実川 啓明</t>
        </is>
      </c>
      <c r="B1310" t="inlineStr">
        <is>
          <t>OSKs001:音楽院サポート</t>
        </is>
      </c>
      <c r="D1310">
        <f>L1310</f>
        <v/>
      </c>
      <c r="E1310">
        <f>SUMIFS(J:J, G:G,             A1310, H:H, B1310, L:L, L1310)</f>
        <v/>
      </c>
      <c r="F1310" t="inlineStr">
        <is>
          <t>34</t>
        </is>
      </c>
      <c r="G1310" t="inlineStr">
        <is>
          <t>実川 啓明</t>
        </is>
      </c>
      <c r="H1310" t="inlineStr">
        <is>
          <t>OSKs001:音楽院サポート</t>
        </is>
      </c>
      <c r="I1310" s="1" t="n">
        <v>45944</v>
      </c>
      <c r="J1310" t="n">
        <v>1.5</v>
      </c>
      <c r="L1310">
        <f>IFERROR(LEFT(K1310,             FIND(",", K1310) - 1), "-")</f>
        <v/>
      </c>
      <c r="M1310">
        <f>IFERROR(MID(K1310,             FIND(",", K1310) + 1, LEN(K1310) - FIND(",", K1310)), K1310)</f>
        <v/>
      </c>
      <c r="N1310" t="n">
        <v>3</v>
      </c>
      <c r="P1310" t="inlineStr">
        <is>
          <t>17:00</t>
        </is>
      </c>
      <c r="Q1310" t="inlineStr">
        <is>
          <t>18:30</t>
        </is>
      </c>
    </row>
    <row r="1311">
      <c r="A1311" t="inlineStr">
        <is>
          <t>実川 啓明</t>
        </is>
      </c>
      <c r="B1311" t="inlineStr">
        <is>
          <t>OSKs001:音楽院サポート</t>
        </is>
      </c>
      <c r="D1311">
        <f>L1311</f>
        <v/>
      </c>
      <c r="E1311">
        <f>SUMIFS(J:J, G:G,             A1311, H:H, B1311, L:L, L1311)</f>
        <v/>
      </c>
      <c r="F1311" t="inlineStr">
        <is>
          <t>34</t>
        </is>
      </c>
      <c r="G1311" t="inlineStr">
        <is>
          <t>実川 啓明</t>
        </is>
      </c>
      <c r="H1311" t="inlineStr">
        <is>
          <t>OSKs001:音楽院サポート</t>
        </is>
      </c>
      <c r="I1311" s="1" t="n">
        <v>45945</v>
      </c>
      <c r="J1311" t="n">
        <v>1.5</v>
      </c>
      <c r="L1311">
        <f>IFERROR(LEFT(K1311,             FIND(",", K1311) - 1), "-")</f>
        <v/>
      </c>
      <c r="M1311">
        <f>IFERROR(MID(K1311,             FIND(",", K1311) + 1, LEN(K1311) - FIND(",", K1311)), K1311)</f>
        <v/>
      </c>
      <c r="N1311" t="n">
        <v>3</v>
      </c>
      <c r="P1311" t="inlineStr">
        <is>
          <t>10:30</t>
        </is>
      </c>
      <c r="Q1311" t="inlineStr">
        <is>
          <t>12:00</t>
        </is>
      </c>
    </row>
    <row r="1312">
      <c r="A1312" t="inlineStr">
        <is>
          <t>実川 啓明</t>
        </is>
      </c>
      <c r="B1312" t="inlineStr">
        <is>
          <t>OSKs001:音楽院サポート</t>
        </is>
      </c>
      <c r="D1312">
        <f>L1312</f>
        <v/>
      </c>
      <c r="E1312">
        <f>SUMIFS(J:J, G:G,             A1312, H:H, B1312, L:L, L1312)</f>
        <v/>
      </c>
      <c r="F1312" t="inlineStr">
        <is>
          <t>34</t>
        </is>
      </c>
      <c r="G1312" t="inlineStr">
        <is>
          <t>実川 啓明</t>
        </is>
      </c>
      <c r="H1312" t="inlineStr">
        <is>
          <t>OSKs001:音楽院サポート</t>
        </is>
      </c>
      <c r="I1312" s="1" t="n">
        <v>45945</v>
      </c>
      <c r="J1312" t="n">
        <v>1</v>
      </c>
      <c r="L1312">
        <f>IFERROR(LEFT(K1312,             FIND(",", K1312) - 1), "-")</f>
        <v/>
      </c>
      <c r="M1312">
        <f>IFERROR(MID(K1312,             FIND(",", K1312) + 1, LEN(K1312) - FIND(",", K1312)), K1312)</f>
        <v/>
      </c>
      <c r="N1312" t="n">
        <v>3</v>
      </c>
      <c r="P1312" t="inlineStr">
        <is>
          <t>15:00</t>
        </is>
      </c>
      <c r="Q1312" t="inlineStr">
        <is>
          <t>16:00</t>
        </is>
      </c>
    </row>
    <row r="1313">
      <c r="A1313" t="inlineStr">
        <is>
          <t>実川 啓明</t>
        </is>
      </c>
      <c r="B1313" t="inlineStr">
        <is>
          <t>OSKs001:音楽院サポート</t>
        </is>
      </c>
      <c r="D1313">
        <f>L1313</f>
        <v/>
      </c>
      <c r="E1313">
        <f>SUMIFS(J:J, G:G,             A1313, H:H, B1313, L:L, L1313)</f>
        <v/>
      </c>
      <c r="F1313" t="inlineStr">
        <is>
          <t>34</t>
        </is>
      </c>
      <c r="G1313" t="inlineStr">
        <is>
          <t>実川 啓明</t>
        </is>
      </c>
      <c r="H1313" t="inlineStr">
        <is>
          <t>OSKs001:音楽院サポート</t>
        </is>
      </c>
      <c r="I1313" s="1" t="n">
        <v>45946</v>
      </c>
      <c r="J1313" t="n">
        <v>1</v>
      </c>
      <c r="L1313">
        <f>IFERROR(LEFT(K1313,             FIND(",", K1313) - 1), "-")</f>
        <v/>
      </c>
      <c r="M1313">
        <f>IFERROR(MID(K1313,             FIND(",", K1313) + 1, LEN(K1313) - FIND(",", K1313)), K1313)</f>
        <v/>
      </c>
      <c r="N1313" t="n">
        <v>3</v>
      </c>
      <c r="P1313" t="inlineStr">
        <is>
          <t>13:00</t>
        </is>
      </c>
      <c r="Q1313" t="inlineStr">
        <is>
          <t>14:00</t>
        </is>
      </c>
    </row>
    <row r="1314">
      <c r="A1314" t="inlineStr">
        <is>
          <t>実川 啓明</t>
        </is>
      </c>
      <c r="B1314" t="inlineStr">
        <is>
          <t>PSNS001:パソナHRサポート</t>
        </is>
      </c>
      <c r="C1314">
        <f>SUMIFS(J:J, G:G,             A1314, H:H, B1314)</f>
        <v/>
      </c>
      <c r="D1314">
        <f>L1314</f>
        <v/>
      </c>
      <c r="E1314">
        <f>SUMIFS(J:J, G:G,             A1314, H:H, B1314, L:L, L1314)</f>
        <v/>
      </c>
      <c r="F1314" t="inlineStr">
        <is>
          <t>34</t>
        </is>
      </c>
      <c r="G1314" t="inlineStr">
        <is>
          <t>実川 啓明</t>
        </is>
      </c>
      <c r="H1314" t="inlineStr">
        <is>
          <t>PSNS001:パソナHRサポート</t>
        </is>
      </c>
      <c r="I1314" s="1" t="n">
        <v>45938</v>
      </c>
      <c r="J1314" t="n">
        <v>1</v>
      </c>
      <c r="L1314">
        <f>IFERROR(LEFT(K1314,             FIND(",", K1314) - 1), "-")</f>
        <v/>
      </c>
      <c r="M1314">
        <f>IFERROR(MID(K1314,             FIND(",", K1314) + 1, LEN(K1314) - FIND(",", K1314)), K1314)</f>
        <v/>
      </c>
      <c r="N1314" t="n">
        <v>3</v>
      </c>
      <c r="P1314" t="inlineStr">
        <is>
          <t>13:00</t>
        </is>
      </c>
      <c r="Q1314" t="inlineStr">
        <is>
          <t>14:00</t>
        </is>
      </c>
    </row>
    <row r="1315">
      <c r="A1315" t="inlineStr">
        <is>
          <t>実川 啓明</t>
        </is>
      </c>
      <c r="B1315" t="inlineStr">
        <is>
          <t>PSNS001:パソナHRサポート</t>
        </is>
      </c>
      <c r="D1315">
        <f>L1315</f>
        <v/>
      </c>
      <c r="E1315">
        <f>SUMIFS(J:J, G:G,             A1315, H:H, B1315, L:L, L1315)</f>
        <v/>
      </c>
      <c r="F1315" t="inlineStr">
        <is>
          <t>34</t>
        </is>
      </c>
      <c r="G1315" t="inlineStr">
        <is>
          <t>実川 啓明</t>
        </is>
      </c>
      <c r="H1315" t="inlineStr">
        <is>
          <t>PSNS001:パソナHRサポート</t>
        </is>
      </c>
      <c r="I1315" s="1" t="n">
        <v>45946</v>
      </c>
      <c r="J1315" t="n">
        <v>3.25</v>
      </c>
      <c r="L1315">
        <f>IFERROR(LEFT(K1315,             FIND(",", K1315) - 1), "-")</f>
        <v/>
      </c>
      <c r="M1315">
        <f>IFERROR(MID(K1315,             FIND(",", K1315) + 1, LEN(K1315) - FIND(",", K1315)), K1315)</f>
        <v/>
      </c>
      <c r="N1315" t="n">
        <v>3</v>
      </c>
      <c r="P1315" t="inlineStr">
        <is>
          <t>15:30</t>
        </is>
      </c>
      <c r="Q1315" t="inlineStr">
        <is>
          <t>18:45</t>
        </is>
      </c>
    </row>
    <row r="1316">
      <c r="A1316" t="inlineStr">
        <is>
          <t>実川 啓明</t>
        </is>
      </c>
      <c r="B1316" t="inlineStr">
        <is>
          <t>PSNS001:パソナHRサポート</t>
        </is>
      </c>
      <c r="D1316">
        <f>L1316</f>
        <v/>
      </c>
      <c r="E1316">
        <f>SUMIFS(J:J, G:G,             A1316, H:H, B1316, L:L, L1316)</f>
        <v/>
      </c>
      <c r="F1316" t="inlineStr">
        <is>
          <t>34</t>
        </is>
      </c>
      <c r="G1316" t="inlineStr">
        <is>
          <t>実川 啓明</t>
        </is>
      </c>
      <c r="H1316" t="inlineStr">
        <is>
          <t>PSNS001:パソナHRサポート</t>
        </is>
      </c>
      <c r="I1316" s="1" t="n">
        <v>45950</v>
      </c>
      <c r="J1316" t="n">
        <v>1</v>
      </c>
      <c r="L1316">
        <f>IFERROR(LEFT(K1316,             FIND(",", K1316) - 1), "-")</f>
        <v/>
      </c>
      <c r="M1316">
        <f>IFERROR(MID(K1316,             FIND(",", K1316) + 1, LEN(K1316) - FIND(",", K1316)), K1316)</f>
        <v/>
      </c>
      <c r="N1316" t="n">
        <v>3</v>
      </c>
      <c r="P1316" t="inlineStr">
        <is>
          <t>13:00</t>
        </is>
      </c>
      <c r="Q1316" t="inlineStr">
        <is>
          <t>14:00</t>
        </is>
      </c>
    </row>
    <row r="1317">
      <c r="A1317" t="inlineStr">
        <is>
          <t>実川 啓明</t>
        </is>
      </c>
      <c r="B1317" t="inlineStr">
        <is>
          <t>PSNS001:パソナHRサポート</t>
        </is>
      </c>
      <c r="D1317">
        <f>L1317</f>
        <v/>
      </c>
      <c r="E1317">
        <f>SUMIFS(J:J, G:G,             A1317, H:H, B1317, L:L, L1317)</f>
        <v/>
      </c>
      <c r="F1317" t="inlineStr">
        <is>
          <t>34</t>
        </is>
      </c>
      <c r="G1317" t="inlineStr">
        <is>
          <t>実川 啓明</t>
        </is>
      </c>
      <c r="H1317" t="inlineStr">
        <is>
          <t>PSNS001:パソナHRサポート</t>
        </is>
      </c>
      <c r="I1317" s="1" t="n">
        <v>45950</v>
      </c>
      <c r="J1317" t="n">
        <v>1</v>
      </c>
      <c r="L1317">
        <f>IFERROR(LEFT(K1317,             FIND(",", K1317) - 1), "-")</f>
        <v/>
      </c>
      <c r="M1317">
        <f>IFERROR(MID(K1317,             FIND(",", K1317) + 1, LEN(K1317) - FIND(",", K1317)), K1317)</f>
        <v/>
      </c>
      <c r="N1317" t="n">
        <v>3</v>
      </c>
      <c r="P1317" t="inlineStr">
        <is>
          <t>16:00</t>
        </is>
      </c>
      <c r="Q1317" t="inlineStr">
        <is>
          <t>17:00</t>
        </is>
      </c>
    </row>
    <row r="1318">
      <c r="A1318" t="inlineStr">
        <is>
          <t>実川 啓明</t>
        </is>
      </c>
      <c r="B1318" t="inlineStr">
        <is>
          <t>SPHS001:ズーフォニックアカデミーサポート</t>
        </is>
      </c>
      <c r="C1318">
        <f>SUMIFS(J:J, G:G,             A1318, H:H, B1318)</f>
        <v/>
      </c>
      <c r="D1318">
        <f>L1318</f>
        <v/>
      </c>
      <c r="E1318">
        <f>SUMIFS(J:J, G:G,             A1318, H:H, B1318, L:L, L1318)</f>
        <v/>
      </c>
      <c r="F1318" t="inlineStr">
        <is>
          <t>34</t>
        </is>
      </c>
      <c r="G1318" t="inlineStr">
        <is>
          <t>実川 啓明</t>
        </is>
      </c>
      <c r="H1318" t="inlineStr">
        <is>
          <t>SPHS001:ズーフォニックアカデミーサポート</t>
        </is>
      </c>
      <c r="I1318" s="1" t="n">
        <v>45945</v>
      </c>
      <c r="J1318" t="n">
        <v>1</v>
      </c>
      <c r="L1318">
        <f>IFERROR(LEFT(K1318,             FIND(",", K1318) - 1), "-")</f>
        <v/>
      </c>
      <c r="M1318">
        <f>IFERROR(MID(K1318,             FIND(",", K1318) + 1, LEN(K1318) - FIND(",", K1318)), K1318)</f>
        <v/>
      </c>
      <c r="N1318" t="n">
        <v>3</v>
      </c>
      <c r="P1318" t="inlineStr">
        <is>
          <t>09:00</t>
        </is>
      </c>
      <c r="Q1318" t="inlineStr">
        <is>
          <t>10:00</t>
        </is>
      </c>
    </row>
    <row r="1319">
      <c r="A1319" t="inlineStr">
        <is>
          <t>実川 啓明</t>
        </is>
      </c>
      <c r="B1319" t="inlineStr">
        <is>
          <t>SPHS001:ズーフォニックアカデミーサポート</t>
        </is>
      </c>
      <c r="D1319">
        <f>L1319</f>
        <v/>
      </c>
      <c r="E1319">
        <f>SUMIFS(J:J, G:G,             A1319, H:H, B1319, L:L, L1319)</f>
        <v/>
      </c>
      <c r="F1319" t="inlineStr">
        <is>
          <t>34</t>
        </is>
      </c>
      <c r="G1319" t="inlineStr">
        <is>
          <t>実川 啓明</t>
        </is>
      </c>
      <c r="H1319" t="inlineStr">
        <is>
          <t>SPHS001:ズーフォニックアカデミーサポート</t>
        </is>
      </c>
      <c r="I1319" s="1" t="n">
        <v>45947</v>
      </c>
      <c r="J1319" t="n">
        <v>1.5</v>
      </c>
      <c r="L1319">
        <f>IFERROR(LEFT(K1319,             FIND(",", K1319) - 1), "-")</f>
        <v/>
      </c>
      <c r="M1319">
        <f>IFERROR(MID(K1319,             FIND(",", K1319) + 1, LEN(K1319) - FIND(",", K1319)), K1319)</f>
        <v/>
      </c>
      <c r="N1319" t="n">
        <v>3</v>
      </c>
      <c r="P1319" t="inlineStr">
        <is>
          <t>09:00</t>
        </is>
      </c>
      <c r="Q1319" t="inlineStr">
        <is>
          <t>10:30</t>
        </is>
      </c>
    </row>
    <row r="1320">
      <c r="A1320" t="inlineStr">
        <is>
          <t>実川 啓明</t>
        </is>
      </c>
      <c r="B1320" t="inlineStr">
        <is>
          <t>SPHS001:ズーフォニックアカデミーサポート</t>
        </is>
      </c>
      <c r="D1320">
        <f>L1320</f>
        <v/>
      </c>
      <c r="E1320">
        <f>SUMIFS(J:J, G:G,             A1320, H:H, B1320, L:L, L1320)</f>
        <v/>
      </c>
      <c r="F1320" t="inlineStr">
        <is>
          <t>34</t>
        </is>
      </c>
      <c r="G1320" t="inlineStr">
        <is>
          <t>実川 啓明</t>
        </is>
      </c>
      <c r="H1320" t="inlineStr">
        <is>
          <t>SPHS001:ズーフォニックアカデミーサポート</t>
        </is>
      </c>
      <c r="I1320" s="1" t="n">
        <v>45953</v>
      </c>
      <c r="J1320" t="n">
        <v>0.5</v>
      </c>
      <c r="L1320">
        <f>IFERROR(LEFT(K1320,             FIND(",", K1320) - 1), "-")</f>
        <v/>
      </c>
      <c r="M1320">
        <f>IFERROR(MID(K1320,             FIND(",", K1320) + 1, LEN(K1320) - FIND(",", K1320)), K1320)</f>
        <v/>
      </c>
      <c r="N1320" t="n">
        <v>3</v>
      </c>
      <c r="P1320" t="inlineStr">
        <is>
          <t>13:00</t>
        </is>
      </c>
      <c r="Q1320" t="inlineStr">
        <is>
          <t>13:30</t>
        </is>
      </c>
    </row>
    <row r="1321">
      <c r="A1321" t="inlineStr">
        <is>
          <t>実川 啓明</t>
        </is>
      </c>
      <c r="B1321" t="inlineStr">
        <is>
          <t>SPHS001:ズーフォニックアカデミーサポート</t>
        </is>
      </c>
      <c r="D1321">
        <f>L1321</f>
        <v/>
      </c>
      <c r="E1321">
        <f>SUMIFS(J:J, G:G,             A1321, H:H, B1321, L:L, L1321)</f>
        <v/>
      </c>
      <c r="F1321" t="inlineStr">
        <is>
          <t>34</t>
        </is>
      </c>
      <c r="G1321" t="inlineStr">
        <is>
          <t>実川 啓明</t>
        </is>
      </c>
      <c r="H1321" t="inlineStr">
        <is>
          <t>SPHS001:ズーフォニックアカデミーサポート</t>
        </is>
      </c>
      <c r="I1321" s="1" t="n">
        <v>45953</v>
      </c>
      <c r="J1321" t="n">
        <v>0.5</v>
      </c>
      <c r="L1321">
        <f>IFERROR(LEFT(K1321,             FIND(",", K1321) - 1), "-")</f>
        <v/>
      </c>
      <c r="M1321">
        <f>IFERROR(MID(K1321,             FIND(",", K1321) + 1, LEN(K1321) - FIND(",", K1321)), K1321)</f>
        <v/>
      </c>
      <c r="N1321" t="n">
        <v>3</v>
      </c>
      <c r="P1321" t="inlineStr">
        <is>
          <t>14:30</t>
        </is>
      </c>
      <c r="Q1321" t="inlineStr">
        <is>
          <t>15:00</t>
        </is>
      </c>
    </row>
    <row r="1322">
      <c r="A1322" t="inlineStr">
        <is>
          <t>実川 啓明</t>
        </is>
      </c>
      <c r="B1322" t="inlineStr">
        <is>
          <t>TCNZ001:社内業務等</t>
        </is>
      </c>
      <c r="C1322">
        <f>SUMIFS(J:J, G:G,             A1322, H:H, B1322)</f>
        <v/>
      </c>
      <c r="D1322">
        <f>L1322</f>
        <v/>
      </c>
      <c r="E1322">
        <f>SUMIFS(J:J, G:G,             A1322, H:H, B1322, L:L, L1322)</f>
        <v/>
      </c>
      <c r="F1322" t="inlineStr">
        <is>
          <t>34</t>
        </is>
      </c>
      <c r="G1322" t="inlineStr">
        <is>
          <t>実川 啓明</t>
        </is>
      </c>
      <c r="H1322" t="inlineStr">
        <is>
          <t>TCNZ001:社内業務等</t>
        </is>
      </c>
      <c r="I1322" s="1" t="n">
        <v>45933</v>
      </c>
      <c r="J1322" t="n">
        <v>1</v>
      </c>
      <c r="K1322" t="inlineStr">
        <is>
          <t xml:space="preserve"> AI勉強会</t>
        </is>
      </c>
      <c r="L1322">
        <f>IFERROR(LEFT(K1322,             FIND(",", K1322) - 1), "-")</f>
        <v/>
      </c>
      <c r="M1322">
        <f>IFERROR(MID(K1322,             FIND(",", K1322) + 1, LEN(K1322) - FIND(",", K1322)), K1322)</f>
        <v/>
      </c>
      <c r="N1322" t="n">
        <v>5</v>
      </c>
      <c r="P1322" t="inlineStr">
        <is>
          <t>15:00</t>
        </is>
      </c>
      <c r="Q1322" t="inlineStr">
        <is>
          <t>16:00</t>
        </is>
      </c>
    </row>
    <row r="1323">
      <c r="A1323" t="inlineStr">
        <is>
          <t>実川 啓明</t>
        </is>
      </c>
      <c r="B1323" t="inlineStr">
        <is>
          <t>TCNZ001:社内業務等</t>
        </is>
      </c>
      <c r="D1323">
        <f>L1323</f>
        <v/>
      </c>
      <c r="E1323">
        <f>SUMIFS(J:J, G:G,             A1323, H:H, B1323, L:L, L1323)</f>
        <v/>
      </c>
      <c r="F1323" t="inlineStr">
        <is>
          <t>34</t>
        </is>
      </c>
      <c r="G1323" t="inlineStr">
        <is>
          <t>実川 啓明</t>
        </is>
      </c>
      <c r="H1323" t="inlineStr">
        <is>
          <t>TCNZ001:社内業務等</t>
        </is>
      </c>
      <c r="I1323" s="1" t="n">
        <v>45947</v>
      </c>
      <c r="J1323" t="n">
        <v>0.75</v>
      </c>
      <c r="K1323" t="inlineStr">
        <is>
          <t>サポート全体MTG</t>
        </is>
      </c>
      <c r="L1323">
        <f>IFERROR(LEFT(K1323,             FIND(",", K1323) - 1), "-")</f>
        <v/>
      </c>
      <c r="M1323">
        <f>IFERROR(MID(K1323,             FIND(",", K1323) + 1, LEN(K1323) - FIND(",", K1323)), K1323)</f>
        <v/>
      </c>
      <c r="N1323" t="n">
        <v>5</v>
      </c>
      <c r="P1323" t="inlineStr">
        <is>
          <t>15:00</t>
        </is>
      </c>
      <c r="Q1323" t="inlineStr">
        <is>
          <t>15:45</t>
        </is>
      </c>
    </row>
    <row r="1324">
      <c r="A1324" t="inlineStr">
        <is>
          <t>実川 啓明</t>
        </is>
      </c>
      <c r="B1324" t="inlineStr">
        <is>
          <t>TCNZ001:社内業務等</t>
        </is>
      </c>
      <c r="D1324">
        <f>L1324</f>
        <v/>
      </c>
      <c r="E1324">
        <f>SUMIFS(J:J, G:G,             A1324, H:H, B1324, L:L, L1324)</f>
        <v/>
      </c>
      <c r="F1324" t="inlineStr">
        <is>
          <t>34</t>
        </is>
      </c>
      <c r="G1324" t="inlineStr">
        <is>
          <t>実川 啓明</t>
        </is>
      </c>
      <c r="H1324" t="inlineStr">
        <is>
          <t>TCNZ001:社内業務等</t>
        </is>
      </c>
      <c r="I1324" s="1" t="n">
        <v>45947</v>
      </c>
      <c r="J1324" t="n">
        <v>0.5</v>
      </c>
      <c r="K1324" t="inlineStr">
        <is>
          <t>サポート全体MTGの準備</t>
        </is>
      </c>
      <c r="L1324">
        <f>IFERROR(LEFT(K1324,             FIND(",", K1324) - 1), "-")</f>
        <v/>
      </c>
      <c r="M1324">
        <f>IFERROR(MID(K1324,             FIND(",", K1324) + 1, LEN(K1324) - FIND(",", K1324)), K1324)</f>
        <v/>
      </c>
      <c r="N1324" t="n">
        <v>5</v>
      </c>
      <c r="P1324" t="inlineStr">
        <is>
          <t>14:30</t>
        </is>
      </c>
      <c r="Q1324" t="inlineStr">
        <is>
          <t>15:00</t>
        </is>
      </c>
    </row>
    <row r="1325">
      <c r="A1325" t="inlineStr">
        <is>
          <t>実川 啓明</t>
        </is>
      </c>
      <c r="B1325" t="inlineStr">
        <is>
          <t>TCNZ001:社内業務等</t>
        </is>
      </c>
      <c r="D1325">
        <f>L1325</f>
        <v/>
      </c>
      <c r="E1325">
        <f>SUMIFS(J:J, G:G,             A1325, H:H, B1325, L:L, L1325)</f>
        <v/>
      </c>
      <c r="F1325" t="inlineStr">
        <is>
          <t>34</t>
        </is>
      </c>
      <c r="G1325" t="inlineStr">
        <is>
          <t>実川 啓明</t>
        </is>
      </c>
      <c r="H1325" t="inlineStr">
        <is>
          <t>TCNZ001:社内業務等</t>
        </is>
      </c>
      <c r="I1325" s="1" t="n">
        <v>45933</v>
      </c>
      <c r="J1325" t="n">
        <v>0.5</v>
      </c>
      <c r="K1325" t="inlineStr">
        <is>
          <t>サポート週間MTG</t>
        </is>
      </c>
      <c r="L1325">
        <f>IFERROR(LEFT(K1325,             FIND(",", K1325) - 1), "-")</f>
        <v/>
      </c>
      <c r="M1325">
        <f>IFERROR(MID(K1325,             FIND(",", K1325) + 1, LEN(K1325) - FIND(",", K1325)), K1325)</f>
        <v/>
      </c>
      <c r="N1325" t="n">
        <v>5</v>
      </c>
      <c r="P1325" t="inlineStr">
        <is>
          <t>14:00</t>
        </is>
      </c>
      <c r="Q1325" t="inlineStr">
        <is>
          <t>14:30</t>
        </is>
      </c>
    </row>
    <row r="1326">
      <c r="A1326" t="inlineStr">
        <is>
          <t>実川 啓明</t>
        </is>
      </c>
      <c r="B1326" t="inlineStr">
        <is>
          <t>TCNZ001:社内業務等</t>
        </is>
      </c>
      <c r="D1326">
        <f>L1326</f>
        <v/>
      </c>
      <c r="E1326">
        <f>SUMIFS(J:J, G:G,             A1326, H:H, B1326, L:L, L1326)</f>
        <v/>
      </c>
      <c r="F1326" t="inlineStr">
        <is>
          <t>34</t>
        </is>
      </c>
      <c r="G1326" t="inlineStr">
        <is>
          <t>実川 啓明</t>
        </is>
      </c>
      <c r="H1326" t="inlineStr">
        <is>
          <t>TCNZ001:社内業務等</t>
        </is>
      </c>
      <c r="I1326" s="1" t="n">
        <v>45947</v>
      </c>
      <c r="J1326" t="n">
        <v>0.5</v>
      </c>
      <c r="K1326" t="inlineStr">
        <is>
          <t>サポート週間MTG</t>
        </is>
      </c>
      <c r="L1326">
        <f>IFERROR(LEFT(K1326,             FIND(",", K1326) - 1), "-")</f>
        <v/>
      </c>
      <c r="M1326">
        <f>IFERROR(MID(K1326,             FIND(",", K1326) + 1, LEN(K1326) - FIND(",", K1326)), K1326)</f>
        <v/>
      </c>
      <c r="N1326" t="n">
        <v>5</v>
      </c>
      <c r="P1326" t="inlineStr">
        <is>
          <t>14:00</t>
        </is>
      </c>
      <c r="Q1326" t="inlineStr">
        <is>
          <t>14:30</t>
        </is>
      </c>
    </row>
    <row r="1327">
      <c r="A1327" t="inlineStr">
        <is>
          <t>実川 啓明</t>
        </is>
      </c>
      <c r="B1327" t="inlineStr">
        <is>
          <t>TCNZ001:社内業務等</t>
        </is>
      </c>
      <c r="D1327">
        <f>L1327</f>
        <v/>
      </c>
      <c r="E1327">
        <f>SUMIFS(J:J, G:G,             A1327, H:H, B1327, L:L, L1327)</f>
        <v/>
      </c>
      <c r="F1327" t="inlineStr">
        <is>
          <t>34</t>
        </is>
      </c>
      <c r="G1327" t="inlineStr">
        <is>
          <t>実川 啓明</t>
        </is>
      </c>
      <c r="H1327" t="inlineStr">
        <is>
          <t>TCNZ001:社内業務等</t>
        </is>
      </c>
      <c r="I1327" s="1" t="n">
        <v>45933</v>
      </c>
      <c r="J1327" t="n">
        <v>0.5</v>
      </c>
      <c r="K1327" t="inlineStr">
        <is>
          <t>サポート週間MTGの準備</t>
        </is>
      </c>
      <c r="L1327">
        <f>IFERROR(LEFT(K1327,             FIND(",", K1327) - 1), "-")</f>
        <v/>
      </c>
      <c r="M1327">
        <f>IFERROR(MID(K1327,             FIND(",", K1327) + 1, LEN(K1327) - FIND(",", K1327)), K1327)</f>
        <v/>
      </c>
      <c r="N1327" t="n">
        <v>5</v>
      </c>
      <c r="P1327" t="inlineStr">
        <is>
          <t>13:30</t>
        </is>
      </c>
      <c r="Q1327" t="inlineStr">
        <is>
          <t>14:00</t>
        </is>
      </c>
    </row>
    <row r="1328">
      <c r="A1328" t="inlineStr">
        <is>
          <t>実川 啓明</t>
        </is>
      </c>
      <c r="B1328" t="inlineStr">
        <is>
          <t>TCNZ001:社内業務等</t>
        </is>
      </c>
      <c r="D1328">
        <f>L1328</f>
        <v/>
      </c>
      <c r="E1328">
        <f>SUMIFS(J:J, G:G,             A1328, H:H, B1328, L:L, L1328)</f>
        <v/>
      </c>
      <c r="F1328" t="inlineStr">
        <is>
          <t>34</t>
        </is>
      </c>
      <c r="G1328" t="inlineStr">
        <is>
          <t>実川 啓明</t>
        </is>
      </c>
      <c r="H1328" t="inlineStr">
        <is>
          <t>TCNZ001:社内業務等</t>
        </is>
      </c>
      <c r="I1328" s="1" t="n">
        <v>45947</v>
      </c>
      <c r="J1328" t="n">
        <v>0.5</v>
      </c>
      <c r="K1328" t="inlineStr">
        <is>
          <t>サポート週間MTGの準備</t>
        </is>
      </c>
      <c r="L1328">
        <f>IFERROR(LEFT(K1328,             FIND(",", K1328) - 1), "-")</f>
        <v/>
      </c>
      <c r="M1328">
        <f>IFERROR(MID(K1328,             FIND(",", K1328) + 1, LEN(K1328) - FIND(",", K1328)), K1328)</f>
        <v/>
      </c>
      <c r="N1328" t="n">
        <v>5</v>
      </c>
      <c r="P1328" t="inlineStr">
        <is>
          <t>13:30</t>
        </is>
      </c>
      <c r="Q1328" t="inlineStr">
        <is>
          <t>14:00</t>
        </is>
      </c>
    </row>
    <row r="1329">
      <c r="A1329" t="inlineStr">
        <is>
          <t>実川 啓明</t>
        </is>
      </c>
      <c r="B1329" t="inlineStr">
        <is>
          <t>TCNZ001:社内業務等</t>
        </is>
      </c>
      <c r="D1329">
        <f>L1329</f>
        <v/>
      </c>
      <c r="E1329">
        <f>SUMIFS(J:J, G:G,             A1329, H:H, B1329, L:L, L1329)</f>
        <v/>
      </c>
      <c r="F1329" t="inlineStr">
        <is>
          <t>34</t>
        </is>
      </c>
      <c r="G1329" t="inlineStr">
        <is>
          <t>実川 啓明</t>
        </is>
      </c>
      <c r="H1329" t="inlineStr">
        <is>
          <t>TCNZ001:社内業務等</t>
        </is>
      </c>
      <c r="I1329" s="1" t="n">
        <v>45953</v>
      </c>
      <c r="J1329" t="n">
        <v>1</v>
      </c>
      <c r="K1329" t="inlineStr">
        <is>
          <t>スタバ受取</t>
        </is>
      </c>
      <c r="L1329">
        <f>IFERROR(LEFT(K1329,             FIND(",", K1329) - 1), "-")</f>
        <v/>
      </c>
      <c r="M1329">
        <f>IFERROR(MID(K1329,             FIND(",", K1329) + 1, LEN(K1329) - FIND(",", K1329)), K1329)</f>
        <v/>
      </c>
      <c r="N1329" t="n">
        <v>5</v>
      </c>
      <c r="P1329" t="inlineStr">
        <is>
          <t>13:30</t>
        </is>
      </c>
      <c r="Q1329" t="inlineStr">
        <is>
          <t>14:30</t>
        </is>
      </c>
    </row>
    <row r="1330">
      <c r="A1330" t="inlineStr">
        <is>
          <t>実川 啓明</t>
        </is>
      </c>
      <c r="B1330" t="inlineStr">
        <is>
          <t>TCNZ001:社内業務等</t>
        </is>
      </c>
      <c r="D1330">
        <f>L1330</f>
        <v/>
      </c>
      <c r="E1330">
        <f>SUMIFS(J:J, G:G,             A1330, H:H, B1330, L:L, L1330)</f>
        <v/>
      </c>
      <c r="F1330" t="inlineStr">
        <is>
          <t>34</t>
        </is>
      </c>
      <c r="G1330" t="inlineStr">
        <is>
          <t>実川 啓明</t>
        </is>
      </c>
      <c r="H1330" t="inlineStr">
        <is>
          <t>TCNZ001:社内業務等</t>
        </is>
      </c>
      <c r="I1330" s="1" t="n">
        <v>45953</v>
      </c>
      <c r="J1330" t="n">
        <v>0.5</v>
      </c>
      <c r="K1330" t="inlineStr">
        <is>
          <t>全体会議</t>
        </is>
      </c>
      <c r="L1330">
        <f>IFERROR(LEFT(K1330,             FIND(",", K1330) - 1), "-")</f>
        <v/>
      </c>
      <c r="M1330">
        <f>IFERROR(MID(K1330,             FIND(",", K1330) + 1, LEN(K1330) - FIND(",", K1330)), K1330)</f>
        <v/>
      </c>
      <c r="N1330" t="n">
        <v>5</v>
      </c>
      <c r="P1330" t="inlineStr">
        <is>
          <t>15:00</t>
        </is>
      </c>
      <c r="Q1330" t="inlineStr">
        <is>
          <t>15:30</t>
        </is>
      </c>
    </row>
    <row r="1331">
      <c r="A1331" t="inlineStr">
        <is>
          <t>実川 啓明</t>
        </is>
      </c>
      <c r="B1331" t="inlineStr">
        <is>
          <t>TCNZ090:技術学習・資料作成</t>
        </is>
      </c>
      <c r="C1331">
        <f>SUMIFS(J:J, G:G,             A1331, H:H, B1331)</f>
        <v/>
      </c>
      <c r="D1331">
        <f>L1331</f>
        <v/>
      </c>
      <c r="E1331">
        <f>SUMIFS(J:J, G:G,             A1331, H:H, B1331, L:L, L1331)</f>
        <v/>
      </c>
      <c r="F1331" t="inlineStr">
        <is>
          <t>34</t>
        </is>
      </c>
      <c r="G1331" t="inlineStr">
        <is>
          <t>実川 啓明</t>
        </is>
      </c>
      <c r="H1331" t="inlineStr">
        <is>
          <t>TCNZ090:技術学習・資料作成</t>
        </is>
      </c>
      <c r="I1331" s="1" t="n">
        <v>45940</v>
      </c>
      <c r="J1331" t="n">
        <v>2</v>
      </c>
      <c r="L1331">
        <f>IFERROR(LEFT(K1331,             FIND(",", K1331) - 1), "-")</f>
        <v/>
      </c>
      <c r="M1331">
        <f>IFERROR(MID(K1331,             FIND(",", K1331) + 1, LEN(K1331) - FIND(",", K1331)), K1331)</f>
        <v/>
      </c>
      <c r="N1331" t="n">
        <v>5</v>
      </c>
      <c r="P1331" t="inlineStr">
        <is>
          <t>14:00</t>
        </is>
      </c>
      <c r="Q1331" t="inlineStr">
        <is>
          <t>16:00</t>
        </is>
      </c>
    </row>
    <row r="1332">
      <c r="A1332" t="inlineStr">
        <is>
          <t>実川 啓明</t>
        </is>
      </c>
      <c r="B1332" t="inlineStr">
        <is>
          <t>TCNZ090:技術学習・資料作成</t>
        </is>
      </c>
      <c r="D1332">
        <f>L1332</f>
        <v/>
      </c>
      <c r="E1332">
        <f>SUMIFS(J:J, G:G,             A1332, H:H, B1332, L:L, L1332)</f>
        <v/>
      </c>
      <c r="F1332" t="inlineStr">
        <is>
          <t>34</t>
        </is>
      </c>
      <c r="G1332" t="inlineStr">
        <is>
          <t>実川 啓明</t>
        </is>
      </c>
      <c r="H1332" t="inlineStr">
        <is>
          <t>TCNZ090:技術学習・資料作成</t>
        </is>
      </c>
      <c r="I1332" s="1" t="n">
        <v>45944</v>
      </c>
      <c r="J1332" t="n">
        <v>2</v>
      </c>
      <c r="L1332">
        <f>IFERROR(LEFT(K1332,             FIND(",", K1332) - 1), "-")</f>
        <v/>
      </c>
      <c r="M1332">
        <f>IFERROR(MID(K1332,             FIND(",", K1332) + 1, LEN(K1332) - FIND(",", K1332)), K1332)</f>
        <v/>
      </c>
      <c r="N1332" t="n">
        <v>5</v>
      </c>
      <c r="P1332" t="inlineStr">
        <is>
          <t>15:00</t>
        </is>
      </c>
      <c r="Q1332" t="inlineStr">
        <is>
          <t>17:00</t>
        </is>
      </c>
    </row>
    <row r="1333">
      <c r="A1333" t="inlineStr">
        <is>
          <t>実川 啓明</t>
        </is>
      </c>
      <c r="B1333" t="inlineStr">
        <is>
          <t>TCNZ090:技術学習・資料作成</t>
        </is>
      </c>
      <c r="D1333">
        <f>L1333</f>
        <v/>
      </c>
      <c r="E1333">
        <f>SUMIFS(J:J, G:G,             A1333, H:H, B1333, L:L, L1333)</f>
        <v/>
      </c>
      <c r="F1333" t="inlineStr">
        <is>
          <t>34</t>
        </is>
      </c>
      <c r="G1333" t="inlineStr">
        <is>
          <t>実川 啓明</t>
        </is>
      </c>
      <c r="H1333" t="inlineStr">
        <is>
          <t>TCNZ090:技術学習・資料作成</t>
        </is>
      </c>
      <c r="I1333" s="1" t="n">
        <v>45945</v>
      </c>
      <c r="J1333" t="n">
        <v>2</v>
      </c>
      <c r="L1333">
        <f>IFERROR(LEFT(K1333,             FIND(",", K1333) - 1), "-")</f>
        <v/>
      </c>
      <c r="M1333">
        <f>IFERROR(MID(K1333,             FIND(",", K1333) + 1, LEN(K1333) - FIND(",", K1333)), K1333)</f>
        <v/>
      </c>
      <c r="N1333" t="n">
        <v>5</v>
      </c>
      <c r="P1333" t="inlineStr">
        <is>
          <t>16:00</t>
        </is>
      </c>
      <c r="Q1333" t="inlineStr">
        <is>
          <t>18:00</t>
        </is>
      </c>
    </row>
    <row r="1334">
      <c r="A1334" t="inlineStr">
        <is>
          <t>実川 啓明</t>
        </is>
      </c>
      <c r="B1334" t="inlineStr">
        <is>
          <t>TCNZ090:技術学習・資料作成</t>
        </is>
      </c>
      <c r="D1334">
        <f>L1334</f>
        <v/>
      </c>
      <c r="E1334">
        <f>SUMIFS(J:J, G:G,             A1334, H:H, B1334, L:L, L1334)</f>
        <v/>
      </c>
      <c r="F1334" t="inlineStr">
        <is>
          <t>34</t>
        </is>
      </c>
      <c r="G1334" t="inlineStr">
        <is>
          <t>実川 啓明</t>
        </is>
      </c>
      <c r="H1334" t="inlineStr">
        <is>
          <t>TCNZ090:技術学習・資料作成</t>
        </is>
      </c>
      <c r="I1334" s="1" t="n">
        <v>45946</v>
      </c>
      <c r="J1334" t="n">
        <v>2</v>
      </c>
      <c r="L1334">
        <f>IFERROR(LEFT(K1334,             FIND(",", K1334) - 1), "-")</f>
        <v/>
      </c>
      <c r="M1334">
        <f>IFERROR(MID(K1334,             FIND(",", K1334) + 1, LEN(K1334) - FIND(",", K1334)), K1334)</f>
        <v/>
      </c>
      <c r="N1334" t="n">
        <v>5</v>
      </c>
      <c r="P1334" t="inlineStr">
        <is>
          <t>10:00</t>
        </is>
      </c>
      <c r="Q1334" t="inlineStr">
        <is>
          <t>12:00</t>
        </is>
      </c>
    </row>
    <row r="1335">
      <c r="A1335" t="inlineStr">
        <is>
          <t>実川 啓明</t>
        </is>
      </c>
      <c r="B1335" t="inlineStr">
        <is>
          <t>TCNZ090:技術学習・資料作成</t>
        </is>
      </c>
      <c r="D1335">
        <f>L1335</f>
        <v/>
      </c>
      <c r="E1335">
        <f>SUMIFS(J:J, G:G,             A1335, H:H, B1335, L:L, L1335)</f>
        <v/>
      </c>
      <c r="F1335" t="inlineStr">
        <is>
          <t>34</t>
        </is>
      </c>
      <c r="G1335" t="inlineStr">
        <is>
          <t>実川 啓明</t>
        </is>
      </c>
      <c r="H1335" t="inlineStr">
        <is>
          <t>TCNZ090:技術学習・資料作成</t>
        </is>
      </c>
      <c r="I1335" s="1" t="n">
        <v>45946</v>
      </c>
      <c r="J1335" t="n">
        <v>1.5</v>
      </c>
      <c r="L1335">
        <f>IFERROR(LEFT(K1335,             FIND(",", K1335) - 1), "-")</f>
        <v/>
      </c>
      <c r="M1335">
        <f>IFERROR(MID(K1335,             FIND(",", K1335) + 1, LEN(K1335) - FIND(",", K1335)), K1335)</f>
        <v/>
      </c>
      <c r="N1335" t="n">
        <v>5</v>
      </c>
      <c r="P1335" t="inlineStr">
        <is>
          <t>14:00</t>
        </is>
      </c>
      <c r="Q1335" t="inlineStr">
        <is>
          <t>15:30</t>
        </is>
      </c>
    </row>
    <row r="1336">
      <c r="A1336" t="inlineStr">
        <is>
          <t>実川 啓明</t>
        </is>
      </c>
      <c r="B1336" t="inlineStr">
        <is>
          <t>TCNZ090:技術学習・資料作成</t>
        </is>
      </c>
      <c r="D1336">
        <f>L1336</f>
        <v/>
      </c>
      <c r="E1336">
        <f>SUMIFS(J:J, G:G,             A1336, H:H, B1336, L:L, L1336)</f>
        <v/>
      </c>
      <c r="F1336" t="inlineStr">
        <is>
          <t>34</t>
        </is>
      </c>
      <c r="G1336" t="inlineStr">
        <is>
          <t>実川 啓明</t>
        </is>
      </c>
      <c r="H1336" t="inlineStr">
        <is>
          <t>TCNZ090:技術学習・資料作成</t>
        </is>
      </c>
      <c r="I1336" s="1" t="n">
        <v>45947</v>
      </c>
      <c r="J1336" t="n">
        <v>1.5</v>
      </c>
      <c r="L1336">
        <f>IFERROR(LEFT(K1336,             FIND(",", K1336) - 1), "-")</f>
        <v/>
      </c>
      <c r="M1336">
        <f>IFERROR(MID(K1336,             FIND(",", K1336) + 1, LEN(K1336) - FIND(",", K1336)), K1336)</f>
        <v/>
      </c>
      <c r="N1336" t="n">
        <v>5</v>
      </c>
      <c r="P1336" t="inlineStr">
        <is>
          <t>10:30</t>
        </is>
      </c>
      <c r="Q1336" t="inlineStr">
        <is>
          <t>12:00</t>
        </is>
      </c>
    </row>
    <row r="1337">
      <c r="A1337" t="inlineStr">
        <is>
          <t>実川 啓明</t>
        </is>
      </c>
      <c r="B1337" t="inlineStr">
        <is>
          <t>TCNZ090:技術学習・資料作成</t>
        </is>
      </c>
      <c r="D1337">
        <f>L1337</f>
        <v/>
      </c>
      <c r="E1337">
        <f>SUMIFS(J:J, G:G,             A1337, H:H, B1337, L:L, L1337)</f>
        <v/>
      </c>
      <c r="F1337" t="inlineStr">
        <is>
          <t>34</t>
        </is>
      </c>
      <c r="G1337" t="inlineStr">
        <is>
          <t>実川 啓明</t>
        </is>
      </c>
      <c r="H1337" t="inlineStr">
        <is>
          <t>TCNZ090:技術学習・資料作成</t>
        </is>
      </c>
      <c r="I1337" s="1" t="n">
        <v>45947</v>
      </c>
      <c r="J1337" t="n">
        <v>1.25</v>
      </c>
      <c r="L1337">
        <f>IFERROR(LEFT(K1337,             FIND(",", K1337) - 1), "-")</f>
        <v/>
      </c>
      <c r="M1337">
        <f>IFERROR(MID(K1337,             FIND(",", K1337) + 1, LEN(K1337) - FIND(",", K1337)), K1337)</f>
        <v/>
      </c>
      <c r="N1337" t="n">
        <v>5</v>
      </c>
      <c r="P1337" t="inlineStr">
        <is>
          <t>16:45</t>
        </is>
      </c>
      <c r="Q1337" t="inlineStr">
        <is>
          <t>18:00</t>
        </is>
      </c>
    </row>
    <row r="1338">
      <c r="A1338" t="inlineStr">
        <is>
          <t>実川 啓明</t>
        </is>
      </c>
      <c r="B1338" t="inlineStr">
        <is>
          <t>TCNZ090:技術学習・資料作成</t>
        </is>
      </c>
      <c r="D1338">
        <f>L1338</f>
        <v/>
      </c>
      <c r="E1338">
        <f>SUMIFS(J:J, G:G,             A1338, H:H, B1338, L:L, L1338)</f>
        <v/>
      </c>
      <c r="F1338" t="inlineStr">
        <is>
          <t>34</t>
        </is>
      </c>
      <c r="G1338" t="inlineStr">
        <is>
          <t>実川 啓明</t>
        </is>
      </c>
      <c r="H1338" t="inlineStr">
        <is>
          <t>TCNZ090:技術学習・資料作成</t>
        </is>
      </c>
      <c r="I1338" s="1" t="n">
        <v>45950</v>
      </c>
      <c r="J1338" t="n">
        <v>2</v>
      </c>
      <c r="L1338">
        <f>IFERROR(LEFT(K1338,             FIND(",", K1338) - 1), "-")</f>
        <v/>
      </c>
      <c r="M1338">
        <f>IFERROR(MID(K1338,             FIND(",", K1338) + 1, LEN(K1338) - FIND(",", K1338)), K1338)</f>
        <v/>
      </c>
      <c r="N1338" t="n">
        <v>5</v>
      </c>
      <c r="P1338" t="inlineStr">
        <is>
          <t>14:00</t>
        </is>
      </c>
      <c r="Q1338" t="inlineStr">
        <is>
          <t>16:00</t>
        </is>
      </c>
    </row>
    <row r="1339">
      <c r="A1339" t="inlineStr">
        <is>
          <t>実川 啓明</t>
        </is>
      </c>
      <c r="B1339" t="inlineStr">
        <is>
          <t>TCNZ090:技術学習・資料作成</t>
        </is>
      </c>
      <c r="D1339">
        <f>L1339</f>
        <v/>
      </c>
      <c r="E1339">
        <f>SUMIFS(J:J, G:G,             A1339, H:H, B1339, L:L, L1339)</f>
        <v/>
      </c>
      <c r="F1339" t="inlineStr">
        <is>
          <t>34</t>
        </is>
      </c>
      <c r="G1339" t="inlineStr">
        <is>
          <t>実川 啓明</t>
        </is>
      </c>
      <c r="H1339" t="inlineStr">
        <is>
          <t>TCNZ090:技術学習・資料作成</t>
        </is>
      </c>
      <c r="I1339" s="1" t="n">
        <v>45950</v>
      </c>
      <c r="J1339" t="n">
        <v>1.25</v>
      </c>
      <c r="L1339">
        <f>IFERROR(LEFT(K1339,             FIND(",", K1339) - 1), "-")</f>
        <v/>
      </c>
      <c r="M1339">
        <f>IFERROR(MID(K1339,             FIND(",", K1339) + 1, LEN(K1339) - FIND(",", K1339)), K1339)</f>
        <v/>
      </c>
      <c r="N1339" t="n">
        <v>5</v>
      </c>
      <c r="P1339" t="inlineStr">
        <is>
          <t>17:00</t>
        </is>
      </c>
      <c r="Q1339" t="inlineStr">
        <is>
          <t>18:15</t>
        </is>
      </c>
    </row>
    <row r="1340">
      <c r="A1340" t="inlineStr">
        <is>
          <t>実川 啓明</t>
        </is>
      </c>
      <c r="B1340" t="inlineStr">
        <is>
          <t>TCNZ090:技術学習・資料作成</t>
        </is>
      </c>
      <c r="D1340">
        <f>L1340</f>
        <v/>
      </c>
      <c r="E1340">
        <f>SUMIFS(J:J, G:G,             A1340, H:H, B1340, L:L, L1340)</f>
        <v/>
      </c>
      <c r="F1340" t="inlineStr">
        <is>
          <t>34</t>
        </is>
      </c>
      <c r="G1340" t="inlineStr">
        <is>
          <t>実川 啓明</t>
        </is>
      </c>
      <c r="H1340" t="inlineStr">
        <is>
          <t>TCNZ090:技術学習・資料作成</t>
        </is>
      </c>
      <c r="I1340" s="1" t="n">
        <v>45951</v>
      </c>
      <c r="J1340" t="n">
        <v>1.5</v>
      </c>
      <c r="L1340">
        <f>IFERROR(LEFT(K1340,             FIND(",", K1340) - 1), "-")</f>
        <v/>
      </c>
      <c r="M1340">
        <f>IFERROR(MID(K1340,             FIND(",", K1340) + 1, LEN(K1340) - FIND(",", K1340)), K1340)</f>
        <v/>
      </c>
      <c r="N1340" t="n">
        <v>5</v>
      </c>
      <c r="P1340" t="inlineStr">
        <is>
          <t>10:30</t>
        </is>
      </c>
      <c r="Q1340" t="inlineStr">
        <is>
          <t>12:00</t>
        </is>
      </c>
    </row>
    <row r="1341">
      <c r="A1341" t="inlineStr">
        <is>
          <t>実川 啓明</t>
        </is>
      </c>
      <c r="B1341" t="inlineStr">
        <is>
          <t>TCNZ090:技術学習・資料作成</t>
        </is>
      </c>
      <c r="D1341">
        <f>L1341</f>
        <v/>
      </c>
      <c r="E1341">
        <f>SUMIFS(J:J, G:G,             A1341, H:H, B1341, L:L, L1341)</f>
        <v/>
      </c>
      <c r="F1341" t="inlineStr">
        <is>
          <t>34</t>
        </is>
      </c>
      <c r="G1341" t="inlineStr">
        <is>
          <t>実川 啓明</t>
        </is>
      </c>
      <c r="H1341" t="inlineStr">
        <is>
          <t>TCNZ090:技術学習・資料作成</t>
        </is>
      </c>
      <c r="I1341" s="1" t="n">
        <v>45951</v>
      </c>
      <c r="J1341" t="n">
        <v>4.5</v>
      </c>
      <c r="L1341">
        <f>IFERROR(LEFT(K1341,             FIND(",", K1341) - 1), "-")</f>
        <v/>
      </c>
      <c r="M1341">
        <f>IFERROR(MID(K1341,             FIND(",", K1341) + 1, LEN(K1341) - FIND(",", K1341)), K1341)</f>
        <v/>
      </c>
      <c r="N1341" t="n">
        <v>5</v>
      </c>
      <c r="P1341" t="inlineStr">
        <is>
          <t>13:00</t>
        </is>
      </c>
      <c r="Q1341" t="inlineStr">
        <is>
          <t>17:30</t>
        </is>
      </c>
    </row>
    <row r="1342">
      <c r="A1342" t="inlineStr">
        <is>
          <t>実川 啓明</t>
        </is>
      </c>
      <c r="B1342" t="inlineStr">
        <is>
          <t>TCNZ090:技術学習・資料作成</t>
        </is>
      </c>
      <c r="D1342">
        <f>L1342</f>
        <v/>
      </c>
      <c r="E1342">
        <f>SUMIFS(J:J, G:G,             A1342, H:H, B1342, L:L, L1342)</f>
        <v/>
      </c>
      <c r="F1342" t="inlineStr">
        <is>
          <t>34</t>
        </is>
      </c>
      <c r="G1342" t="inlineStr">
        <is>
          <t>実川 啓明</t>
        </is>
      </c>
      <c r="H1342" t="inlineStr">
        <is>
          <t>TCNZ090:技術学習・資料作成</t>
        </is>
      </c>
      <c r="I1342" s="1" t="n">
        <v>45952</v>
      </c>
      <c r="J1342" t="n">
        <v>2</v>
      </c>
      <c r="L1342">
        <f>IFERROR(LEFT(K1342,             FIND(",", K1342) - 1), "-")</f>
        <v/>
      </c>
      <c r="M1342">
        <f>IFERROR(MID(K1342,             FIND(",", K1342) + 1, LEN(K1342) - FIND(",", K1342)), K1342)</f>
        <v/>
      </c>
      <c r="N1342" t="n">
        <v>5</v>
      </c>
      <c r="P1342" t="inlineStr">
        <is>
          <t>10:00</t>
        </is>
      </c>
      <c r="Q1342" t="inlineStr">
        <is>
          <t>12:00</t>
        </is>
      </c>
    </row>
    <row r="1343">
      <c r="A1343" t="inlineStr">
        <is>
          <t>実川 啓明</t>
        </is>
      </c>
      <c r="B1343" t="inlineStr">
        <is>
          <t>TCNZ090:技術学習・資料作成</t>
        </is>
      </c>
      <c r="D1343">
        <f>L1343</f>
        <v/>
      </c>
      <c r="E1343">
        <f>SUMIFS(J:J, G:G,             A1343, H:H, B1343, L:L, L1343)</f>
        <v/>
      </c>
      <c r="F1343" t="inlineStr">
        <is>
          <t>34</t>
        </is>
      </c>
      <c r="G1343" t="inlineStr">
        <is>
          <t>実川 啓明</t>
        </is>
      </c>
      <c r="H1343" t="inlineStr">
        <is>
          <t>TCNZ090:技術学習・資料作成</t>
        </is>
      </c>
      <c r="I1343" s="1" t="n">
        <v>45952</v>
      </c>
      <c r="J1343" t="n">
        <v>2</v>
      </c>
      <c r="L1343">
        <f>IFERROR(LEFT(K1343,             FIND(",", K1343) - 1), "-")</f>
        <v/>
      </c>
      <c r="M1343">
        <f>IFERROR(MID(K1343,             FIND(",", K1343) + 1, LEN(K1343) - FIND(",", K1343)), K1343)</f>
        <v/>
      </c>
      <c r="N1343" t="n">
        <v>5</v>
      </c>
      <c r="P1343" t="inlineStr">
        <is>
          <t>14:00</t>
        </is>
      </c>
      <c r="Q1343" t="inlineStr">
        <is>
          <t>16:00</t>
        </is>
      </c>
    </row>
    <row r="1344">
      <c r="A1344" t="inlineStr">
        <is>
          <t>実川 啓明</t>
        </is>
      </c>
      <c r="B1344" t="inlineStr">
        <is>
          <t>TCNZ090:技術学習・資料作成</t>
        </is>
      </c>
      <c r="D1344">
        <f>L1344</f>
        <v/>
      </c>
      <c r="E1344">
        <f>SUMIFS(J:J, G:G,             A1344, H:H, B1344, L:L, L1344)</f>
        <v/>
      </c>
      <c r="F1344" t="inlineStr">
        <is>
          <t>34</t>
        </is>
      </c>
      <c r="G1344" t="inlineStr">
        <is>
          <t>実川 啓明</t>
        </is>
      </c>
      <c r="H1344" t="inlineStr">
        <is>
          <t>TCNZ090:技術学習・資料作成</t>
        </is>
      </c>
      <c r="I1344" s="1" t="n">
        <v>45953</v>
      </c>
      <c r="J1344" t="n">
        <v>2</v>
      </c>
      <c r="L1344">
        <f>IFERROR(LEFT(K1344,             FIND(",", K1344) - 1), "-")</f>
        <v/>
      </c>
      <c r="M1344">
        <f>IFERROR(MID(K1344,             FIND(",", K1344) + 1, LEN(K1344) - FIND(",", K1344)), K1344)</f>
        <v/>
      </c>
      <c r="N1344" t="n">
        <v>5</v>
      </c>
      <c r="P1344" t="inlineStr">
        <is>
          <t>10:00</t>
        </is>
      </c>
      <c r="Q1344" t="inlineStr">
        <is>
          <t>12:00</t>
        </is>
      </c>
    </row>
    <row r="1345">
      <c r="A1345" t="inlineStr">
        <is>
          <t>実川 啓明</t>
        </is>
      </c>
      <c r="B1345" t="inlineStr">
        <is>
          <t>TCNZ090:技術学習・資料作成</t>
        </is>
      </c>
      <c r="D1345">
        <f>L1345</f>
        <v/>
      </c>
      <c r="E1345">
        <f>SUMIFS(J:J, G:G,             A1345, H:H, B1345, L:L, L1345)</f>
        <v/>
      </c>
      <c r="F1345" t="inlineStr">
        <is>
          <t>34</t>
        </is>
      </c>
      <c r="G1345" t="inlineStr">
        <is>
          <t>実川 啓明</t>
        </is>
      </c>
      <c r="H1345" t="inlineStr">
        <is>
          <t>TCNZ090:技術学習・資料作成</t>
        </is>
      </c>
      <c r="I1345" s="1" t="n">
        <v>45953</v>
      </c>
      <c r="J1345" t="n">
        <v>2.5</v>
      </c>
      <c r="L1345">
        <f>IFERROR(LEFT(K1345,             FIND(",", K1345) - 1), "-")</f>
        <v/>
      </c>
      <c r="M1345">
        <f>IFERROR(MID(K1345,             FIND(",", K1345) + 1, LEN(K1345) - FIND(",", K1345)), K1345)</f>
        <v/>
      </c>
      <c r="N1345" t="n">
        <v>5</v>
      </c>
      <c r="P1345" t="inlineStr">
        <is>
          <t>15:30</t>
        </is>
      </c>
      <c r="Q1345" t="inlineStr">
        <is>
          <t>18:00</t>
        </is>
      </c>
    </row>
    <row r="1346">
      <c r="A1346" t="inlineStr">
        <is>
          <t>実川 啓明</t>
        </is>
      </c>
      <c r="B1346" t="inlineStr">
        <is>
          <t>TESs001:竹原英語スクールサポート</t>
        </is>
      </c>
      <c r="C1346">
        <f>SUMIFS(J:J, G:G,             A1346, H:H, B1346)</f>
        <v/>
      </c>
      <c r="D1346">
        <f>L1346</f>
        <v/>
      </c>
      <c r="E1346">
        <f>SUMIFS(J:J, G:G,             A1346, H:H, B1346, L:L, L1346)</f>
        <v/>
      </c>
      <c r="F1346" t="inlineStr">
        <is>
          <t>34</t>
        </is>
      </c>
      <c r="G1346" t="inlineStr">
        <is>
          <t>実川 啓明</t>
        </is>
      </c>
      <c r="H1346" t="inlineStr">
        <is>
          <t>TESs001:竹原英語スクールサポート</t>
        </is>
      </c>
      <c r="I1346" s="1" t="n">
        <v>45936</v>
      </c>
      <c r="J1346" t="n">
        <v>1</v>
      </c>
      <c r="L1346">
        <f>IFERROR(LEFT(K1346,             FIND(",", K1346) - 1), "-")</f>
        <v/>
      </c>
      <c r="M1346">
        <f>IFERROR(MID(K1346,             FIND(",", K1346) + 1, LEN(K1346) - FIND(",", K1346)), K1346)</f>
        <v/>
      </c>
      <c r="N1346" t="n">
        <v>3</v>
      </c>
      <c r="P1346" t="inlineStr">
        <is>
          <t>16:00</t>
        </is>
      </c>
      <c r="Q1346" t="inlineStr">
        <is>
          <t>17:00</t>
        </is>
      </c>
    </row>
    <row r="1347">
      <c r="A1347" t="inlineStr">
        <is>
          <t>実川 啓明</t>
        </is>
      </c>
      <c r="B1347" t="inlineStr">
        <is>
          <t>TESs001:竹原英語スクールサポート</t>
        </is>
      </c>
      <c r="D1347">
        <f>L1347</f>
        <v/>
      </c>
      <c r="E1347">
        <f>SUMIFS(J:J, G:G,             A1347, H:H, B1347, L:L, L1347)</f>
        <v/>
      </c>
      <c r="F1347" t="inlineStr">
        <is>
          <t>34</t>
        </is>
      </c>
      <c r="G1347" t="inlineStr">
        <is>
          <t>実川 啓明</t>
        </is>
      </c>
      <c r="H1347" t="inlineStr">
        <is>
          <t>TESs001:竹原英語スクールサポート</t>
        </is>
      </c>
      <c r="I1347" s="1" t="n">
        <v>45937</v>
      </c>
      <c r="J1347" t="n">
        <v>1.5</v>
      </c>
      <c r="L1347">
        <f>IFERROR(LEFT(K1347,             FIND(",", K1347) - 1), "-")</f>
        <v/>
      </c>
      <c r="M1347">
        <f>IFERROR(MID(K1347,             FIND(",", K1347) + 1, LEN(K1347) - FIND(",", K1347)), K1347)</f>
        <v/>
      </c>
      <c r="N1347" t="n">
        <v>3</v>
      </c>
      <c r="P1347" t="inlineStr">
        <is>
          <t>13:00</t>
        </is>
      </c>
      <c r="Q1347" t="inlineStr">
        <is>
          <t>14:30</t>
        </is>
      </c>
    </row>
    <row r="1348">
      <c r="A1348" t="inlineStr">
        <is>
          <t>実川 啓明</t>
        </is>
      </c>
      <c r="B1348" t="inlineStr">
        <is>
          <t>WAKS001:ウエイクアップサポート</t>
        </is>
      </c>
      <c r="C1348">
        <f>SUMIFS(J:J, G:G,             A1348, H:H, B1348)</f>
        <v/>
      </c>
      <c r="D1348">
        <f>L1348</f>
        <v/>
      </c>
      <c r="E1348">
        <f>SUMIFS(J:J, G:G,             A1348, H:H, B1348, L:L, L1348)</f>
        <v/>
      </c>
      <c r="F1348" t="inlineStr">
        <is>
          <t>34</t>
        </is>
      </c>
      <c r="G1348" t="inlineStr">
        <is>
          <t>実川 啓明</t>
        </is>
      </c>
      <c r="H1348" t="inlineStr">
        <is>
          <t>WAKS001:ウエイクアップサポート</t>
        </is>
      </c>
      <c r="I1348" s="1" t="n">
        <v>45932</v>
      </c>
      <c r="J1348" t="n">
        <v>0.75</v>
      </c>
      <c r="L1348">
        <f>IFERROR(LEFT(K1348,             FIND(",", K1348) - 1), "-")</f>
        <v/>
      </c>
      <c r="M1348">
        <f>IFERROR(MID(K1348,             FIND(",", K1348) + 1, LEN(K1348) - FIND(",", K1348)), K1348)</f>
        <v/>
      </c>
      <c r="N1348" t="n">
        <v>3</v>
      </c>
      <c r="P1348" t="inlineStr">
        <is>
          <t>13:00</t>
        </is>
      </c>
      <c r="Q1348" t="inlineStr">
        <is>
          <t>13:45</t>
        </is>
      </c>
    </row>
    <row r="1349">
      <c r="A1349" t="inlineStr">
        <is>
          <t>実川 啓明</t>
        </is>
      </c>
      <c r="B1349" t="inlineStr">
        <is>
          <t>WAKS001:ウエイクアップサポート</t>
        </is>
      </c>
      <c r="D1349">
        <f>L1349</f>
        <v/>
      </c>
      <c r="E1349">
        <f>SUMIFS(J:J, G:G,             A1349, H:H, B1349, L:L, L1349)</f>
        <v/>
      </c>
      <c r="F1349" t="inlineStr">
        <is>
          <t>34</t>
        </is>
      </c>
      <c r="G1349" t="inlineStr">
        <is>
          <t>実川 啓明</t>
        </is>
      </c>
      <c r="H1349" t="inlineStr">
        <is>
          <t>WAKS001:ウエイクアップサポート</t>
        </is>
      </c>
      <c r="I1349" s="1" t="n">
        <v>45932</v>
      </c>
      <c r="J1349" t="n">
        <v>0.75</v>
      </c>
      <c r="L1349">
        <f>IFERROR(LEFT(K1349,             FIND(",", K1349) - 1), "-")</f>
        <v/>
      </c>
      <c r="M1349">
        <f>IFERROR(MID(K1349,             FIND(",", K1349) + 1, LEN(K1349) - FIND(",", K1349)), K1349)</f>
        <v/>
      </c>
      <c r="N1349" t="n">
        <v>3</v>
      </c>
      <c r="P1349" t="inlineStr">
        <is>
          <t>14:45</t>
        </is>
      </c>
      <c r="Q1349" t="inlineStr">
        <is>
          <t>15:30</t>
        </is>
      </c>
    </row>
    <row r="1350">
      <c r="A1350" t="inlineStr">
        <is>
          <t>実川 啓明</t>
        </is>
      </c>
      <c r="B1350" t="inlineStr">
        <is>
          <t>WAKS001:ウエイクアップサポート</t>
        </is>
      </c>
      <c r="D1350">
        <f>L1350</f>
        <v/>
      </c>
      <c r="E1350">
        <f>SUMIFS(J:J, G:G,             A1350, H:H, B1350, L:L, L1350)</f>
        <v/>
      </c>
      <c r="F1350" t="inlineStr">
        <is>
          <t>34</t>
        </is>
      </c>
      <c r="G1350" t="inlineStr">
        <is>
          <t>実川 啓明</t>
        </is>
      </c>
      <c r="H1350" t="inlineStr">
        <is>
          <t>WAKS001:ウエイクアップサポート</t>
        </is>
      </c>
      <c r="I1350" s="1" t="n">
        <v>45938</v>
      </c>
      <c r="J1350" t="n">
        <v>1</v>
      </c>
      <c r="L1350">
        <f>IFERROR(LEFT(K1350,             FIND(",", K1350) - 1), "-")</f>
        <v/>
      </c>
      <c r="M1350">
        <f>IFERROR(MID(K1350,             FIND(",", K1350) + 1, LEN(K1350) - FIND(",", K1350)), K1350)</f>
        <v/>
      </c>
      <c r="N1350" t="n">
        <v>3</v>
      </c>
      <c r="P1350" t="inlineStr">
        <is>
          <t>11:00</t>
        </is>
      </c>
      <c r="Q1350" t="inlineStr">
        <is>
          <t>12:00</t>
        </is>
      </c>
    </row>
    <row r="1351">
      <c r="A1351" t="inlineStr">
        <is>
          <t>実川 啓明</t>
        </is>
      </c>
      <c r="B1351" t="inlineStr">
        <is>
          <t>WAKS001:ウエイクアップサポート</t>
        </is>
      </c>
      <c r="D1351">
        <f>L1351</f>
        <v/>
      </c>
      <c r="E1351">
        <f>SUMIFS(J:J, G:G,             A1351, H:H, B1351, L:L, L1351)</f>
        <v/>
      </c>
      <c r="F1351" t="inlineStr">
        <is>
          <t>34</t>
        </is>
      </c>
      <c r="G1351" t="inlineStr">
        <is>
          <t>実川 啓明</t>
        </is>
      </c>
      <c r="H1351" t="inlineStr">
        <is>
          <t>WAKS001:ウエイクアップサポート</t>
        </is>
      </c>
      <c r="I1351" s="1" t="n">
        <v>45938</v>
      </c>
      <c r="J1351" t="n">
        <v>1.5</v>
      </c>
      <c r="L1351">
        <f>IFERROR(LEFT(K1351,             FIND(",", K1351) - 1), "-")</f>
        <v/>
      </c>
      <c r="M1351">
        <f>IFERROR(MID(K1351,             FIND(",", K1351) + 1, LEN(K1351) - FIND(",", K1351)), K1351)</f>
        <v/>
      </c>
      <c r="N1351" t="n">
        <v>3</v>
      </c>
      <c r="P1351" t="inlineStr">
        <is>
          <t>14:00</t>
        </is>
      </c>
      <c r="Q1351" t="inlineStr">
        <is>
          <t>15:30</t>
        </is>
      </c>
    </row>
    <row r="1352">
      <c r="A1352" t="inlineStr">
        <is>
          <t>実川 啓明</t>
        </is>
      </c>
      <c r="B1352" t="inlineStr">
        <is>
          <t>WAKS001:ウエイクアップサポート</t>
        </is>
      </c>
      <c r="D1352">
        <f>L1352</f>
        <v/>
      </c>
      <c r="E1352">
        <f>SUMIFS(J:J, G:G,             A1352, H:H, B1352, L:L, L1352)</f>
        <v/>
      </c>
      <c r="F1352" t="inlineStr">
        <is>
          <t>34</t>
        </is>
      </c>
      <c r="G1352" t="inlineStr">
        <is>
          <t>実川 啓明</t>
        </is>
      </c>
      <c r="H1352" t="inlineStr">
        <is>
          <t>WAKS001:ウエイクアップサポート</t>
        </is>
      </c>
      <c r="I1352" s="1" t="n">
        <v>45939</v>
      </c>
      <c r="J1352" t="n">
        <v>1</v>
      </c>
      <c r="L1352">
        <f>IFERROR(LEFT(K1352,             FIND(",", K1352) - 1), "-")</f>
        <v/>
      </c>
      <c r="M1352">
        <f>IFERROR(MID(K1352,             FIND(",", K1352) + 1, LEN(K1352) - FIND(",", K1352)), K1352)</f>
        <v/>
      </c>
      <c r="N1352" t="n">
        <v>3</v>
      </c>
      <c r="P1352" t="inlineStr">
        <is>
          <t>09:00</t>
        </is>
      </c>
      <c r="Q1352" t="inlineStr">
        <is>
          <t>10:00</t>
        </is>
      </c>
    </row>
    <row r="1353">
      <c r="A1353" t="inlineStr">
        <is>
          <t>実川 啓明</t>
        </is>
      </c>
      <c r="B1353" t="inlineStr">
        <is>
          <t>WAKS001:ウエイクアップサポート</t>
        </is>
      </c>
      <c r="D1353">
        <f>L1353</f>
        <v/>
      </c>
      <c r="E1353">
        <f>SUMIFS(J:J, G:G,             A1353, H:H, B1353, L:L, L1353)</f>
        <v/>
      </c>
      <c r="F1353" t="inlineStr">
        <is>
          <t>34</t>
        </is>
      </c>
      <c r="G1353" t="inlineStr">
        <is>
          <t>実川 啓明</t>
        </is>
      </c>
      <c r="H1353" t="inlineStr">
        <is>
          <t>WAKS001:ウエイクアップサポート</t>
        </is>
      </c>
      <c r="I1353" s="1" t="n">
        <v>45939</v>
      </c>
      <c r="J1353" t="n">
        <v>3</v>
      </c>
      <c r="L1353">
        <f>IFERROR(LEFT(K1353,             FIND(",", K1353) - 1), "-")</f>
        <v/>
      </c>
      <c r="M1353">
        <f>IFERROR(MID(K1353,             FIND(",", K1353) + 1, LEN(K1353) - FIND(",", K1353)), K1353)</f>
        <v/>
      </c>
      <c r="N1353" t="n">
        <v>3</v>
      </c>
      <c r="P1353" t="inlineStr">
        <is>
          <t>14:30</t>
        </is>
      </c>
      <c r="Q1353" t="inlineStr">
        <is>
          <t>17:30</t>
        </is>
      </c>
    </row>
    <row r="1354">
      <c r="A1354" t="inlineStr">
        <is>
          <t>実川 啓明</t>
        </is>
      </c>
      <c r="B1354" t="inlineStr">
        <is>
          <t>ZZZS001:サポート全般(取引先別に管理しないサポート)</t>
        </is>
      </c>
      <c r="C1354">
        <f>SUMIFS(J:J, G:G,             A1354, H:H, B1354)</f>
        <v/>
      </c>
      <c r="D1354">
        <f>L1354</f>
        <v/>
      </c>
      <c r="E1354">
        <f>SUMIFS(J:J, G:G,             A1354, H:H, B1354, L:L, L1354)</f>
        <v/>
      </c>
      <c r="F1354" t="inlineStr">
        <is>
          <t>34</t>
        </is>
      </c>
      <c r="G1354" t="inlineStr">
        <is>
          <t>実川 啓明</t>
        </is>
      </c>
      <c r="H1354" t="inlineStr">
        <is>
          <t>ZZZS001:サポート全般(取引先別に管理しないサポート)</t>
        </is>
      </c>
      <c r="I1354" s="1" t="n">
        <v>45932</v>
      </c>
      <c r="J1354" t="n">
        <v>0.5</v>
      </c>
      <c r="K1354" t="inlineStr">
        <is>
          <t>ここちのサポート</t>
        </is>
      </c>
      <c r="L1354">
        <f>IFERROR(LEFT(K1354,             FIND(",", K1354) - 1), "-")</f>
        <v/>
      </c>
      <c r="M1354">
        <f>IFERROR(MID(K1354,             FIND(",", K1354) + 1, LEN(K1354) - FIND(",", K1354)), K1354)</f>
        <v/>
      </c>
      <c r="N1354" t="n">
        <v>3</v>
      </c>
      <c r="P1354" t="inlineStr">
        <is>
          <t>15:30</t>
        </is>
      </c>
      <c r="Q1354" t="inlineStr">
        <is>
          <t>16:00</t>
        </is>
      </c>
    </row>
    <row r="1355">
      <c r="A1355" t="inlineStr">
        <is>
          <t>実川 啓明</t>
        </is>
      </c>
      <c r="B1355" t="inlineStr">
        <is>
          <t>ZZZS001:サポート全般(取引先別に管理しないサポート)</t>
        </is>
      </c>
      <c r="D1355">
        <f>L1355</f>
        <v/>
      </c>
      <c r="E1355">
        <f>SUMIFS(J:J, G:G,             A1355, H:H, B1355, L:L, L1355)</f>
        <v/>
      </c>
      <c r="F1355" t="inlineStr">
        <is>
          <t>34</t>
        </is>
      </c>
      <c r="G1355" t="inlineStr">
        <is>
          <t>実川 啓明</t>
        </is>
      </c>
      <c r="H1355" t="inlineStr">
        <is>
          <t>ZZZS001:サポート全般(取引先別に管理しないサポート)</t>
        </is>
      </c>
      <c r="I1355" s="1" t="n">
        <v>45952</v>
      </c>
      <c r="J1355" t="n">
        <v>1</v>
      </c>
      <c r="K1355" t="inlineStr">
        <is>
          <t>ここちのサポート</t>
        </is>
      </c>
      <c r="L1355">
        <f>IFERROR(LEFT(K1355,             FIND(",", K1355) - 1), "-")</f>
        <v/>
      </c>
      <c r="M1355">
        <f>IFERROR(MID(K1355,             FIND(",", K1355) + 1, LEN(K1355) - FIND(",", K1355)), K1355)</f>
        <v/>
      </c>
      <c r="N1355" t="n">
        <v>3</v>
      </c>
      <c r="P1355" t="inlineStr">
        <is>
          <t>13:00</t>
        </is>
      </c>
      <c r="Q1355" t="inlineStr">
        <is>
          <t>14:00</t>
        </is>
      </c>
    </row>
    <row r="1356">
      <c r="A1356" t="inlineStr">
        <is>
          <t>実川 啓明</t>
        </is>
      </c>
      <c r="B1356" t="inlineStr">
        <is>
          <t>ZZZS001:サポート全般(取引先別に管理しないサポート)</t>
        </is>
      </c>
      <c r="D1356">
        <f>L1356</f>
        <v/>
      </c>
      <c r="E1356">
        <f>SUMIFS(J:J, G:G,             A1356, H:H, B1356, L:L, L1356)</f>
        <v/>
      </c>
      <c r="F1356" t="inlineStr">
        <is>
          <t>34</t>
        </is>
      </c>
      <c r="G1356" t="inlineStr">
        <is>
          <t>実川 啓明</t>
        </is>
      </c>
      <c r="H1356" t="inlineStr">
        <is>
          <t>ZZZS001:サポート全般(取引先別に管理しないサポート)</t>
        </is>
      </c>
      <c r="I1356" s="1" t="n">
        <v>45952</v>
      </c>
      <c r="J1356" t="n">
        <v>1</v>
      </c>
      <c r="K1356" t="inlineStr">
        <is>
          <t>ここちのサポート</t>
        </is>
      </c>
      <c r="L1356">
        <f>IFERROR(LEFT(K1356,             FIND(",", K1356) - 1), "-")</f>
        <v/>
      </c>
      <c r="M1356">
        <f>IFERROR(MID(K1356,             FIND(",", K1356) + 1, LEN(K1356) - FIND(",", K1356)), K1356)</f>
        <v/>
      </c>
      <c r="N1356" t="n">
        <v>3</v>
      </c>
      <c r="P1356" t="inlineStr">
        <is>
          <t>16:00</t>
        </is>
      </c>
      <c r="Q1356" t="inlineStr">
        <is>
          <t>17:00</t>
        </is>
      </c>
    </row>
    <row r="1357">
      <c r="A1357" t="inlineStr">
        <is>
          <t>実川 啓明</t>
        </is>
      </c>
      <c r="B1357" t="inlineStr">
        <is>
          <t>ZZZS001:サポート全般(取引先別に管理しないサポート)</t>
        </is>
      </c>
      <c r="D1357">
        <f>L1357</f>
        <v/>
      </c>
      <c r="E1357">
        <f>SUMIFS(J:J, G:G,             A1357, H:H, B1357, L:L, L1357)</f>
        <v/>
      </c>
      <c r="F1357" t="inlineStr">
        <is>
          <t>34</t>
        </is>
      </c>
      <c r="G1357" t="inlineStr">
        <is>
          <t>実川 啓明</t>
        </is>
      </c>
      <c r="H1357" t="inlineStr">
        <is>
          <t>ZZZS001:サポート全般(取引先別に管理しないサポート)</t>
        </is>
      </c>
      <c r="I1357" s="1" t="n">
        <v>45953</v>
      </c>
      <c r="J1357" t="n">
        <v>1</v>
      </c>
      <c r="K1357" t="inlineStr">
        <is>
          <t>ここちのサポート</t>
        </is>
      </c>
      <c r="L1357">
        <f>IFERROR(LEFT(K1357,             FIND(",", K1357) - 1), "-")</f>
        <v/>
      </c>
      <c r="M1357">
        <f>IFERROR(MID(K1357,             FIND(",", K1357) + 1, LEN(K1357) - FIND(",", K1357)), K1357)</f>
        <v/>
      </c>
      <c r="N1357" t="n">
        <v>3</v>
      </c>
      <c r="P1357" t="inlineStr">
        <is>
          <t>09:00</t>
        </is>
      </c>
      <c r="Q1357" t="inlineStr">
        <is>
          <t>10:00</t>
        </is>
      </c>
    </row>
    <row r="1358">
      <c r="A1358" t="inlineStr">
        <is>
          <t>実川 啓明</t>
        </is>
      </c>
      <c r="B1358" t="inlineStr">
        <is>
          <t>ZZZS001:サポート全般(取引先別に管理しないサポート)</t>
        </is>
      </c>
      <c r="D1358">
        <f>L1358</f>
        <v/>
      </c>
      <c r="E1358">
        <f>SUMIFS(J:J, G:G,             A1358, H:H, B1358, L:L, L1358)</f>
        <v/>
      </c>
      <c r="F1358" t="inlineStr">
        <is>
          <t>34</t>
        </is>
      </c>
      <c r="G1358" t="inlineStr">
        <is>
          <t>実川 啓明</t>
        </is>
      </c>
      <c r="H1358" t="inlineStr">
        <is>
          <t>ZZZS001:サポート全般(取引先別に管理しないサポート)</t>
        </is>
      </c>
      <c r="I1358" s="1" t="n">
        <v>45952</v>
      </c>
      <c r="J1358" t="n">
        <v>1.5</v>
      </c>
      <c r="L1358">
        <f>IFERROR(LEFT(K1358,             FIND(",", K1358) - 1), "-")</f>
        <v/>
      </c>
      <c r="M1358">
        <f>IFERROR(MID(K1358,             FIND(",", K1358) + 1, LEN(K1358) - FIND(",", K1358)), K1358)</f>
        <v/>
      </c>
      <c r="N1358" t="n">
        <v>3</v>
      </c>
      <c r="P1358" t="inlineStr">
        <is>
          <t>17:00</t>
        </is>
      </c>
      <c r="Q1358" t="inlineStr">
        <is>
          <t>18:30</t>
        </is>
      </c>
    </row>
    <row r="1359">
      <c r="A1359" t="inlineStr">
        <is>
          <t>実川 啓明</t>
        </is>
      </c>
      <c r="B1359" t="inlineStr">
        <is>
          <t>ZZZS002:サポート全般(取引先別に管理しない見積調査)</t>
        </is>
      </c>
      <c r="C1359">
        <f>SUMIFS(J:J, G:G,             A1359, H:H, B1359)</f>
        <v/>
      </c>
      <c r="D1359">
        <f>L1359</f>
        <v/>
      </c>
      <c r="E1359">
        <f>SUMIFS(J:J, G:G,             A1359, H:H, B1359, L:L, L1359)</f>
        <v/>
      </c>
      <c r="F1359" t="inlineStr">
        <is>
          <t>34</t>
        </is>
      </c>
      <c r="G1359" t="inlineStr">
        <is>
          <t>実川 啓明</t>
        </is>
      </c>
      <c r="H1359" t="inlineStr">
        <is>
          <t>ZZZS002:サポート全般(取引先別に管理しない見積調査)</t>
        </is>
      </c>
      <c r="I1359" s="1" t="n">
        <v>45951</v>
      </c>
      <c r="J1359" t="n">
        <v>1</v>
      </c>
      <c r="K1359" t="inlineStr">
        <is>
          <t>城南進学研究社の見積</t>
        </is>
      </c>
      <c r="L1359">
        <f>IFERROR(LEFT(K1359,             FIND(",", K1359) - 1), "-")</f>
        <v/>
      </c>
      <c r="M1359">
        <f>IFERROR(MID(K1359,             FIND(",", K1359) + 1, LEN(K1359) - FIND(",", K1359)), K1359)</f>
        <v/>
      </c>
      <c r="N1359" t="n">
        <v>3</v>
      </c>
      <c r="P1359" t="inlineStr">
        <is>
          <t>17:30</t>
        </is>
      </c>
      <c r="Q1359" t="inlineStr">
        <is>
          <t>18:30</t>
        </is>
      </c>
    </row>
    <row r="1360">
      <c r="A1360" t="inlineStr">
        <is>
          <t>実川 啓明</t>
        </is>
      </c>
      <c r="B1360" t="inlineStr">
        <is>
          <t>ZZZS002:サポート全般(取引先別に管理しない見積調査)</t>
        </is>
      </c>
      <c r="D1360">
        <f>L1360</f>
        <v/>
      </c>
      <c r="E1360">
        <f>SUMIFS(J:J, G:G,             A1360, H:H, B1360, L:L, L1360)</f>
        <v/>
      </c>
      <c r="F1360" t="inlineStr">
        <is>
          <t>34</t>
        </is>
      </c>
      <c r="G1360" t="inlineStr">
        <is>
          <t>実川 啓明</t>
        </is>
      </c>
      <c r="H1360" t="inlineStr">
        <is>
          <t>ZZZS002:サポート全般(取引先別に管理しない見積調査)</t>
        </is>
      </c>
      <c r="I1360" s="1" t="n">
        <v>45952</v>
      </c>
      <c r="J1360" t="n">
        <v>1</v>
      </c>
      <c r="K1360" t="inlineStr">
        <is>
          <t>城南進学研究社の見積</t>
        </is>
      </c>
      <c r="L1360">
        <f>IFERROR(LEFT(K1360,             FIND(",", K1360) - 1), "-")</f>
        <v/>
      </c>
      <c r="M1360">
        <f>IFERROR(MID(K1360,             FIND(",", K1360) + 1, LEN(K1360) - FIND(",", K1360)), K1360)</f>
        <v/>
      </c>
      <c r="N1360" t="n">
        <v>3</v>
      </c>
      <c r="P1360" t="inlineStr">
        <is>
          <t>09:00</t>
        </is>
      </c>
      <c r="Q1360" t="inlineStr">
        <is>
          <t>10:00</t>
        </is>
      </c>
    </row>
    <row r="1361">
      <c r="A1361" t="inlineStr">
        <is>
          <t>小林 史知</t>
        </is>
      </c>
      <c r="B1361" t="inlineStr">
        <is>
          <t>TCNZ001:社内業務等</t>
        </is>
      </c>
      <c r="C1361">
        <f>SUMIFS(J:J, G:G,             A1361, H:H, B1361)</f>
        <v/>
      </c>
      <c r="D1361">
        <f>L1361</f>
        <v/>
      </c>
      <c r="E1361">
        <f>SUMIFS(J:J, G:G,             A1361, H:H, B1361, L:L, L1361)</f>
        <v/>
      </c>
      <c r="F1361" t="inlineStr">
        <is>
          <t>O-11</t>
        </is>
      </c>
      <c r="G1361" t="inlineStr">
        <is>
          <t>小林 史知</t>
        </is>
      </c>
      <c r="H1361" t="inlineStr">
        <is>
          <t>TCNZ001:社内業務等</t>
        </is>
      </c>
      <c r="I1361" s="1" t="n">
        <v>45936</v>
      </c>
      <c r="J1361" t="n">
        <v>0.5</v>
      </c>
      <c r="L1361">
        <f>IFERROR(LEFT(K1361,             FIND(",", K1361) - 1), "-")</f>
        <v/>
      </c>
      <c r="M1361">
        <f>IFERROR(MID(K1361,             FIND(",", K1361) + 1, LEN(K1361) - FIND(",", K1361)), K1361)</f>
        <v/>
      </c>
      <c r="N1361" t="n">
        <v>5</v>
      </c>
      <c r="P1361" t="inlineStr">
        <is>
          <t>09:00</t>
        </is>
      </c>
      <c r="Q1361" t="inlineStr">
        <is>
          <t>09:30</t>
        </is>
      </c>
    </row>
    <row r="1362">
      <c r="A1362" t="inlineStr">
        <is>
          <t>小林 史知</t>
        </is>
      </c>
      <c r="B1362" t="inlineStr">
        <is>
          <t>YMHA003:ヤマハWBS:追加要望対応</t>
        </is>
      </c>
      <c r="C1362">
        <f>SUMIFS(J:J, G:G,             A1362, H:H, B1362)</f>
        <v/>
      </c>
      <c r="D1362">
        <f>L1362</f>
        <v/>
      </c>
      <c r="E1362">
        <f>SUMIFS(J:J, G:G,             A1362, H:H, B1362, L:L, L1362)</f>
        <v/>
      </c>
      <c r="F1362" t="inlineStr">
        <is>
          <t>O-11</t>
        </is>
      </c>
      <c r="G1362" t="inlineStr">
        <is>
          <t>小林 史知</t>
        </is>
      </c>
      <c r="H1362" t="inlineStr">
        <is>
          <t>YMHA003:ヤマハWBS:追加要望対応</t>
        </is>
      </c>
      <c r="I1362" s="1" t="n">
        <v>45932</v>
      </c>
      <c r="J1362" t="n">
        <v>3</v>
      </c>
      <c r="L1362">
        <f>IFERROR(LEFT(K1362,             FIND(",", K1362) - 1), "-")</f>
        <v/>
      </c>
      <c r="M1362">
        <f>IFERROR(MID(K1362,             FIND(",", K1362) + 1, LEN(K1362) - FIND(",", K1362)), K1362)</f>
        <v/>
      </c>
      <c r="N1362" t="n">
        <v>2</v>
      </c>
      <c r="P1362" t="inlineStr">
        <is>
          <t>09:00</t>
        </is>
      </c>
      <c r="Q1362" t="inlineStr">
        <is>
          <t>12:00</t>
        </is>
      </c>
    </row>
    <row r="1363">
      <c r="A1363" t="inlineStr">
        <is>
          <t>小林 史知</t>
        </is>
      </c>
      <c r="B1363" t="inlineStr">
        <is>
          <t>YMHA003:ヤマハWBS:追加要望対応</t>
        </is>
      </c>
      <c r="D1363">
        <f>L1363</f>
        <v/>
      </c>
      <c r="E1363">
        <f>SUMIFS(J:J, G:G,             A1363, H:H, B1363, L:L, L1363)</f>
        <v/>
      </c>
      <c r="F1363" t="inlineStr">
        <is>
          <t>O-11</t>
        </is>
      </c>
      <c r="G1363" t="inlineStr">
        <is>
          <t>小林 史知</t>
        </is>
      </c>
      <c r="H1363" t="inlineStr">
        <is>
          <t>YMHA003:ヤマハWBS:追加要望対応</t>
        </is>
      </c>
      <c r="I1363" s="1" t="n">
        <v>45932</v>
      </c>
      <c r="J1363" t="n">
        <v>5</v>
      </c>
      <c r="L1363">
        <f>IFERROR(LEFT(K1363,             FIND(",", K1363) - 1), "-")</f>
        <v/>
      </c>
      <c r="M1363">
        <f>IFERROR(MID(K1363,             FIND(",", K1363) + 1, LEN(K1363) - FIND(",", K1363)), K1363)</f>
        <v/>
      </c>
      <c r="N1363" t="n">
        <v>2</v>
      </c>
      <c r="P1363" t="inlineStr">
        <is>
          <t>13:00</t>
        </is>
      </c>
      <c r="Q1363" t="inlineStr">
        <is>
          <t>18:00</t>
        </is>
      </c>
    </row>
    <row r="1364">
      <c r="A1364" t="inlineStr">
        <is>
          <t>小林 史知</t>
        </is>
      </c>
      <c r="B1364" t="inlineStr">
        <is>
          <t>YMHA003:ヤマハWBS:追加要望対応</t>
        </is>
      </c>
      <c r="D1364">
        <f>L1364</f>
        <v/>
      </c>
      <c r="E1364">
        <f>SUMIFS(J:J, G:G,             A1364, H:H, B1364, L:L, L1364)</f>
        <v/>
      </c>
      <c r="F1364" t="inlineStr">
        <is>
          <t>O-11</t>
        </is>
      </c>
      <c r="G1364" t="inlineStr">
        <is>
          <t>小林 史知</t>
        </is>
      </c>
      <c r="H1364" t="inlineStr">
        <is>
          <t>YMHA003:ヤマハWBS:追加要望対応</t>
        </is>
      </c>
      <c r="I1364" s="1" t="n">
        <v>45936</v>
      </c>
      <c r="J1364" t="n">
        <v>3.5</v>
      </c>
      <c r="L1364">
        <f>IFERROR(LEFT(K1364,             FIND(",", K1364) - 1), "-")</f>
        <v/>
      </c>
      <c r="M1364">
        <f>IFERROR(MID(K1364,             FIND(",", K1364) + 1, LEN(K1364) - FIND(",", K1364)), K1364)</f>
        <v/>
      </c>
      <c r="N1364" t="n">
        <v>2</v>
      </c>
      <c r="P1364" t="inlineStr">
        <is>
          <t>09:30</t>
        </is>
      </c>
      <c r="Q1364" t="inlineStr">
        <is>
          <t>13:00</t>
        </is>
      </c>
    </row>
    <row r="1365">
      <c r="A1365" t="inlineStr">
        <is>
          <t>小林 史知</t>
        </is>
      </c>
      <c r="B1365" t="inlineStr">
        <is>
          <t>YMHA003:ヤマハWBS:追加要望対応</t>
        </is>
      </c>
      <c r="D1365">
        <f>L1365</f>
        <v/>
      </c>
      <c r="E1365">
        <f>SUMIFS(J:J, G:G,             A1365, H:H, B1365, L:L, L1365)</f>
        <v/>
      </c>
      <c r="F1365" t="inlineStr">
        <is>
          <t>O-11</t>
        </is>
      </c>
      <c r="G1365" t="inlineStr">
        <is>
          <t>小林 史知</t>
        </is>
      </c>
      <c r="H1365" t="inlineStr">
        <is>
          <t>YMHA003:ヤマハWBS:追加要望対応</t>
        </is>
      </c>
      <c r="I1365" s="1" t="n">
        <v>45937</v>
      </c>
      <c r="J1365" t="n">
        <v>3</v>
      </c>
      <c r="L1365">
        <f>IFERROR(LEFT(K1365,             FIND(",", K1365) - 1), "-")</f>
        <v/>
      </c>
      <c r="M1365">
        <f>IFERROR(MID(K1365,             FIND(",", K1365) + 1, LEN(K1365) - FIND(",", K1365)), K1365)</f>
        <v/>
      </c>
      <c r="N1365" t="n">
        <v>2</v>
      </c>
      <c r="P1365" t="inlineStr">
        <is>
          <t>09:00</t>
        </is>
      </c>
      <c r="Q1365" t="inlineStr">
        <is>
          <t>12:00</t>
        </is>
      </c>
    </row>
    <row r="1366">
      <c r="A1366" t="inlineStr">
        <is>
          <t>小林 史知</t>
        </is>
      </c>
      <c r="B1366" t="inlineStr">
        <is>
          <t>YMHA003:ヤマハWBS:追加要望対応</t>
        </is>
      </c>
      <c r="D1366">
        <f>L1366</f>
        <v/>
      </c>
      <c r="E1366">
        <f>SUMIFS(J:J, G:G,             A1366, H:H, B1366, L:L, L1366)</f>
        <v/>
      </c>
      <c r="F1366" t="inlineStr">
        <is>
          <t>O-11</t>
        </is>
      </c>
      <c r="G1366" t="inlineStr">
        <is>
          <t>小林 史知</t>
        </is>
      </c>
      <c r="H1366" t="inlineStr">
        <is>
          <t>YMHA003:ヤマハWBS:追加要望対応</t>
        </is>
      </c>
      <c r="I1366" s="1" t="n">
        <v>45937</v>
      </c>
      <c r="J1366" t="n">
        <v>1</v>
      </c>
      <c r="L1366">
        <f>IFERROR(LEFT(K1366,             FIND(",", K1366) - 1), "-")</f>
        <v/>
      </c>
      <c r="M1366">
        <f>IFERROR(MID(K1366,             FIND(",", K1366) + 1, LEN(K1366) - FIND(",", K1366)), K1366)</f>
        <v/>
      </c>
      <c r="N1366" t="n">
        <v>2</v>
      </c>
      <c r="P1366" t="inlineStr">
        <is>
          <t>12:00</t>
        </is>
      </c>
      <c r="Q1366" t="inlineStr">
        <is>
          <t>13:00</t>
        </is>
      </c>
    </row>
    <row r="1367">
      <c r="A1367" t="inlineStr">
        <is>
          <t>小林 史知</t>
        </is>
      </c>
      <c r="B1367" t="inlineStr">
        <is>
          <t>YMHA003:ヤマハWBS:追加要望対応</t>
        </is>
      </c>
      <c r="D1367">
        <f>L1367</f>
        <v/>
      </c>
      <c r="E1367">
        <f>SUMIFS(J:J, G:G,             A1367, H:H, B1367, L:L, L1367)</f>
        <v/>
      </c>
      <c r="F1367" t="inlineStr">
        <is>
          <t>O-11</t>
        </is>
      </c>
      <c r="G1367" t="inlineStr">
        <is>
          <t>小林 史知</t>
        </is>
      </c>
      <c r="H1367" t="inlineStr">
        <is>
          <t>YMHA003:ヤマハWBS:追加要望対応</t>
        </is>
      </c>
      <c r="I1367" s="1" t="n">
        <v>45944</v>
      </c>
      <c r="J1367" t="n">
        <v>3</v>
      </c>
      <c r="L1367">
        <f>IFERROR(LEFT(K1367,             FIND(",", K1367) - 1), "-")</f>
        <v/>
      </c>
      <c r="M1367">
        <f>IFERROR(MID(K1367,             FIND(",", K1367) + 1, LEN(K1367) - FIND(",", K1367)), K1367)</f>
        <v/>
      </c>
      <c r="N1367" t="n">
        <v>2</v>
      </c>
      <c r="P1367" t="inlineStr">
        <is>
          <t>09:00</t>
        </is>
      </c>
      <c r="Q1367" t="inlineStr">
        <is>
          <t>12:00</t>
        </is>
      </c>
    </row>
    <row r="1368">
      <c r="A1368" t="inlineStr">
        <is>
          <t>小林 史知</t>
        </is>
      </c>
      <c r="B1368" t="inlineStr">
        <is>
          <t>YMHA003:ヤマハWBS:追加要望対応</t>
        </is>
      </c>
      <c r="D1368">
        <f>L1368</f>
        <v/>
      </c>
      <c r="E1368">
        <f>SUMIFS(J:J, G:G,             A1368, H:H, B1368, L:L, L1368)</f>
        <v/>
      </c>
      <c r="F1368" t="inlineStr">
        <is>
          <t>O-11</t>
        </is>
      </c>
      <c r="G1368" t="inlineStr">
        <is>
          <t>小林 史知</t>
        </is>
      </c>
      <c r="H1368" t="inlineStr">
        <is>
          <t>YMHA003:ヤマハWBS:追加要望対応</t>
        </is>
      </c>
      <c r="I1368" s="1" t="n">
        <v>45944</v>
      </c>
      <c r="J1368" t="n">
        <v>2.5</v>
      </c>
      <c r="L1368">
        <f>IFERROR(LEFT(K1368,             FIND(",", K1368) - 1), "-")</f>
        <v/>
      </c>
      <c r="M1368">
        <f>IFERROR(MID(K1368,             FIND(",", K1368) + 1, LEN(K1368) - FIND(",", K1368)), K1368)</f>
        <v/>
      </c>
      <c r="N1368" t="n">
        <v>2</v>
      </c>
      <c r="P1368" t="inlineStr">
        <is>
          <t>13:00</t>
        </is>
      </c>
      <c r="Q1368" t="inlineStr">
        <is>
          <t>15:30</t>
        </is>
      </c>
    </row>
    <row r="1369">
      <c r="A1369" t="inlineStr">
        <is>
          <t>小林 史知</t>
        </is>
      </c>
      <c r="B1369" t="inlineStr">
        <is>
          <t>YMHA003:ヤマハWBS:追加要望対応</t>
        </is>
      </c>
      <c r="D1369">
        <f>L1369</f>
        <v/>
      </c>
      <c r="E1369">
        <f>SUMIFS(J:J, G:G,             A1369, H:H, B1369, L:L, L1369)</f>
        <v/>
      </c>
      <c r="F1369" t="inlineStr">
        <is>
          <t>O-11</t>
        </is>
      </c>
      <c r="G1369" t="inlineStr">
        <is>
          <t>小林 史知</t>
        </is>
      </c>
      <c r="H1369" t="inlineStr">
        <is>
          <t>YMHA003:ヤマハWBS:追加要望対応</t>
        </is>
      </c>
      <c r="I1369" s="1" t="n">
        <v>45944</v>
      </c>
      <c r="J1369" t="n">
        <v>1.75</v>
      </c>
      <c r="L1369">
        <f>IFERROR(LEFT(K1369,             FIND(",", K1369) - 1), "-")</f>
        <v/>
      </c>
      <c r="M1369">
        <f>IFERROR(MID(K1369,             FIND(",", K1369) + 1, LEN(K1369) - FIND(",", K1369)), K1369)</f>
        <v/>
      </c>
      <c r="N1369" t="n">
        <v>2</v>
      </c>
      <c r="P1369" t="inlineStr">
        <is>
          <t>16:15</t>
        </is>
      </c>
      <c r="Q1369" t="inlineStr">
        <is>
          <t>18:00</t>
        </is>
      </c>
    </row>
    <row r="1370">
      <c r="A1370" t="inlineStr">
        <is>
          <t>小林 史知</t>
        </is>
      </c>
      <c r="B1370" t="inlineStr">
        <is>
          <t>YMHA003:ヤマハWBS:追加要望対応</t>
        </is>
      </c>
      <c r="D1370">
        <f>L1370</f>
        <v/>
      </c>
      <c r="E1370">
        <f>SUMIFS(J:J, G:G,             A1370, H:H, B1370, L:L, L1370)</f>
        <v/>
      </c>
      <c r="F1370" t="inlineStr">
        <is>
          <t>O-11</t>
        </is>
      </c>
      <c r="G1370" t="inlineStr">
        <is>
          <t>小林 史知</t>
        </is>
      </c>
      <c r="H1370" t="inlineStr">
        <is>
          <t>YMHA003:ヤマハWBS:追加要望対応</t>
        </is>
      </c>
      <c r="I1370" s="1" t="n">
        <v>45946</v>
      </c>
      <c r="J1370" t="n">
        <v>3</v>
      </c>
      <c r="L1370">
        <f>IFERROR(LEFT(K1370,             FIND(",", K1370) - 1), "-")</f>
        <v/>
      </c>
      <c r="M1370">
        <f>IFERROR(MID(K1370,             FIND(",", K1370) + 1, LEN(K1370) - FIND(",", K1370)), K1370)</f>
        <v/>
      </c>
      <c r="N1370" t="n">
        <v>2</v>
      </c>
      <c r="P1370" t="inlineStr">
        <is>
          <t>09:00</t>
        </is>
      </c>
      <c r="Q1370" t="inlineStr">
        <is>
          <t>12:00</t>
        </is>
      </c>
    </row>
    <row r="1371">
      <c r="A1371" t="inlineStr">
        <is>
          <t>小林 史知</t>
        </is>
      </c>
      <c r="B1371" t="inlineStr">
        <is>
          <t>YMHA003:ヤマハWBS:追加要望対応</t>
        </is>
      </c>
      <c r="D1371">
        <f>L1371</f>
        <v/>
      </c>
      <c r="E1371">
        <f>SUMIFS(J:J, G:G,             A1371, H:H, B1371, L:L, L1371)</f>
        <v/>
      </c>
      <c r="F1371" t="inlineStr">
        <is>
          <t>O-11</t>
        </is>
      </c>
      <c r="G1371" t="inlineStr">
        <is>
          <t>小林 史知</t>
        </is>
      </c>
      <c r="H1371" t="inlineStr">
        <is>
          <t>YMHA003:ヤマハWBS:追加要望対応</t>
        </is>
      </c>
      <c r="I1371" s="1" t="n">
        <v>45946</v>
      </c>
      <c r="J1371" t="n">
        <v>5.25</v>
      </c>
      <c r="L1371">
        <f>IFERROR(LEFT(K1371,             FIND(",", K1371) - 1), "-")</f>
        <v/>
      </c>
      <c r="M1371">
        <f>IFERROR(MID(K1371,             FIND(",", K1371) + 1, LEN(K1371) - FIND(",", K1371)), K1371)</f>
        <v/>
      </c>
      <c r="N1371" t="n">
        <v>2</v>
      </c>
      <c r="P1371" t="inlineStr">
        <is>
          <t>13:00</t>
        </is>
      </c>
      <c r="Q1371" t="inlineStr">
        <is>
          <t>18:15</t>
        </is>
      </c>
    </row>
    <row r="1372">
      <c r="A1372" t="inlineStr">
        <is>
          <t>小林 史知</t>
        </is>
      </c>
      <c r="B1372" t="inlineStr">
        <is>
          <t>YMHA003:ヤマハWBS:追加要望対応</t>
        </is>
      </c>
      <c r="D1372">
        <f>L1372</f>
        <v/>
      </c>
      <c r="E1372">
        <f>SUMIFS(J:J, G:G,             A1372, H:H, B1372, L:L, L1372)</f>
        <v/>
      </c>
      <c r="F1372" t="inlineStr">
        <is>
          <t>O-11</t>
        </is>
      </c>
      <c r="G1372" t="inlineStr">
        <is>
          <t>小林 史知</t>
        </is>
      </c>
      <c r="H1372" t="inlineStr">
        <is>
          <t>YMHA003:ヤマハWBS:追加要望対応</t>
        </is>
      </c>
      <c r="I1372" s="1" t="n">
        <v>45950</v>
      </c>
      <c r="J1372" t="n">
        <v>3</v>
      </c>
      <c r="L1372">
        <f>IFERROR(LEFT(K1372,             FIND(",", K1372) - 1), "-")</f>
        <v/>
      </c>
      <c r="M1372">
        <f>IFERROR(MID(K1372,             FIND(",", K1372) + 1, LEN(K1372) - FIND(",", K1372)), K1372)</f>
        <v/>
      </c>
      <c r="N1372" t="n">
        <v>2</v>
      </c>
      <c r="P1372" t="inlineStr">
        <is>
          <t>09:00</t>
        </is>
      </c>
      <c r="Q1372" t="inlineStr">
        <is>
          <t>12:00</t>
        </is>
      </c>
    </row>
    <row r="1373">
      <c r="A1373" t="inlineStr">
        <is>
          <t>小林 史知</t>
        </is>
      </c>
      <c r="B1373" t="inlineStr">
        <is>
          <t>YMHA003:ヤマハWBS:追加要望対応</t>
        </is>
      </c>
      <c r="D1373">
        <f>L1373</f>
        <v/>
      </c>
      <c r="E1373">
        <f>SUMIFS(J:J, G:G,             A1373, H:H, B1373, L:L, L1373)</f>
        <v/>
      </c>
      <c r="F1373" t="inlineStr">
        <is>
          <t>O-11</t>
        </is>
      </c>
      <c r="G1373" t="inlineStr">
        <is>
          <t>小林 史知</t>
        </is>
      </c>
      <c r="H1373" t="inlineStr">
        <is>
          <t>YMHA003:ヤマハWBS:追加要望対応</t>
        </is>
      </c>
      <c r="I1373" s="1" t="n">
        <v>45950</v>
      </c>
      <c r="J1373" t="n">
        <v>5</v>
      </c>
      <c r="L1373">
        <f>IFERROR(LEFT(K1373,             FIND(",", K1373) - 1), "-")</f>
        <v/>
      </c>
      <c r="M1373">
        <f>IFERROR(MID(K1373,             FIND(",", K1373) + 1, LEN(K1373) - FIND(",", K1373)), K1373)</f>
        <v/>
      </c>
      <c r="N1373" t="n">
        <v>2</v>
      </c>
      <c r="P1373" t="inlineStr">
        <is>
          <t>13:00</t>
        </is>
      </c>
      <c r="Q1373" t="inlineStr">
        <is>
          <t>18:00</t>
        </is>
      </c>
    </row>
    <row r="1374">
      <c r="A1374" t="inlineStr">
        <is>
          <t>小林 史知</t>
        </is>
      </c>
      <c r="B1374" t="inlineStr">
        <is>
          <t>YMHA003:ヤマハWBS:追加要望対応</t>
        </is>
      </c>
      <c r="D1374">
        <f>L1374</f>
        <v/>
      </c>
      <c r="E1374">
        <f>SUMIFS(J:J, G:G,             A1374, H:H, B1374, L:L, L1374)</f>
        <v/>
      </c>
      <c r="F1374" t="inlineStr">
        <is>
          <t>O-11</t>
        </is>
      </c>
      <c r="G1374" t="inlineStr">
        <is>
          <t>小林 史知</t>
        </is>
      </c>
      <c r="H1374" t="inlineStr">
        <is>
          <t>YMHA003:ヤマハWBS:追加要望対応</t>
        </is>
      </c>
      <c r="I1374" s="1" t="n">
        <v>45951</v>
      </c>
      <c r="J1374" t="n">
        <v>3</v>
      </c>
      <c r="L1374">
        <f>IFERROR(LEFT(K1374,             FIND(",", K1374) - 1), "-")</f>
        <v/>
      </c>
      <c r="M1374">
        <f>IFERROR(MID(K1374,             FIND(",", K1374) + 1, LEN(K1374) - FIND(",", K1374)), K1374)</f>
        <v/>
      </c>
      <c r="N1374" t="n">
        <v>2</v>
      </c>
      <c r="P1374" t="inlineStr">
        <is>
          <t>09:00</t>
        </is>
      </c>
      <c r="Q1374" t="inlineStr">
        <is>
          <t>12:00</t>
        </is>
      </c>
    </row>
    <row r="1375">
      <c r="A1375" t="inlineStr">
        <is>
          <t>小林 史知</t>
        </is>
      </c>
      <c r="B1375" t="inlineStr">
        <is>
          <t>YMHA003:ヤマハWBS:追加要望対応</t>
        </is>
      </c>
      <c r="D1375">
        <f>L1375</f>
        <v/>
      </c>
      <c r="E1375">
        <f>SUMIFS(J:J, G:G,             A1375, H:H, B1375, L:L, L1375)</f>
        <v/>
      </c>
      <c r="F1375" t="inlineStr">
        <is>
          <t>O-11</t>
        </is>
      </c>
      <c r="G1375" t="inlineStr">
        <is>
          <t>小林 史知</t>
        </is>
      </c>
      <c r="H1375" t="inlineStr">
        <is>
          <t>YMHA003:ヤマハWBS:追加要望対応</t>
        </is>
      </c>
      <c r="I1375" s="1" t="n">
        <v>45951</v>
      </c>
      <c r="J1375" t="n">
        <v>4.25</v>
      </c>
      <c r="L1375">
        <f>IFERROR(LEFT(K1375,             FIND(",", K1375) - 1), "-")</f>
        <v/>
      </c>
      <c r="M1375">
        <f>IFERROR(MID(K1375,             FIND(",", K1375) + 1, LEN(K1375) - FIND(",", K1375)), K1375)</f>
        <v/>
      </c>
      <c r="N1375" t="n">
        <v>2</v>
      </c>
      <c r="P1375" t="inlineStr">
        <is>
          <t>13:45</t>
        </is>
      </c>
      <c r="Q1375" t="inlineStr">
        <is>
          <t>18:00</t>
        </is>
      </c>
    </row>
    <row r="1376">
      <c r="A1376" t="inlineStr">
        <is>
          <t>小林 史知</t>
        </is>
      </c>
      <c r="B1376" t="inlineStr">
        <is>
          <t>YMHA003:ヤマハWBS:追加要望対応</t>
        </is>
      </c>
      <c r="D1376">
        <f>L1376</f>
        <v/>
      </c>
      <c r="E1376">
        <f>SUMIFS(J:J, G:G,             A1376, H:H, B1376, L:L, L1376)</f>
        <v/>
      </c>
      <c r="F1376" t="inlineStr">
        <is>
          <t>O-11</t>
        </is>
      </c>
      <c r="G1376" t="inlineStr">
        <is>
          <t>小林 史知</t>
        </is>
      </c>
      <c r="H1376" t="inlineStr">
        <is>
          <t>YMHA003:ヤマハWBS:追加要望対応</t>
        </is>
      </c>
      <c r="I1376" s="1" t="n">
        <v>45953</v>
      </c>
      <c r="J1376" t="n">
        <v>3</v>
      </c>
      <c r="L1376">
        <f>IFERROR(LEFT(K1376,             FIND(",", K1376) - 1), "-")</f>
        <v/>
      </c>
      <c r="M1376">
        <f>IFERROR(MID(K1376,             FIND(",", K1376) + 1, LEN(K1376) - FIND(",", K1376)), K1376)</f>
        <v/>
      </c>
      <c r="N1376" t="n">
        <v>2</v>
      </c>
      <c r="P1376" t="inlineStr">
        <is>
          <t>09:00</t>
        </is>
      </c>
      <c r="Q1376" t="inlineStr">
        <is>
          <t>12:00</t>
        </is>
      </c>
    </row>
    <row r="1377">
      <c r="A1377" t="inlineStr">
        <is>
          <t>小林 史知</t>
        </is>
      </c>
      <c r="B1377" t="inlineStr">
        <is>
          <t>YMHA003:ヤマハWBS:追加要望対応</t>
        </is>
      </c>
      <c r="D1377">
        <f>L1377</f>
        <v/>
      </c>
      <c r="E1377">
        <f>SUMIFS(J:J, G:G,             A1377, H:H, B1377, L:L, L1377)</f>
        <v/>
      </c>
      <c r="F1377" t="inlineStr">
        <is>
          <t>O-11</t>
        </is>
      </c>
      <c r="G1377" t="inlineStr">
        <is>
          <t>小林 史知</t>
        </is>
      </c>
      <c r="H1377" t="inlineStr">
        <is>
          <t>YMHA003:ヤマハWBS:追加要望対応</t>
        </is>
      </c>
      <c r="I1377" s="1" t="n">
        <v>45953</v>
      </c>
      <c r="J1377" t="n">
        <v>5</v>
      </c>
      <c r="L1377">
        <f>IFERROR(LEFT(K1377,             FIND(",", K1377) - 1), "-")</f>
        <v/>
      </c>
      <c r="M1377">
        <f>IFERROR(MID(K1377,             FIND(",", K1377) + 1, LEN(K1377) - FIND(",", K1377)), K1377)</f>
        <v/>
      </c>
      <c r="N1377" t="n">
        <v>2</v>
      </c>
      <c r="P1377" t="inlineStr">
        <is>
          <t>13:00</t>
        </is>
      </c>
      <c r="Q1377" t="inlineStr">
        <is>
          <t>18:00</t>
        </is>
      </c>
    </row>
    <row r="1378">
      <c r="A1378" t="inlineStr">
        <is>
          <t>小林 史知</t>
        </is>
      </c>
      <c r="B1378" t="inlineStr">
        <is>
          <t>YMHS001:ヤマハ サポート</t>
        </is>
      </c>
      <c r="C1378">
        <f>SUMIFS(J:J, G:G,             A1378, H:H, B1378)</f>
        <v/>
      </c>
      <c r="D1378">
        <f>L1378</f>
        <v/>
      </c>
      <c r="E1378">
        <f>SUMIFS(J:J, G:G,             A1378, H:H, B1378, L:L, L1378)</f>
        <v/>
      </c>
      <c r="F1378" t="inlineStr">
        <is>
          <t>O-11</t>
        </is>
      </c>
      <c r="G1378" t="inlineStr">
        <is>
          <t>小林 史知</t>
        </is>
      </c>
      <c r="H1378" t="inlineStr">
        <is>
          <t>YMHS001:ヤマハ サポート</t>
        </is>
      </c>
      <c r="I1378" s="1" t="n">
        <v>45944</v>
      </c>
      <c r="J1378" t="n">
        <v>0.75</v>
      </c>
      <c r="L1378">
        <f>IFERROR(LEFT(K1378,             FIND(",", K1378) - 1), "-")</f>
        <v/>
      </c>
      <c r="M1378">
        <f>IFERROR(MID(K1378,             FIND(",", K1378) + 1, LEN(K1378) - FIND(",", K1378)), K1378)</f>
        <v/>
      </c>
      <c r="N1378" t="n">
        <v>3</v>
      </c>
      <c r="P1378" t="inlineStr">
        <is>
          <t>15:30</t>
        </is>
      </c>
      <c r="Q1378" t="inlineStr">
        <is>
          <t>16:15</t>
        </is>
      </c>
    </row>
    <row r="1379">
      <c r="A1379" t="inlineStr">
        <is>
          <t>小林 史知</t>
        </is>
      </c>
      <c r="B1379" t="inlineStr">
        <is>
          <t>YMHS001:ヤマハ サポート</t>
        </is>
      </c>
      <c r="D1379">
        <f>L1379</f>
        <v/>
      </c>
      <c r="E1379">
        <f>SUMIFS(J:J, G:G,             A1379, H:H, B1379, L:L, L1379)</f>
        <v/>
      </c>
      <c r="F1379" t="inlineStr">
        <is>
          <t>O-11</t>
        </is>
      </c>
      <c r="G1379" t="inlineStr">
        <is>
          <t>小林 史知</t>
        </is>
      </c>
      <c r="H1379" t="inlineStr">
        <is>
          <t>YMHS001:ヤマハ サポート</t>
        </is>
      </c>
      <c r="I1379" s="1" t="n">
        <v>45951</v>
      </c>
      <c r="J1379" t="n">
        <v>0.75</v>
      </c>
      <c r="L1379">
        <f>IFERROR(LEFT(K1379,             FIND(",", K1379) - 1), "-")</f>
        <v/>
      </c>
      <c r="M1379">
        <f>IFERROR(MID(K1379,             FIND(",", K1379) + 1, LEN(K1379) - FIND(",", K1379)), K1379)</f>
        <v/>
      </c>
      <c r="N1379" t="n">
        <v>3</v>
      </c>
      <c r="P1379" t="inlineStr">
        <is>
          <t>13:00</t>
        </is>
      </c>
      <c r="Q1379" t="inlineStr">
        <is>
          <t>13:45</t>
        </is>
      </c>
    </row>
    <row r="1380">
      <c r="A1380" t="inlineStr">
        <is>
          <t>打保 しのぶ</t>
        </is>
      </c>
      <c r="B1380" t="inlineStr">
        <is>
          <t>TCNZ001:社内業務等</t>
        </is>
      </c>
      <c r="C1380">
        <f>SUMIFS(J:J, G:G,             A1380, H:H, B1380)</f>
        <v/>
      </c>
      <c r="D1380">
        <f>L1380</f>
        <v/>
      </c>
      <c r="E1380">
        <f>SUMIFS(J:J, G:G,             A1380, H:H, B1380, L:L, L1380)</f>
        <v/>
      </c>
      <c r="F1380" t="inlineStr">
        <is>
          <t>48</t>
        </is>
      </c>
      <c r="G1380" t="inlineStr">
        <is>
          <t>打保 しのぶ</t>
        </is>
      </c>
      <c r="H1380" t="inlineStr">
        <is>
          <t>TCNZ001:社内業務等</t>
        </is>
      </c>
      <c r="I1380" s="1" t="n">
        <v>45936</v>
      </c>
      <c r="J1380" t="n">
        <v>0.25</v>
      </c>
      <c r="K1380" t="inlineStr">
        <is>
          <t>&amp;#8203;Customerlist突合、報告</t>
        </is>
      </c>
      <c r="L1380">
        <f>IFERROR(LEFT(K1380,             FIND(",", K1380) - 1), "-")</f>
        <v/>
      </c>
      <c r="M1380">
        <f>IFERROR(MID(K1380,             FIND(",", K1380) + 1, LEN(K1380) - FIND(",", K1380)), K1380)</f>
        <v/>
      </c>
      <c r="N1380" t="n">
        <v>5</v>
      </c>
      <c r="P1380" t="inlineStr">
        <is>
          <t>11:00</t>
        </is>
      </c>
      <c r="Q1380" t="inlineStr">
        <is>
          <t>11:15</t>
        </is>
      </c>
    </row>
    <row r="1381">
      <c r="A1381" t="inlineStr">
        <is>
          <t>打保 しのぶ</t>
        </is>
      </c>
      <c r="B1381" t="inlineStr">
        <is>
          <t>TCNZ001:社内業務等</t>
        </is>
      </c>
      <c r="D1381">
        <f>L1381</f>
        <v/>
      </c>
      <c r="E1381">
        <f>SUMIFS(J:J, G:G,             A1381, H:H, B1381, L:L, L1381)</f>
        <v/>
      </c>
      <c r="F1381" t="inlineStr">
        <is>
          <t>48</t>
        </is>
      </c>
      <c r="G1381" t="inlineStr">
        <is>
          <t>打保 しのぶ</t>
        </is>
      </c>
      <c r="H1381" t="inlineStr">
        <is>
          <t>TCNZ001:社内業務等</t>
        </is>
      </c>
      <c r="I1381" s="1" t="n">
        <v>45933</v>
      </c>
      <c r="J1381" t="n">
        <v>0.25</v>
      </c>
      <c r="K1381" t="inlineStr">
        <is>
          <t>12月全体会議日程確認</t>
        </is>
      </c>
      <c r="L1381">
        <f>IFERROR(LEFT(K1381,             FIND(",", K1381) - 1), "-")</f>
        <v/>
      </c>
      <c r="M1381">
        <f>IFERROR(MID(K1381,             FIND(",", K1381) + 1, LEN(K1381) - FIND(",", K1381)), K1381)</f>
        <v/>
      </c>
      <c r="N1381" t="n">
        <v>5</v>
      </c>
      <c r="P1381" t="inlineStr">
        <is>
          <t>13:45</t>
        </is>
      </c>
      <c r="Q1381" t="inlineStr">
        <is>
          <t>14:00</t>
        </is>
      </c>
    </row>
    <row r="1382">
      <c r="A1382" t="inlineStr">
        <is>
          <t>打保 しのぶ</t>
        </is>
      </c>
      <c r="B1382" t="inlineStr">
        <is>
          <t>TCNZ001:社内業務等</t>
        </is>
      </c>
      <c r="D1382">
        <f>L1382</f>
        <v/>
      </c>
      <c r="E1382">
        <f>SUMIFS(J:J, G:G,             A1382, H:H, B1382, L:L, L1382)</f>
        <v/>
      </c>
      <c r="F1382" t="inlineStr">
        <is>
          <t>48</t>
        </is>
      </c>
      <c r="G1382" t="inlineStr">
        <is>
          <t>打保 しのぶ</t>
        </is>
      </c>
      <c r="H1382" t="inlineStr">
        <is>
          <t>TCNZ001:社内業務等</t>
        </is>
      </c>
      <c r="I1382" s="1" t="n">
        <v>45946</v>
      </c>
      <c r="J1382" t="n">
        <v>0.75</v>
      </c>
      <c r="K1382" t="inlineStr">
        <is>
          <t>2F防災用品取り付け</t>
        </is>
      </c>
      <c r="L1382">
        <f>IFERROR(LEFT(K1382,             FIND(",", K1382) - 1), "-")</f>
        <v/>
      </c>
      <c r="M1382">
        <f>IFERROR(MID(K1382,             FIND(",", K1382) + 1, LEN(K1382) - FIND(",", K1382)), K1382)</f>
        <v/>
      </c>
      <c r="N1382" t="n">
        <v>5</v>
      </c>
      <c r="P1382" t="inlineStr">
        <is>
          <t>16:15</t>
        </is>
      </c>
      <c r="Q1382" t="inlineStr">
        <is>
          <t>17:00</t>
        </is>
      </c>
    </row>
    <row r="1383">
      <c r="A1383" t="inlineStr">
        <is>
          <t>打保 しのぶ</t>
        </is>
      </c>
      <c r="B1383" t="inlineStr">
        <is>
          <t>TCNZ001:社内業務等</t>
        </is>
      </c>
      <c r="D1383">
        <f>L1383</f>
        <v/>
      </c>
      <c r="E1383">
        <f>SUMIFS(J:J, G:G,             A1383, H:H, B1383, L:L, L1383)</f>
        <v/>
      </c>
      <c r="F1383" t="inlineStr">
        <is>
          <t>48</t>
        </is>
      </c>
      <c r="G1383" t="inlineStr">
        <is>
          <t>打保 しのぶ</t>
        </is>
      </c>
      <c r="H1383" t="inlineStr">
        <is>
          <t>TCNZ001:社内業務等</t>
        </is>
      </c>
      <c r="I1383" s="1" t="n">
        <v>45933</v>
      </c>
      <c r="J1383" t="n">
        <v>1</v>
      </c>
      <c r="K1383" t="inlineStr">
        <is>
          <t>AI勉強会</t>
        </is>
      </c>
      <c r="L1383">
        <f>IFERROR(LEFT(K1383,             FIND(",", K1383) - 1), "-")</f>
        <v/>
      </c>
      <c r="M1383">
        <f>IFERROR(MID(K1383,             FIND(",", K1383) + 1, LEN(K1383) - FIND(",", K1383)), K1383)</f>
        <v/>
      </c>
      <c r="N1383" t="n">
        <v>5</v>
      </c>
      <c r="P1383" t="inlineStr">
        <is>
          <t>15:00</t>
        </is>
      </c>
      <c r="Q1383" t="inlineStr">
        <is>
          <t>16:00</t>
        </is>
      </c>
    </row>
    <row r="1384">
      <c r="A1384" t="inlineStr">
        <is>
          <t>打保 しのぶ</t>
        </is>
      </c>
      <c r="B1384" t="inlineStr">
        <is>
          <t>TCNZ001:社内業務等</t>
        </is>
      </c>
      <c r="D1384">
        <f>L1384</f>
        <v/>
      </c>
      <c r="E1384">
        <f>SUMIFS(J:J, G:G,             A1384, H:H, B1384, L:L, L1384)</f>
        <v/>
      </c>
      <c r="F1384" t="inlineStr">
        <is>
          <t>48</t>
        </is>
      </c>
      <c r="G1384" t="inlineStr">
        <is>
          <t>打保 しのぶ</t>
        </is>
      </c>
      <c r="H1384" t="inlineStr">
        <is>
          <t>TCNZ001:社内業務等</t>
        </is>
      </c>
      <c r="I1384" s="1" t="n">
        <v>45950</v>
      </c>
      <c r="J1384" t="n">
        <v>0.5</v>
      </c>
      <c r="K1384" t="inlineStr">
        <is>
          <t>BS様オンラインMTG</t>
        </is>
      </c>
      <c r="L1384">
        <f>IFERROR(LEFT(K1384,             FIND(",", K1384) - 1), "-")</f>
        <v/>
      </c>
      <c r="M1384">
        <f>IFERROR(MID(K1384,             FIND(",", K1384) + 1, LEN(K1384) - FIND(",", K1384)), K1384)</f>
        <v/>
      </c>
      <c r="N1384" t="n">
        <v>5</v>
      </c>
      <c r="P1384" t="inlineStr">
        <is>
          <t>11:00</t>
        </is>
      </c>
      <c r="Q1384" t="inlineStr">
        <is>
          <t>11:30</t>
        </is>
      </c>
    </row>
    <row r="1385">
      <c r="A1385" t="inlineStr">
        <is>
          <t>打保 しのぶ</t>
        </is>
      </c>
      <c r="B1385" t="inlineStr">
        <is>
          <t>TCNZ001:社内業務等</t>
        </is>
      </c>
      <c r="D1385">
        <f>L1385</f>
        <v/>
      </c>
      <c r="E1385">
        <f>SUMIFS(J:J, G:G,             A1385, H:H, B1385, L:L, L1385)</f>
        <v/>
      </c>
      <c r="F1385" t="inlineStr">
        <is>
          <t>48</t>
        </is>
      </c>
      <c r="G1385" t="inlineStr">
        <is>
          <t>打保 しのぶ</t>
        </is>
      </c>
      <c r="H1385" t="inlineStr">
        <is>
          <t>TCNZ001:社内業務等</t>
        </is>
      </c>
      <c r="I1385" s="1" t="n">
        <v>45954</v>
      </c>
      <c r="J1385" t="n">
        <v>0.5</v>
      </c>
      <c r="K1385" t="inlineStr">
        <is>
          <t>CL：プロジェクト登録（四天王寺学園様）、告知</t>
        </is>
      </c>
      <c r="L1385">
        <f>IFERROR(LEFT(K1385,             FIND(",", K1385) - 1), "-")</f>
        <v/>
      </c>
      <c r="M1385">
        <f>IFERROR(MID(K1385,             FIND(",", K1385) + 1, LEN(K1385) - FIND(",", K1385)), K1385)</f>
        <v/>
      </c>
      <c r="N1385" t="n">
        <v>5</v>
      </c>
      <c r="P1385" t="inlineStr">
        <is>
          <t>10:15</t>
        </is>
      </c>
      <c r="Q1385" t="inlineStr">
        <is>
          <t>10:45</t>
        </is>
      </c>
    </row>
    <row r="1386">
      <c r="A1386" t="inlineStr">
        <is>
          <t>打保 しのぶ</t>
        </is>
      </c>
      <c r="B1386" t="inlineStr">
        <is>
          <t>TCNZ001:社内業務等</t>
        </is>
      </c>
      <c r="D1386">
        <f>L1386</f>
        <v/>
      </c>
      <c r="E1386">
        <f>SUMIFS(J:J, G:G,             A1386, H:H, B1386, L:L, L1386)</f>
        <v/>
      </c>
      <c r="F1386" t="inlineStr">
        <is>
          <t>48</t>
        </is>
      </c>
      <c r="G1386" t="inlineStr">
        <is>
          <t>打保 しのぶ</t>
        </is>
      </c>
      <c r="H1386" t="inlineStr">
        <is>
          <t>TCNZ001:社内業務等</t>
        </is>
      </c>
      <c r="I1386" s="1" t="n">
        <v>45951</v>
      </c>
      <c r="J1386" t="n">
        <v>0.75</v>
      </c>
      <c r="K1386" t="inlineStr">
        <is>
          <t>ML更新、告知</t>
        </is>
      </c>
      <c r="L1386">
        <f>IFERROR(LEFT(K1386,             FIND(",", K1386) - 1), "-")</f>
        <v/>
      </c>
      <c r="M1386">
        <f>IFERROR(MID(K1386,             FIND(",", K1386) + 1, LEN(K1386) - FIND(",", K1386)), K1386)</f>
        <v/>
      </c>
      <c r="N1386" t="n">
        <v>5</v>
      </c>
      <c r="P1386" t="inlineStr">
        <is>
          <t>11:00</t>
        </is>
      </c>
      <c r="Q1386" t="inlineStr">
        <is>
          <t>11:45</t>
        </is>
      </c>
    </row>
    <row r="1387">
      <c r="A1387" t="inlineStr">
        <is>
          <t>打保 しのぶ</t>
        </is>
      </c>
      <c r="B1387" t="inlineStr">
        <is>
          <t>TCNZ001:社内業務等</t>
        </is>
      </c>
      <c r="D1387">
        <f>L1387</f>
        <v/>
      </c>
      <c r="E1387">
        <f>SUMIFS(J:J, G:G,             A1387, H:H, B1387, L:L, L1387)</f>
        <v/>
      </c>
      <c r="F1387" t="inlineStr">
        <is>
          <t>48</t>
        </is>
      </c>
      <c r="G1387" t="inlineStr">
        <is>
          <t>打保 しのぶ</t>
        </is>
      </c>
      <c r="H1387" t="inlineStr">
        <is>
          <t>TCNZ001:社内業務等</t>
        </is>
      </c>
      <c r="I1387" s="1" t="n">
        <v>45937</v>
      </c>
      <c r="J1387" t="n">
        <v>0.75</v>
      </c>
      <c r="K1387" t="inlineStr">
        <is>
          <t>お問合せ件数表更新</t>
        </is>
      </c>
      <c r="L1387">
        <f>IFERROR(LEFT(K1387,             FIND(",", K1387) - 1), "-")</f>
        <v/>
      </c>
      <c r="M1387">
        <f>IFERROR(MID(K1387,             FIND(",", K1387) + 1, LEN(K1387) - FIND(",", K1387)), K1387)</f>
        <v/>
      </c>
      <c r="N1387" t="n">
        <v>5</v>
      </c>
      <c r="P1387" t="inlineStr">
        <is>
          <t>10:00</t>
        </is>
      </c>
      <c r="Q1387" t="inlineStr">
        <is>
          <t>10:45</t>
        </is>
      </c>
    </row>
    <row r="1388">
      <c r="A1388" t="inlineStr">
        <is>
          <t>打保 しのぶ</t>
        </is>
      </c>
      <c r="B1388" t="inlineStr">
        <is>
          <t>TCNZ001:社内業務等</t>
        </is>
      </c>
      <c r="D1388">
        <f>L1388</f>
        <v/>
      </c>
      <c r="E1388">
        <f>SUMIFS(J:J, G:G,             A1388, H:H, B1388, L:L, L1388)</f>
        <v/>
      </c>
      <c r="F1388" t="inlineStr">
        <is>
          <t>48</t>
        </is>
      </c>
      <c r="G1388" t="inlineStr">
        <is>
          <t>打保 しのぶ</t>
        </is>
      </c>
      <c r="H1388" t="inlineStr">
        <is>
          <t>TCNZ001:社内業務等</t>
        </is>
      </c>
      <c r="I1388" s="1" t="n">
        <v>45939</v>
      </c>
      <c r="J1388" t="n">
        <v>1.75</v>
      </c>
      <c r="K1388" t="inlineStr">
        <is>
          <t>お問合せ件数表：問い合わせ時間確認・入力・提出</t>
        </is>
      </c>
      <c r="L1388">
        <f>IFERROR(LEFT(K1388,             FIND(",", K1388) - 1), "-")</f>
        <v/>
      </c>
      <c r="M1388">
        <f>IFERROR(MID(K1388,             FIND(",", K1388) + 1, LEN(K1388) - FIND(",", K1388)), K1388)</f>
        <v/>
      </c>
      <c r="N1388" t="n">
        <v>5</v>
      </c>
      <c r="P1388" t="inlineStr">
        <is>
          <t>16:15</t>
        </is>
      </c>
      <c r="Q1388" t="inlineStr">
        <is>
          <t>18:00</t>
        </is>
      </c>
    </row>
    <row r="1389">
      <c r="A1389" t="inlineStr">
        <is>
          <t>打保 しのぶ</t>
        </is>
      </c>
      <c r="B1389" t="inlineStr">
        <is>
          <t>TCNZ001:社内業務等</t>
        </is>
      </c>
      <c r="D1389">
        <f>L1389</f>
        <v/>
      </c>
      <c r="E1389">
        <f>SUMIFS(J:J, G:G,             A1389, H:H, B1389, L:L, L1389)</f>
        <v/>
      </c>
      <c r="F1389" t="inlineStr">
        <is>
          <t>48</t>
        </is>
      </c>
      <c r="G1389" t="inlineStr">
        <is>
          <t>打保 しのぶ</t>
        </is>
      </c>
      <c r="H1389" t="inlineStr">
        <is>
          <t>TCNZ001:社内業務等</t>
        </is>
      </c>
      <c r="I1389" s="1" t="n">
        <v>45933</v>
      </c>
      <c r="J1389" t="n">
        <v>0.25</v>
      </c>
      <c r="K1389" t="inlineStr">
        <is>
          <t>クラウドサイン承認（LS様）</t>
        </is>
      </c>
      <c r="L1389">
        <f>IFERROR(LEFT(K1389,             FIND(",", K1389) - 1), "-")</f>
        <v/>
      </c>
      <c r="M1389">
        <f>IFERROR(MID(K1389,             FIND(",", K1389) + 1, LEN(K1389) - FIND(",", K1389)), K1389)</f>
        <v/>
      </c>
      <c r="N1389" t="n">
        <v>5</v>
      </c>
      <c r="P1389" t="inlineStr">
        <is>
          <t>16:45</t>
        </is>
      </c>
      <c r="Q1389" t="inlineStr">
        <is>
          <t>17:00</t>
        </is>
      </c>
    </row>
    <row r="1390">
      <c r="A1390" t="inlineStr">
        <is>
          <t>打保 しのぶ</t>
        </is>
      </c>
      <c r="B1390" t="inlineStr">
        <is>
          <t>TCNZ001:社内業務等</t>
        </is>
      </c>
      <c r="D1390">
        <f>L1390</f>
        <v/>
      </c>
      <c r="E1390">
        <f>SUMIFS(J:J, G:G,             A1390, H:H, B1390, L:L, L1390)</f>
        <v/>
      </c>
      <c r="F1390" t="inlineStr">
        <is>
          <t>48</t>
        </is>
      </c>
      <c r="G1390" t="inlineStr">
        <is>
          <t>打保 しのぶ</t>
        </is>
      </c>
      <c r="H1390" t="inlineStr">
        <is>
          <t>TCNZ001:社内業務等</t>
        </is>
      </c>
      <c r="I1390" s="1" t="n">
        <v>45932</v>
      </c>
      <c r="J1390" t="n">
        <v>0.25</v>
      </c>
      <c r="K1390" t="inlineStr">
        <is>
          <t>クラウドログ集計支援</t>
        </is>
      </c>
      <c r="L1390">
        <f>IFERROR(LEFT(K1390,             FIND(",", K1390) - 1), "-")</f>
        <v/>
      </c>
      <c r="M1390">
        <f>IFERROR(MID(K1390,             FIND(",", K1390) + 1, LEN(K1390) - FIND(",", K1390)), K1390)</f>
        <v/>
      </c>
      <c r="N1390" t="n">
        <v>5</v>
      </c>
      <c r="P1390" t="inlineStr">
        <is>
          <t>13:45</t>
        </is>
      </c>
      <c r="Q1390" t="inlineStr">
        <is>
          <t>14:00</t>
        </is>
      </c>
    </row>
    <row r="1391">
      <c r="A1391" t="inlineStr">
        <is>
          <t>打保 しのぶ</t>
        </is>
      </c>
      <c r="B1391" t="inlineStr">
        <is>
          <t>TCNZ001:社内業務等</t>
        </is>
      </c>
      <c r="D1391">
        <f>L1391</f>
        <v/>
      </c>
      <c r="E1391">
        <f>SUMIFS(J:J, G:G,             A1391, H:H, B1391, L:L, L1391)</f>
        <v/>
      </c>
      <c r="F1391" t="inlineStr">
        <is>
          <t>48</t>
        </is>
      </c>
      <c r="G1391" t="inlineStr">
        <is>
          <t>打保 しのぶ</t>
        </is>
      </c>
      <c r="H1391" t="inlineStr">
        <is>
          <t>TCNZ001:社内業務等</t>
        </is>
      </c>
      <c r="I1391" s="1" t="n">
        <v>45937</v>
      </c>
      <c r="J1391" t="n">
        <v>0.25</v>
      </c>
      <c r="K1391" t="inlineStr">
        <is>
          <t>クラウドログ集計支援</t>
        </is>
      </c>
      <c r="L1391">
        <f>IFERROR(LEFT(K1391,             FIND(",", K1391) - 1), "-")</f>
        <v/>
      </c>
      <c r="M1391">
        <f>IFERROR(MID(K1391,             FIND(",", K1391) + 1, LEN(K1391) - FIND(",", K1391)), K1391)</f>
        <v/>
      </c>
      <c r="N1391" t="n">
        <v>5</v>
      </c>
      <c r="P1391" t="inlineStr">
        <is>
          <t>09:45</t>
        </is>
      </c>
      <c r="Q1391" t="inlineStr">
        <is>
          <t>10:00</t>
        </is>
      </c>
    </row>
    <row r="1392">
      <c r="A1392" t="inlineStr">
        <is>
          <t>打保 しのぶ</t>
        </is>
      </c>
      <c r="B1392" t="inlineStr">
        <is>
          <t>TCNZ001:社内業務等</t>
        </is>
      </c>
      <c r="D1392">
        <f>L1392</f>
        <v/>
      </c>
      <c r="E1392">
        <f>SUMIFS(J:J, G:G,             A1392, H:H, B1392, L:L, L1392)</f>
        <v/>
      </c>
      <c r="F1392" t="inlineStr">
        <is>
          <t>48</t>
        </is>
      </c>
      <c r="G1392" t="inlineStr">
        <is>
          <t>打保 しのぶ</t>
        </is>
      </c>
      <c r="H1392" t="inlineStr">
        <is>
          <t>TCNZ001:社内業務等</t>
        </is>
      </c>
      <c r="I1392" s="1" t="n">
        <v>45940</v>
      </c>
      <c r="J1392" t="n">
        <v>0.25</v>
      </c>
      <c r="K1392" t="inlineStr">
        <is>
          <t>クラウドログ集計支援</t>
        </is>
      </c>
      <c r="L1392">
        <f>IFERROR(LEFT(K1392,             FIND(",", K1392) - 1), "-")</f>
        <v/>
      </c>
      <c r="M1392">
        <f>IFERROR(MID(K1392,             FIND(",", K1392) + 1, LEN(K1392) - FIND(",", K1392)), K1392)</f>
        <v/>
      </c>
      <c r="N1392" t="n">
        <v>5</v>
      </c>
      <c r="P1392" t="inlineStr">
        <is>
          <t>16:45</t>
        </is>
      </c>
      <c r="Q1392" t="inlineStr">
        <is>
          <t>17:00</t>
        </is>
      </c>
    </row>
    <row r="1393">
      <c r="A1393" t="inlineStr">
        <is>
          <t>打保 しのぶ</t>
        </is>
      </c>
      <c r="B1393" t="inlineStr">
        <is>
          <t>TCNZ001:社内業務等</t>
        </is>
      </c>
      <c r="D1393">
        <f>L1393</f>
        <v/>
      </c>
      <c r="E1393">
        <f>SUMIFS(J:J, G:G,             A1393, H:H, B1393, L:L, L1393)</f>
        <v/>
      </c>
      <c r="F1393" t="inlineStr">
        <is>
          <t>48</t>
        </is>
      </c>
      <c r="G1393" t="inlineStr">
        <is>
          <t>打保 しのぶ</t>
        </is>
      </c>
      <c r="H1393" t="inlineStr">
        <is>
          <t>TCNZ001:社内業務等</t>
        </is>
      </c>
      <c r="I1393" s="1" t="n">
        <v>45947</v>
      </c>
      <c r="J1393" t="n">
        <v>0.25</v>
      </c>
      <c r="K1393" t="inlineStr">
        <is>
          <t>クラウドログ集計支援</t>
        </is>
      </c>
      <c r="L1393">
        <f>IFERROR(LEFT(K1393,             FIND(",", K1393) - 1), "-")</f>
        <v/>
      </c>
      <c r="M1393">
        <f>IFERROR(MID(K1393,             FIND(",", K1393) + 1, LEN(K1393) - FIND(",", K1393)), K1393)</f>
        <v/>
      </c>
      <c r="N1393" t="n">
        <v>5</v>
      </c>
      <c r="P1393" t="inlineStr">
        <is>
          <t>16:45</t>
        </is>
      </c>
      <c r="Q1393" t="inlineStr">
        <is>
          <t>17:00</t>
        </is>
      </c>
    </row>
    <row r="1394">
      <c r="A1394" t="inlineStr">
        <is>
          <t>打保 しのぶ</t>
        </is>
      </c>
      <c r="B1394" t="inlineStr">
        <is>
          <t>TCNZ001:社内業務等</t>
        </is>
      </c>
      <c r="D1394">
        <f>L1394</f>
        <v/>
      </c>
      <c r="E1394">
        <f>SUMIFS(J:J, G:G,             A1394, H:H, B1394, L:L, L1394)</f>
        <v/>
      </c>
      <c r="F1394" t="inlineStr">
        <is>
          <t>48</t>
        </is>
      </c>
      <c r="G1394" t="inlineStr">
        <is>
          <t>打保 しのぶ</t>
        </is>
      </c>
      <c r="H1394" t="inlineStr">
        <is>
          <t>TCNZ001:社内業務等</t>
        </is>
      </c>
      <c r="I1394" s="1" t="n">
        <v>45950</v>
      </c>
      <c r="J1394" t="n">
        <v>0.25</v>
      </c>
      <c r="K1394" t="inlineStr">
        <is>
          <t>クラウドログ集計支援</t>
        </is>
      </c>
      <c r="L1394">
        <f>IFERROR(LEFT(K1394,             FIND(",", K1394) - 1), "-")</f>
        <v/>
      </c>
      <c r="M1394">
        <f>IFERROR(MID(K1394,             FIND(",", K1394) + 1, LEN(K1394) - FIND(",", K1394)), K1394)</f>
        <v/>
      </c>
      <c r="N1394" t="n">
        <v>5</v>
      </c>
      <c r="P1394" t="inlineStr">
        <is>
          <t>16:45</t>
        </is>
      </c>
      <c r="Q1394" t="inlineStr">
        <is>
          <t>17:00</t>
        </is>
      </c>
    </row>
    <row r="1395">
      <c r="A1395" t="inlineStr">
        <is>
          <t>打保 しのぶ</t>
        </is>
      </c>
      <c r="B1395" t="inlineStr">
        <is>
          <t>TCNZ001:社内業務等</t>
        </is>
      </c>
      <c r="D1395">
        <f>L1395</f>
        <v/>
      </c>
      <c r="E1395">
        <f>SUMIFS(J:J, G:G,             A1395, H:H, B1395, L:L, L1395)</f>
        <v/>
      </c>
      <c r="F1395" t="inlineStr">
        <is>
          <t>48</t>
        </is>
      </c>
      <c r="G1395" t="inlineStr">
        <is>
          <t>打保 しのぶ</t>
        </is>
      </c>
      <c r="H1395" t="inlineStr">
        <is>
          <t>TCNZ001:社内業務等</t>
        </is>
      </c>
      <c r="I1395" s="1" t="n">
        <v>45933</v>
      </c>
      <c r="J1395" t="n">
        <v>0.5</v>
      </c>
      <c r="K1395" t="inlineStr">
        <is>
          <t>シュレッダー・燃えないごみ捨て</t>
        </is>
      </c>
      <c r="L1395">
        <f>IFERROR(LEFT(K1395,             FIND(",", K1395) - 1), "-")</f>
        <v/>
      </c>
      <c r="M1395">
        <f>IFERROR(MID(K1395,             FIND(",", K1395) + 1, LEN(K1395) - FIND(",", K1395)), K1395)</f>
        <v/>
      </c>
      <c r="N1395" t="n">
        <v>5</v>
      </c>
      <c r="P1395" t="inlineStr">
        <is>
          <t>16:15</t>
        </is>
      </c>
      <c r="Q1395" t="inlineStr">
        <is>
          <t>16:45</t>
        </is>
      </c>
    </row>
    <row r="1396">
      <c r="A1396" t="inlineStr">
        <is>
          <t>打保 しのぶ</t>
        </is>
      </c>
      <c r="B1396" t="inlineStr">
        <is>
          <t>TCNZ001:社内業務等</t>
        </is>
      </c>
      <c r="D1396">
        <f>L1396</f>
        <v/>
      </c>
      <c r="E1396">
        <f>SUMIFS(J:J, G:G,             A1396, H:H, B1396, L:L, L1396)</f>
        <v/>
      </c>
      <c r="F1396" t="inlineStr">
        <is>
          <t>48</t>
        </is>
      </c>
      <c r="G1396" t="inlineStr">
        <is>
          <t>打保 しのぶ</t>
        </is>
      </c>
      <c r="H1396" t="inlineStr">
        <is>
          <t>TCNZ001:社内業務等</t>
        </is>
      </c>
      <c r="I1396" s="1" t="n">
        <v>45947</v>
      </c>
      <c r="J1396" t="n">
        <v>0.5</v>
      </c>
      <c r="K1396" t="inlineStr">
        <is>
          <t>シーズ様電話等</t>
        </is>
      </c>
      <c r="L1396">
        <f>IFERROR(LEFT(K1396,             FIND(",", K1396) - 1), "-")</f>
        <v/>
      </c>
      <c r="M1396">
        <f>IFERROR(MID(K1396,             FIND(",", K1396) + 1, LEN(K1396) - FIND(",", K1396)), K1396)</f>
        <v/>
      </c>
      <c r="N1396" t="n">
        <v>5</v>
      </c>
      <c r="P1396" t="inlineStr">
        <is>
          <t>17:30</t>
        </is>
      </c>
      <c r="Q1396" t="inlineStr">
        <is>
          <t>18:00</t>
        </is>
      </c>
    </row>
    <row r="1397">
      <c r="A1397" t="inlineStr">
        <is>
          <t>打保 しのぶ</t>
        </is>
      </c>
      <c r="B1397" t="inlineStr">
        <is>
          <t>TCNZ001:社内業務等</t>
        </is>
      </c>
      <c r="D1397">
        <f>L1397</f>
        <v/>
      </c>
      <c r="E1397">
        <f>SUMIFS(J:J, G:G,             A1397, H:H, B1397, L:L, L1397)</f>
        <v/>
      </c>
      <c r="F1397" t="inlineStr">
        <is>
          <t>48</t>
        </is>
      </c>
      <c r="G1397" t="inlineStr">
        <is>
          <t>打保 しのぶ</t>
        </is>
      </c>
      <c r="H1397" t="inlineStr">
        <is>
          <t>TCNZ001:社内業務等</t>
        </is>
      </c>
      <c r="I1397" s="1" t="n">
        <v>45953</v>
      </c>
      <c r="J1397" t="n">
        <v>1</v>
      </c>
      <c r="K1397" t="inlineStr">
        <is>
          <t>スタバ</t>
        </is>
      </c>
      <c r="L1397">
        <f>IFERROR(LEFT(K1397,             FIND(",", K1397) - 1), "-")</f>
        <v/>
      </c>
      <c r="M1397">
        <f>IFERROR(MID(K1397,             FIND(",", K1397) + 1, LEN(K1397) - FIND(",", K1397)), K1397)</f>
        <v/>
      </c>
      <c r="N1397" t="n">
        <v>5</v>
      </c>
      <c r="P1397" t="inlineStr">
        <is>
          <t>13:45</t>
        </is>
      </c>
      <c r="Q1397" t="inlineStr">
        <is>
          <t>14:45</t>
        </is>
      </c>
    </row>
    <row r="1398">
      <c r="A1398" t="inlineStr">
        <is>
          <t>打保 しのぶ</t>
        </is>
      </c>
      <c r="B1398" t="inlineStr">
        <is>
          <t>TCNZ001:社内業務等</t>
        </is>
      </c>
      <c r="D1398">
        <f>L1398</f>
        <v/>
      </c>
      <c r="E1398">
        <f>SUMIFS(J:J, G:G,             A1398, H:H, B1398, L:L, L1398)</f>
        <v/>
      </c>
      <c r="F1398" t="inlineStr">
        <is>
          <t>48</t>
        </is>
      </c>
      <c r="G1398" t="inlineStr">
        <is>
          <t>打保 しのぶ</t>
        </is>
      </c>
      <c r="H1398" t="inlineStr">
        <is>
          <t>TCNZ001:社内業務等</t>
        </is>
      </c>
      <c r="I1398" s="1" t="n">
        <v>45953</v>
      </c>
      <c r="J1398" t="n">
        <v>0.25</v>
      </c>
      <c r="K1398" t="inlineStr">
        <is>
          <t>スタバ確認</t>
        </is>
      </c>
      <c r="L1398">
        <f>IFERROR(LEFT(K1398,             FIND(",", K1398) - 1), "-")</f>
        <v/>
      </c>
      <c r="M1398">
        <f>IFERROR(MID(K1398,             FIND(",", K1398) + 1, LEN(K1398) - FIND(",", K1398)), K1398)</f>
        <v/>
      </c>
      <c r="N1398" t="n">
        <v>5</v>
      </c>
      <c r="P1398" t="inlineStr">
        <is>
          <t>10:00</t>
        </is>
      </c>
      <c r="Q1398" t="inlineStr">
        <is>
          <t>10:15</t>
        </is>
      </c>
    </row>
    <row r="1399">
      <c r="A1399" t="inlineStr">
        <is>
          <t>打保 しのぶ</t>
        </is>
      </c>
      <c r="B1399" t="inlineStr">
        <is>
          <t>TCNZ001:社内業務等</t>
        </is>
      </c>
      <c r="D1399">
        <f>L1399</f>
        <v/>
      </c>
      <c r="E1399">
        <f>SUMIFS(J:J, G:G,             A1399, H:H, B1399, L:L, L1399)</f>
        <v/>
      </c>
      <c r="F1399" t="inlineStr">
        <is>
          <t>48</t>
        </is>
      </c>
      <c r="G1399" t="inlineStr">
        <is>
          <t>打保 しのぶ</t>
        </is>
      </c>
      <c r="H1399" t="inlineStr">
        <is>
          <t>TCNZ001:社内業務等</t>
        </is>
      </c>
      <c r="I1399" s="1" t="n">
        <v>45946</v>
      </c>
      <c r="J1399" t="n">
        <v>0.5</v>
      </c>
      <c r="K1399" t="inlineStr">
        <is>
          <t>プロジェクト登録（新規）、告知、Monさん返信、プロジェクトコード一覧更新</t>
        </is>
      </c>
      <c r="L1399">
        <f>IFERROR(LEFT(K1399,             FIND(",", K1399) - 1), "-")</f>
        <v/>
      </c>
      <c r="M1399">
        <f>IFERROR(MID(K1399,             FIND(",", K1399) + 1, LEN(K1399) - FIND(",", K1399)), K1399)</f>
        <v/>
      </c>
      <c r="N1399" t="n">
        <v>5</v>
      </c>
      <c r="P1399" t="inlineStr">
        <is>
          <t>09:45</t>
        </is>
      </c>
      <c r="Q1399" t="inlineStr">
        <is>
          <t>10:15</t>
        </is>
      </c>
    </row>
    <row r="1400">
      <c r="A1400" t="inlineStr">
        <is>
          <t>打保 しのぶ</t>
        </is>
      </c>
      <c r="B1400" t="inlineStr">
        <is>
          <t>TCNZ001:社内業務等</t>
        </is>
      </c>
      <c r="D1400">
        <f>L1400</f>
        <v/>
      </c>
      <c r="E1400">
        <f>SUMIFS(J:J, G:G,             A1400, H:H, B1400, L:L, L1400)</f>
        <v/>
      </c>
      <c r="F1400" t="inlineStr">
        <is>
          <t>48</t>
        </is>
      </c>
      <c r="G1400" t="inlineStr">
        <is>
          <t>打保 しのぶ</t>
        </is>
      </c>
      <c r="H1400" t="inlineStr">
        <is>
          <t>TCNZ001:社内業務等</t>
        </is>
      </c>
      <c r="I1400" s="1" t="n">
        <v>45951</v>
      </c>
      <c r="J1400" t="n">
        <v>0.25</v>
      </c>
      <c r="K1400" t="inlineStr">
        <is>
          <t>メテハンさん：社会保険手続き依頼</t>
        </is>
      </c>
      <c r="L1400">
        <f>IFERROR(LEFT(K1400,             FIND(",", K1400) - 1), "-")</f>
        <v/>
      </c>
      <c r="M1400">
        <f>IFERROR(MID(K1400,             FIND(",", K1400) + 1, LEN(K1400) - FIND(",", K1400)), K1400)</f>
        <v/>
      </c>
      <c r="N1400" t="n">
        <v>5</v>
      </c>
      <c r="P1400" t="inlineStr">
        <is>
          <t>13:45</t>
        </is>
      </c>
      <c r="Q1400" t="inlineStr">
        <is>
          <t>14:00</t>
        </is>
      </c>
    </row>
    <row r="1401">
      <c r="A1401" t="inlineStr">
        <is>
          <t>打保 しのぶ</t>
        </is>
      </c>
      <c r="B1401" t="inlineStr">
        <is>
          <t>TCNZ001:社内業務等</t>
        </is>
      </c>
      <c r="D1401">
        <f>L1401</f>
        <v/>
      </c>
      <c r="E1401">
        <f>SUMIFS(J:J, G:G,             A1401, H:H, B1401, L:L, L1401)</f>
        <v/>
      </c>
      <c r="F1401" t="inlineStr">
        <is>
          <t>48</t>
        </is>
      </c>
      <c r="G1401" t="inlineStr">
        <is>
          <t>打保 しのぶ</t>
        </is>
      </c>
      <c r="H1401" t="inlineStr">
        <is>
          <t>TCNZ001:社内業務等</t>
        </is>
      </c>
      <c r="I1401" s="1" t="n">
        <v>45940</v>
      </c>
      <c r="J1401" t="n">
        <v>0.5</v>
      </c>
      <c r="K1401" t="inlineStr">
        <is>
          <t>中澤様書類押印・送信・発送準備</t>
        </is>
      </c>
      <c r="L1401">
        <f>IFERROR(LEFT(K1401,             FIND(",", K1401) - 1), "-")</f>
        <v/>
      </c>
      <c r="M1401">
        <f>IFERROR(MID(K1401,             FIND(",", K1401) + 1, LEN(K1401) - FIND(",", K1401)), K1401)</f>
        <v/>
      </c>
      <c r="N1401" t="n">
        <v>5</v>
      </c>
      <c r="P1401" t="inlineStr">
        <is>
          <t>12:45</t>
        </is>
      </c>
      <c r="Q1401" t="inlineStr">
        <is>
          <t>13:15</t>
        </is>
      </c>
    </row>
    <row r="1402">
      <c r="A1402" t="inlineStr">
        <is>
          <t>打保 しのぶ</t>
        </is>
      </c>
      <c r="B1402" t="inlineStr">
        <is>
          <t>TCNZ001:社内業務等</t>
        </is>
      </c>
      <c r="D1402">
        <f>L1402</f>
        <v/>
      </c>
      <c r="E1402">
        <f>SUMIFS(J:J, G:G,             A1402, H:H, B1402, L:L, L1402)</f>
        <v/>
      </c>
      <c r="F1402" t="inlineStr">
        <is>
          <t>48</t>
        </is>
      </c>
      <c r="G1402" t="inlineStr">
        <is>
          <t>打保 しのぶ</t>
        </is>
      </c>
      <c r="H1402" t="inlineStr">
        <is>
          <t>TCNZ001:社内業務等</t>
        </is>
      </c>
      <c r="I1402" s="1" t="n">
        <v>45946</v>
      </c>
      <c r="J1402" t="n">
        <v>0.25</v>
      </c>
      <c r="K1402" t="inlineStr">
        <is>
          <t>休日出社調整</t>
        </is>
      </c>
      <c r="L1402">
        <f>IFERROR(LEFT(K1402,             FIND(",", K1402) - 1), "-")</f>
        <v/>
      </c>
      <c r="M1402">
        <f>IFERROR(MID(K1402,             FIND(",", K1402) + 1, LEN(K1402) - FIND(",", K1402)), K1402)</f>
        <v/>
      </c>
      <c r="N1402" t="n">
        <v>5</v>
      </c>
      <c r="P1402" t="inlineStr">
        <is>
          <t>18:00</t>
        </is>
      </c>
      <c r="Q1402" t="inlineStr">
        <is>
          <t>18:15</t>
        </is>
      </c>
    </row>
    <row r="1403">
      <c r="A1403" t="inlineStr">
        <is>
          <t>打保 しのぶ</t>
        </is>
      </c>
      <c r="B1403" t="inlineStr">
        <is>
          <t>TCNZ001:社内業務等</t>
        </is>
      </c>
      <c r="D1403">
        <f>L1403</f>
        <v/>
      </c>
      <c r="E1403">
        <f>SUMIFS(J:J, G:G,             A1403, H:H, B1403, L:L, L1403)</f>
        <v/>
      </c>
      <c r="F1403" t="inlineStr">
        <is>
          <t>48</t>
        </is>
      </c>
      <c r="G1403" t="inlineStr">
        <is>
          <t>打保 しのぶ</t>
        </is>
      </c>
      <c r="H1403" t="inlineStr">
        <is>
          <t>TCNZ001:社内業務等</t>
        </is>
      </c>
      <c r="I1403" s="1" t="n">
        <v>45950</v>
      </c>
      <c r="J1403" t="n">
        <v>0.5</v>
      </c>
      <c r="K1403" t="inlineStr">
        <is>
          <t>休日出社調整</t>
        </is>
      </c>
      <c r="L1403">
        <f>IFERROR(LEFT(K1403,             FIND(",", K1403) - 1), "-")</f>
        <v/>
      </c>
      <c r="M1403">
        <f>IFERROR(MID(K1403,             FIND(",", K1403) + 1, LEN(K1403) - FIND(",", K1403)), K1403)</f>
        <v/>
      </c>
      <c r="N1403" t="n">
        <v>5</v>
      </c>
      <c r="P1403" t="inlineStr">
        <is>
          <t>10:15</t>
        </is>
      </c>
      <c r="Q1403" t="inlineStr">
        <is>
          <t>10:45</t>
        </is>
      </c>
    </row>
    <row r="1404">
      <c r="A1404" t="inlineStr">
        <is>
          <t>打保 しのぶ</t>
        </is>
      </c>
      <c r="B1404" t="inlineStr">
        <is>
          <t>TCNZ001:社内業務等</t>
        </is>
      </c>
      <c r="D1404">
        <f>L1404</f>
        <v/>
      </c>
      <c r="E1404">
        <f>SUMIFS(J:J, G:G,             A1404, H:H, B1404, L:L, L1404)</f>
        <v/>
      </c>
      <c r="F1404" t="inlineStr">
        <is>
          <t>48</t>
        </is>
      </c>
      <c r="G1404" t="inlineStr">
        <is>
          <t>打保 しのぶ</t>
        </is>
      </c>
      <c r="H1404" t="inlineStr">
        <is>
          <t>TCNZ001:社内業務等</t>
        </is>
      </c>
      <c r="I1404" s="1" t="n">
        <v>45951</v>
      </c>
      <c r="J1404" t="n">
        <v>0.25</v>
      </c>
      <c r="K1404" t="inlineStr">
        <is>
          <t>休日出社調整</t>
        </is>
      </c>
      <c r="L1404">
        <f>IFERROR(LEFT(K1404,             FIND(",", K1404) - 1), "-")</f>
        <v/>
      </c>
      <c r="M1404">
        <f>IFERROR(MID(K1404,             FIND(",", K1404) + 1, LEN(K1404) - FIND(",", K1404)), K1404)</f>
        <v/>
      </c>
      <c r="N1404" t="n">
        <v>5</v>
      </c>
      <c r="P1404" t="inlineStr">
        <is>
          <t>14:00</t>
        </is>
      </c>
      <c r="Q1404" t="inlineStr">
        <is>
          <t>14:15</t>
        </is>
      </c>
    </row>
    <row r="1405">
      <c r="A1405" t="inlineStr">
        <is>
          <t>打保 しのぶ</t>
        </is>
      </c>
      <c r="B1405" t="inlineStr">
        <is>
          <t>TCNZ001:社内業務等</t>
        </is>
      </c>
      <c r="D1405">
        <f>L1405</f>
        <v/>
      </c>
      <c r="E1405">
        <f>SUMIFS(J:J, G:G,             A1405, H:H, B1405, L:L, L1405)</f>
        <v/>
      </c>
      <c r="F1405" t="inlineStr">
        <is>
          <t>48</t>
        </is>
      </c>
      <c r="G1405" t="inlineStr">
        <is>
          <t>打保 しのぶ</t>
        </is>
      </c>
      <c r="H1405" t="inlineStr">
        <is>
          <t>TCNZ001:社内業務等</t>
        </is>
      </c>
      <c r="I1405" s="1" t="n">
        <v>45953</v>
      </c>
      <c r="J1405" t="n">
        <v>0.25</v>
      </c>
      <c r="K1405" t="inlineStr">
        <is>
          <t>休日出社調整</t>
        </is>
      </c>
      <c r="L1405">
        <f>IFERROR(LEFT(K1405,             FIND(",", K1405) - 1), "-")</f>
        <v/>
      </c>
      <c r="M1405">
        <f>IFERROR(MID(K1405,             FIND(",", K1405) + 1, LEN(K1405) - FIND(",", K1405)), K1405)</f>
        <v/>
      </c>
      <c r="N1405" t="n">
        <v>5</v>
      </c>
      <c r="P1405" t="inlineStr">
        <is>
          <t>11:00</t>
        </is>
      </c>
      <c r="Q1405" t="inlineStr">
        <is>
          <t>11:15</t>
        </is>
      </c>
    </row>
    <row r="1406">
      <c r="A1406" t="inlineStr">
        <is>
          <t>打保 しのぶ</t>
        </is>
      </c>
      <c r="B1406" t="inlineStr">
        <is>
          <t>TCNZ001:社内業務等</t>
        </is>
      </c>
      <c r="D1406">
        <f>L1406</f>
        <v/>
      </c>
      <c r="E1406">
        <f>SUMIFS(J:J, G:G,             A1406, H:H, B1406, L:L, L1406)</f>
        <v/>
      </c>
      <c r="F1406" t="inlineStr">
        <is>
          <t>48</t>
        </is>
      </c>
      <c r="G1406" t="inlineStr">
        <is>
          <t>打保 しのぶ</t>
        </is>
      </c>
      <c r="H1406" t="inlineStr">
        <is>
          <t>TCNZ001:社内業務等</t>
        </is>
      </c>
      <c r="I1406" s="1" t="n">
        <v>45947</v>
      </c>
      <c r="J1406" t="n">
        <v>0.25</v>
      </c>
      <c r="K1406" t="inlineStr">
        <is>
          <t>会計事務所からの書類仕分け、格納</t>
        </is>
      </c>
      <c r="L1406">
        <f>IFERROR(LEFT(K1406,             FIND(",", K1406) - 1), "-")</f>
        <v/>
      </c>
      <c r="M1406">
        <f>IFERROR(MID(K1406,             FIND(",", K1406) + 1, LEN(K1406) - FIND(",", K1406)), K1406)</f>
        <v/>
      </c>
      <c r="N1406" t="n">
        <v>5</v>
      </c>
      <c r="P1406" t="inlineStr">
        <is>
          <t>10:00</t>
        </is>
      </c>
      <c r="Q1406" t="inlineStr">
        <is>
          <t>10:15</t>
        </is>
      </c>
    </row>
    <row r="1407">
      <c r="A1407" t="inlineStr">
        <is>
          <t>打保 しのぶ</t>
        </is>
      </c>
      <c r="B1407" t="inlineStr">
        <is>
          <t>TCNZ001:社内業務等</t>
        </is>
      </c>
      <c r="D1407">
        <f>L1407</f>
        <v/>
      </c>
      <c r="E1407">
        <f>SUMIFS(J:J, G:G,             A1407, H:H, B1407, L:L, L1407)</f>
        <v/>
      </c>
      <c r="F1407" t="inlineStr">
        <is>
          <t>48</t>
        </is>
      </c>
      <c r="G1407" t="inlineStr">
        <is>
          <t>打保 しのぶ</t>
        </is>
      </c>
      <c r="H1407" t="inlineStr">
        <is>
          <t>TCNZ001:社内業務等</t>
        </is>
      </c>
      <c r="I1407" s="1" t="n">
        <v>45953</v>
      </c>
      <c r="J1407" t="n">
        <v>0.5</v>
      </c>
      <c r="K1407" t="inlineStr">
        <is>
          <t>全体会議</t>
        </is>
      </c>
      <c r="L1407">
        <f>IFERROR(LEFT(K1407,             FIND(",", K1407) - 1), "-")</f>
        <v/>
      </c>
      <c r="M1407">
        <f>IFERROR(MID(K1407,             FIND(",", K1407) + 1, LEN(K1407) - FIND(",", K1407)), K1407)</f>
        <v/>
      </c>
      <c r="N1407" t="n">
        <v>5</v>
      </c>
      <c r="P1407" t="inlineStr">
        <is>
          <t>15:00</t>
        </is>
      </c>
      <c r="Q1407" t="inlineStr">
        <is>
          <t>15:30</t>
        </is>
      </c>
    </row>
    <row r="1408">
      <c r="A1408" t="inlineStr">
        <is>
          <t>打保 しのぶ</t>
        </is>
      </c>
      <c r="B1408" t="inlineStr">
        <is>
          <t>TCNZ001:社内業務等</t>
        </is>
      </c>
      <c r="D1408">
        <f>L1408</f>
        <v/>
      </c>
      <c r="E1408">
        <f>SUMIFS(J:J, G:G,             A1408, H:H, B1408, L:L, L1408)</f>
        <v/>
      </c>
      <c r="F1408" t="inlineStr">
        <is>
          <t>48</t>
        </is>
      </c>
      <c r="G1408" t="inlineStr">
        <is>
          <t>打保 しのぶ</t>
        </is>
      </c>
      <c r="H1408" t="inlineStr">
        <is>
          <t>TCNZ001:社内業務等</t>
        </is>
      </c>
      <c r="I1408" s="1" t="n">
        <v>45951</v>
      </c>
      <c r="J1408" t="n">
        <v>0.75</v>
      </c>
      <c r="K1408" t="inlineStr">
        <is>
          <t>全体会議議題ppt作成</t>
        </is>
      </c>
      <c r="L1408">
        <f>IFERROR(LEFT(K1408,             FIND(",", K1408) - 1), "-")</f>
        <v/>
      </c>
      <c r="M1408">
        <f>IFERROR(MID(K1408,             FIND(",", K1408) + 1, LEN(K1408) - FIND(",", K1408)), K1408)</f>
        <v/>
      </c>
      <c r="N1408" t="n">
        <v>5</v>
      </c>
      <c r="P1408" t="inlineStr">
        <is>
          <t>14:30</t>
        </is>
      </c>
      <c r="Q1408" t="inlineStr">
        <is>
          <t>15:15</t>
        </is>
      </c>
    </row>
    <row r="1409">
      <c r="A1409" t="inlineStr">
        <is>
          <t>打保 しのぶ</t>
        </is>
      </c>
      <c r="B1409" t="inlineStr">
        <is>
          <t>TCNZ001:社内業務等</t>
        </is>
      </c>
      <c r="D1409">
        <f>L1409</f>
        <v/>
      </c>
      <c r="E1409">
        <f>SUMIFS(J:J, G:G,             A1409, H:H, B1409, L:L, L1409)</f>
        <v/>
      </c>
      <c r="F1409" t="inlineStr">
        <is>
          <t>48</t>
        </is>
      </c>
      <c r="G1409" t="inlineStr">
        <is>
          <t>打保 しのぶ</t>
        </is>
      </c>
      <c r="H1409" t="inlineStr">
        <is>
          <t>TCNZ001:社内業務等</t>
        </is>
      </c>
      <c r="I1409" s="1" t="n">
        <v>45950</v>
      </c>
      <c r="J1409" t="n">
        <v>1</v>
      </c>
      <c r="K1409" t="inlineStr">
        <is>
          <t>出社人数調整、電子帳簿メール振り分け</t>
        </is>
      </c>
      <c r="L1409">
        <f>IFERROR(LEFT(K1409,             FIND(",", K1409) - 1), "-")</f>
        <v/>
      </c>
      <c r="M1409">
        <f>IFERROR(MID(K1409,             FIND(",", K1409) + 1, LEN(K1409) - FIND(",", K1409)), K1409)</f>
        <v/>
      </c>
      <c r="N1409" t="n">
        <v>5</v>
      </c>
      <c r="P1409" t="inlineStr">
        <is>
          <t>17:00</t>
        </is>
      </c>
      <c r="Q1409" t="inlineStr">
        <is>
          <t>18:00</t>
        </is>
      </c>
    </row>
    <row r="1410">
      <c r="A1410" t="inlineStr">
        <is>
          <t>打保 しのぶ</t>
        </is>
      </c>
      <c r="B1410" t="inlineStr">
        <is>
          <t>TCNZ001:社内業務等</t>
        </is>
      </c>
      <c r="D1410">
        <f>L1410</f>
        <v/>
      </c>
      <c r="E1410">
        <f>SUMIFS(J:J, G:G,             A1410, H:H, B1410, L:L, L1410)</f>
        <v/>
      </c>
      <c r="F1410" t="inlineStr">
        <is>
          <t>48</t>
        </is>
      </c>
      <c r="G1410" t="inlineStr">
        <is>
          <t>打保 しのぶ</t>
        </is>
      </c>
      <c r="H1410" t="inlineStr">
        <is>
          <t>TCNZ001:社内業務等</t>
        </is>
      </c>
      <c r="I1410" s="1" t="n">
        <v>45939</v>
      </c>
      <c r="J1410" t="n">
        <v>0.25</v>
      </c>
      <c r="K1410" t="inlineStr">
        <is>
          <t>出社人数調整（Chat再）</t>
        </is>
      </c>
      <c r="L1410">
        <f>IFERROR(LEFT(K1410,             FIND(",", K1410) - 1), "-")</f>
        <v/>
      </c>
      <c r="M1410">
        <f>IFERROR(MID(K1410,             FIND(",", K1410) + 1, LEN(K1410) - FIND(",", K1410)), K1410)</f>
        <v/>
      </c>
      <c r="N1410" t="n">
        <v>5</v>
      </c>
      <c r="P1410" t="inlineStr">
        <is>
          <t>11:45</t>
        </is>
      </c>
      <c r="Q1410" t="inlineStr">
        <is>
          <t>12:00</t>
        </is>
      </c>
    </row>
    <row r="1411">
      <c r="A1411" t="inlineStr">
        <is>
          <t>打保 しのぶ</t>
        </is>
      </c>
      <c r="B1411" t="inlineStr">
        <is>
          <t>TCNZ001:社内業務等</t>
        </is>
      </c>
      <c r="D1411">
        <f>L1411</f>
        <v/>
      </c>
      <c r="E1411">
        <f>SUMIFS(J:J, G:G,             A1411, H:H, B1411, L:L, L1411)</f>
        <v/>
      </c>
      <c r="F1411" t="inlineStr">
        <is>
          <t>48</t>
        </is>
      </c>
      <c r="G1411" t="inlineStr">
        <is>
          <t>打保 しのぶ</t>
        </is>
      </c>
      <c r="H1411" t="inlineStr">
        <is>
          <t>TCNZ001:社内業務等</t>
        </is>
      </c>
      <c r="I1411" s="1" t="n">
        <v>45933</v>
      </c>
      <c r="J1411" t="n">
        <v>0.25</v>
      </c>
      <c r="K1411" t="inlineStr">
        <is>
          <t>出社人数調整（Chat）</t>
        </is>
      </c>
      <c r="L1411">
        <f>IFERROR(LEFT(K1411,             FIND(",", K1411) - 1), "-")</f>
        <v/>
      </c>
      <c r="M1411">
        <f>IFERROR(MID(K1411,             FIND(",", K1411) + 1, LEN(K1411) - FIND(",", K1411)), K1411)</f>
        <v/>
      </c>
      <c r="N1411" t="n">
        <v>5</v>
      </c>
      <c r="P1411" t="inlineStr">
        <is>
          <t>11:15</t>
        </is>
      </c>
      <c r="Q1411" t="inlineStr">
        <is>
          <t>11:30</t>
        </is>
      </c>
    </row>
    <row r="1412">
      <c r="A1412" t="inlineStr">
        <is>
          <t>打保 しのぶ</t>
        </is>
      </c>
      <c r="B1412" t="inlineStr">
        <is>
          <t>TCNZ001:社内業務等</t>
        </is>
      </c>
      <c r="D1412">
        <f>L1412</f>
        <v/>
      </c>
      <c r="E1412">
        <f>SUMIFS(J:J, G:G,             A1412, H:H, B1412, L:L, L1412)</f>
        <v/>
      </c>
      <c r="F1412" t="inlineStr">
        <is>
          <t>48</t>
        </is>
      </c>
      <c r="G1412" t="inlineStr">
        <is>
          <t>打保 しのぶ</t>
        </is>
      </c>
      <c r="H1412" t="inlineStr">
        <is>
          <t>TCNZ001:社内業務等</t>
        </is>
      </c>
      <c r="I1412" s="1" t="n">
        <v>45940</v>
      </c>
      <c r="J1412" t="n">
        <v>0.25</v>
      </c>
      <c r="K1412" t="inlineStr">
        <is>
          <t>出社人数調整（Chat）</t>
        </is>
      </c>
      <c r="L1412">
        <f>IFERROR(LEFT(K1412,             FIND(",", K1412) - 1), "-")</f>
        <v/>
      </c>
      <c r="M1412">
        <f>IFERROR(MID(K1412,             FIND(",", K1412) + 1, LEN(K1412) - FIND(",", K1412)), K1412)</f>
        <v/>
      </c>
      <c r="N1412" t="n">
        <v>5</v>
      </c>
      <c r="P1412" t="inlineStr">
        <is>
          <t>16:15</t>
        </is>
      </c>
      <c r="Q1412" t="inlineStr">
        <is>
          <t>16:30</t>
        </is>
      </c>
    </row>
    <row r="1413">
      <c r="A1413" t="inlineStr">
        <is>
          <t>打保 しのぶ</t>
        </is>
      </c>
      <c r="B1413" t="inlineStr">
        <is>
          <t>TCNZ001:社内業務等</t>
        </is>
      </c>
      <c r="D1413">
        <f>L1413</f>
        <v/>
      </c>
      <c r="E1413">
        <f>SUMIFS(J:J, G:G,             A1413, H:H, B1413, L:L, L1413)</f>
        <v/>
      </c>
      <c r="F1413" t="inlineStr">
        <is>
          <t>48</t>
        </is>
      </c>
      <c r="G1413" t="inlineStr">
        <is>
          <t>打保 しのぶ</t>
        </is>
      </c>
      <c r="H1413" t="inlineStr">
        <is>
          <t>TCNZ001:社内業務等</t>
        </is>
      </c>
      <c r="I1413" s="1" t="n">
        <v>45947</v>
      </c>
      <c r="J1413" t="n">
        <v>0.25</v>
      </c>
      <c r="K1413" t="inlineStr">
        <is>
          <t>出社人数調整（Chat）</t>
        </is>
      </c>
      <c r="L1413">
        <f>IFERROR(LEFT(K1413,             FIND(",", K1413) - 1), "-")</f>
        <v/>
      </c>
      <c r="M1413">
        <f>IFERROR(MID(K1413,             FIND(",", K1413) + 1, LEN(K1413) - FIND(",", K1413)), K1413)</f>
        <v/>
      </c>
      <c r="N1413" t="n">
        <v>5</v>
      </c>
      <c r="P1413" t="inlineStr">
        <is>
          <t>11:15</t>
        </is>
      </c>
      <c r="Q1413" t="inlineStr">
        <is>
          <t>11:30</t>
        </is>
      </c>
    </row>
    <row r="1414">
      <c r="A1414" t="inlineStr">
        <is>
          <t>打保 しのぶ</t>
        </is>
      </c>
      <c r="B1414" t="inlineStr">
        <is>
          <t>TCNZ001:社内業務等</t>
        </is>
      </c>
      <c r="D1414">
        <f>L1414</f>
        <v/>
      </c>
      <c r="E1414">
        <f>SUMIFS(J:J, G:G,             A1414, H:H, B1414, L:L, L1414)</f>
        <v/>
      </c>
      <c r="F1414" t="inlineStr">
        <is>
          <t>48</t>
        </is>
      </c>
      <c r="G1414" t="inlineStr">
        <is>
          <t>打保 しのぶ</t>
        </is>
      </c>
      <c r="H1414" t="inlineStr">
        <is>
          <t>TCNZ001:社内業務等</t>
        </is>
      </c>
      <c r="I1414" s="1" t="n">
        <v>45947</v>
      </c>
      <c r="J1414" t="n">
        <v>0.25</v>
      </c>
      <c r="K1414" t="inlineStr">
        <is>
          <t>出社人数調整（個別依頼）</t>
        </is>
      </c>
      <c r="L1414">
        <f>IFERROR(LEFT(K1414,             FIND(",", K1414) - 1), "-")</f>
        <v/>
      </c>
      <c r="M1414">
        <f>IFERROR(MID(K1414,             FIND(",", K1414) + 1, LEN(K1414) - FIND(",", K1414)), K1414)</f>
        <v/>
      </c>
      <c r="N1414" t="n">
        <v>5</v>
      </c>
      <c r="P1414" t="inlineStr">
        <is>
          <t>10:30</t>
        </is>
      </c>
      <c r="Q1414" t="inlineStr">
        <is>
          <t>10:45</t>
        </is>
      </c>
    </row>
    <row r="1415">
      <c r="A1415" t="inlineStr">
        <is>
          <t>打保 しのぶ</t>
        </is>
      </c>
      <c r="B1415" t="inlineStr">
        <is>
          <t>TCNZ001:社内業務等</t>
        </is>
      </c>
      <c r="D1415">
        <f>L1415</f>
        <v/>
      </c>
      <c r="E1415">
        <f>SUMIFS(J:J, G:G,             A1415, H:H, B1415, L:L, L1415)</f>
        <v/>
      </c>
      <c r="F1415" t="inlineStr">
        <is>
          <t>48</t>
        </is>
      </c>
      <c r="G1415" t="inlineStr">
        <is>
          <t>打保 しのぶ</t>
        </is>
      </c>
      <c r="H1415" t="inlineStr">
        <is>
          <t>TCNZ001:社内業務等</t>
        </is>
      </c>
      <c r="I1415" s="1" t="n">
        <v>45946</v>
      </c>
      <c r="J1415" t="n">
        <v>0.25</v>
      </c>
      <c r="K1415" t="inlineStr">
        <is>
          <t>出社依頼</t>
        </is>
      </c>
      <c r="L1415">
        <f>IFERROR(LEFT(K1415,             FIND(",", K1415) - 1), "-")</f>
        <v/>
      </c>
      <c r="M1415">
        <f>IFERROR(MID(K1415,             FIND(",", K1415) + 1, LEN(K1415) - FIND(",", K1415)), K1415)</f>
        <v/>
      </c>
      <c r="N1415" t="n">
        <v>5</v>
      </c>
      <c r="P1415" t="inlineStr">
        <is>
          <t>11:45</t>
        </is>
      </c>
      <c r="Q1415" t="inlineStr">
        <is>
          <t>12:00</t>
        </is>
      </c>
    </row>
    <row r="1416">
      <c r="A1416" t="inlineStr">
        <is>
          <t>打保 しのぶ</t>
        </is>
      </c>
      <c r="B1416" t="inlineStr">
        <is>
          <t>TCNZ001:社内業務等</t>
        </is>
      </c>
      <c r="D1416">
        <f>L1416</f>
        <v/>
      </c>
      <c r="E1416">
        <f>SUMIFS(J:J, G:G,             A1416, H:H, B1416, L:L, L1416)</f>
        <v/>
      </c>
      <c r="F1416" t="inlineStr">
        <is>
          <t>48</t>
        </is>
      </c>
      <c r="G1416" t="inlineStr">
        <is>
          <t>打保 しのぶ</t>
        </is>
      </c>
      <c r="H1416" t="inlineStr">
        <is>
          <t>TCNZ001:社内業務等</t>
        </is>
      </c>
      <c r="I1416" s="1" t="n">
        <v>45936</v>
      </c>
      <c r="J1416" t="n">
        <v>0.25</v>
      </c>
      <c r="K1416" t="inlineStr">
        <is>
          <t>国税シート更新（請求書）</t>
        </is>
      </c>
      <c r="L1416">
        <f>IFERROR(LEFT(K1416,             FIND(",", K1416) - 1), "-")</f>
        <v/>
      </c>
      <c r="M1416">
        <f>IFERROR(MID(K1416,             FIND(",", K1416) + 1, LEN(K1416) - FIND(",", K1416)), K1416)</f>
        <v/>
      </c>
      <c r="N1416" t="n">
        <v>5</v>
      </c>
      <c r="P1416" t="inlineStr">
        <is>
          <t>10:15</t>
        </is>
      </c>
      <c r="Q1416" t="inlineStr">
        <is>
          <t>10:30</t>
        </is>
      </c>
    </row>
    <row r="1417">
      <c r="A1417" t="inlineStr">
        <is>
          <t>打保 しのぶ</t>
        </is>
      </c>
      <c r="B1417" t="inlineStr">
        <is>
          <t>TCNZ001:社内業務等</t>
        </is>
      </c>
      <c r="D1417">
        <f>L1417</f>
        <v/>
      </c>
      <c r="E1417">
        <f>SUMIFS(J:J, G:G,             A1417, H:H, B1417, L:L, L1417)</f>
        <v/>
      </c>
      <c r="F1417" t="inlineStr">
        <is>
          <t>48</t>
        </is>
      </c>
      <c r="G1417" t="inlineStr">
        <is>
          <t>打保 しのぶ</t>
        </is>
      </c>
      <c r="H1417" t="inlineStr">
        <is>
          <t>TCNZ001:社内業務等</t>
        </is>
      </c>
      <c r="I1417" s="1" t="n">
        <v>45946</v>
      </c>
      <c r="J1417" t="n">
        <v>0.5</v>
      </c>
      <c r="K1417" t="inlineStr">
        <is>
          <t>城南様見積書探し</t>
        </is>
      </c>
      <c r="L1417">
        <f>IFERROR(LEFT(K1417,             FIND(",", K1417) - 1), "-")</f>
        <v/>
      </c>
      <c r="M1417">
        <f>IFERROR(MID(K1417,             FIND(",", K1417) + 1, LEN(K1417) - FIND(",", K1417)), K1417)</f>
        <v/>
      </c>
      <c r="N1417" t="n">
        <v>5</v>
      </c>
      <c r="P1417" t="inlineStr">
        <is>
          <t>14:30</t>
        </is>
      </c>
      <c r="Q1417" t="inlineStr">
        <is>
          <t>15:00</t>
        </is>
      </c>
    </row>
    <row r="1418">
      <c r="A1418" t="inlineStr">
        <is>
          <t>打保 しのぶ</t>
        </is>
      </c>
      <c r="B1418" t="inlineStr">
        <is>
          <t>TCNZ001:社内業務等</t>
        </is>
      </c>
      <c r="D1418">
        <f>L1418</f>
        <v/>
      </c>
      <c r="E1418">
        <f>SUMIFS(J:J, G:G,             A1418, H:H, B1418, L:L, L1418)</f>
        <v/>
      </c>
      <c r="F1418" t="inlineStr">
        <is>
          <t>48</t>
        </is>
      </c>
      <c r="G1418" t="inlineStr">
        <is>
          <t>打保 しのぶ</t>
        </is>
      </c>
      <c r="H1418" t="inlineStr">
        <is>
          <t>TCNZ001:社内業務等</t>
        </is>
      </c>
      <c r="I1418" s="1" t="n">
        <v>45946</v>
      </c>
      <c r="J1418" t="n">
        <v>0.5</v>
      </c>
      <c r="K1418" t="inlineStr">
        <is>
          <t>城南様過去分御見積探し</t>
        </is>
      </c>
      <c r="L1418">
        <f>IFERROR(LEFT(K1418,             FIND(",", K1418) - 1), "-")</f>
        <v/>
      </c>
      <c r="M1418">
        <f>IFERROR(MID(K1418,             FIND(",", K1418) + 1, LEN(K1418) - FIND(",", K1418)), K1418)</f>
        <v/>
      </c>
      <c r="N1418" t="n">
        <v>5</v>
      </c>
      <c r="P1418" t="inlineStr">
        <is>
          <t>15:15</t>
        </is>
      </c>
      <c r="Q1418" t="inlineStr">
        <is>
          <t>15:45</t>
        </is>
      </c>
    </row>
    <row r="1419">
      <c r="A1419" t="inlineStr">
        <is>
          <t>打保 しのぶ</t>
        </is>
      </c>
      <c r="B1419" t="inlineStr">
        <is>
          <t>TCNZ001:社内業務等</t>
        </is>
      </c>
      <c r="D1419">
        <f>L1419</f>
        <v/>
      </c>
      <c r="E1419">
        <f>SUMIFS(J:J, G:G,             A1419, H:H, B1419, L:L, L1419)</f>
        <v/>
      </c>
      <c r="F1419" t="inlineStr">
        <is>
          <t>48</t>
        </is>
      </c>
      <c r="G1419" t="inlineStr">
        <is>
          <t>打保 しのぶ</t>
        </is>
      </c>
      <c r="H1419" t="inlineStr">
        <is>
          <t>TCNZ001:社内業務等</t>
        </is>
      </c>
      <c r="I1419" s="1" t="n">
        <v>45946</v>
      </c>
      <c r="J1419" t="n">
        <v>0.25</v>
      </c>
      <c r="K1419" t="inlineStr">
        <is>
          <t>売上データ更新</t>
        </is>
      </c>
      <c r="L1419">
        <f>IFERROR(LEFT(K1419,             FIND(",", K1419) - 1), "-")</f>
        <v/>
      </c>
      <c r="M1419">
        <f>IFERROR(MID(K1419,             FIND(",", K1419) + 1, LEN(K1419) - FIND(",", K1419)), K1419)</f>
        <v/>
      </c>
      <c r="N1419" t="n">
        <v>5</v>
      </c>
      <c r="P1419" t="inlineStr">
        <is>
          <t>15:00</t>
        </is>
      </c>
      <c r="Q1419" t="inlineStr">
        <is>
          <t>15:15</t>
        </is>
      </c>
    </row>
    <row r="1420">
      <c r="A1420" t="inlineStr">
        <is>
          <t>打保 しのぶ</t>
        </is>
      </c>
      <c r="B1420" t="inlineStr">
        <is>
          <t>TCNZ001:社内業務等</t>
        </is>
      </c>
      <c r="D1420">
        <f>L1420</f>
        <v/>
      </c>
      <c r="E1420">
        <f>SUMIFS(J:J, G:G,             A1420, H:H, B1420, L:L, L1420)</f>
        <v/>
      </c>
      <c r="F1420" t="inlineStr">
        <is>
          <t>48</t>
        </is>
      </c>
      <c r="G1420" t="inlineStr">
        <is>
          <t>打保 しのぶ</t>
        </is>
      </c>
      <c r="H1420" t="inlineStr">
        <is>
          <t>TCNZ001:社内業務等</t>
        </is>
      </c>
      <c r="I1420" s="1" t="n">
        <v>45933</v>
      </c>
      <c r="J1420" t="n">
        <v>0.25</v>
      </c>
      <c r="K1420" t="inlineStr">
        <is>
          <t>外注費報告、工数報告</t>
        </is>
      </c>
      <c r="L1420">
        <f>IFERROR(LEFT(K1420,             FIND(",", K1420) - 1), "-")</f>
        <v/>
      </c>
      <c r="M1420">
        <f>IFERROR(MID(K1420,             FIND(",", K1420) + 1, LEN(K1420) - FIND(",", K1420)), K1420)</f>
        <v/>
      </c>
      <c r="N1420" t="n">
        <v>5</v>
      </c>
      <c r="P1420" t="inlineStr">
        <is>
          <t>13:30</t>
        </is>
      </c>
      <c r="Q1420" t="inlineStr">
        <is>
          <t>13:45</t>
        </is>
      </c>
    </row>
    <row r="1421">
      <c r="A1421" t="inlineStr">
        <is>
          <t>打保 しのぶ</t>
        </is>
      </c>
      <c r="B1421" t="inlineStr">
        <is>
          <t>TCNZ001:社内業務等</t>
        </is>
      </c>
      <c r="D1421">
        <f>L1421</f>
        <v/>
      </c>
      <c r="E1421">
        <f>SUMIFS(J:J, G:G,             A1421, H:H, B1421, L:L, L1421)</f>
        <v/>
      </c>
      <c r="F1421" t="inlineStr">
        <is>
          <t>48</t>
        </is>
      </c>
      <c r="G1421" t="inlineStr">
        <is>
          <t>打保 しのぶ</t>
        </is>
      </c>
      <c r="H1421" t="inlineStr">
        <is>
          <t>TCNZ001:社内業務等</t>
        </is>
      </c>
      <c r="I1421" s="1" t="n">
        <v>45933</v>
      </c>
      <c r="J1421" t="n">
        <v>0.5</v>
      </c>
      <c r="K1421" t="inlineStr">
        <is>
          <t>契約書進捗リスト更新、送信</t>
        </is>
      </c>
      <c r="L1421">
        <f>IFERROR(LEFT(K1421,             FIND(",", K1421) - 1), "-")</f>
        <v/>
      </c>
      <c r="M1421">
        <f>IFERROR(MID(K1421,             FIND(",", K1421) + 1, LEN(K1421) - FIND(",", K1421)), K1421)</f>
        <v/>
      </c>
      <c r="N1421" t="n">
        <v>5</v>
      </c>
      <c r="P1421" t="inlineStr">
        <is>
          <t>10:45</t>
        </is>
      </c>
      <c r="Q1421" t="inlineStr">
        <is>
          <t>11:15</t>
        </is>
      </c>
    </row>
    <row r="1422">
      <c r="A1422" t="inlineStr">
        <is>
          <t>打保 しのぶ</t>
        </is>
      </c>
      <c r="B1422" t="inlineStr">
        <is>
          <t>TCNZ001:社内業務等</t>
        </is>
      </c>
      <c r="D1422">
        <f>L1422</f>
        <v/>
      </c>
      <c r="E1422">
        <f>SUMIFS(J:J, G:G,             A1422, H:H, B1422, L:L, L1422)</f>
        <v/>
      </c>
      <c r="F1422" t="inlineStr">
        <is>
          <t>48</t>
        </is>
      </c>
      <c r="G1422" t="inlineStr">
        <is>
          <t>打保 しのぶ</t>
        </is>
      </c>
      <c r="H1422" t="inlineStr">
        <is>
          <t>TCNZ001:社内業務等</t>
        </is>
      </c>
      <c r="I1422" s="1" t="n">
        <v>45940</v>
      </c>
      <c r="J1422" t="n">
        <v>0.5</v>
      </c>
      <c r="K1422" t="inlineStr">
        <is>
          <t>年末調整</t>
        </is>
      </c>
      <c r="L1422">
        <f>IFERROR(LEFT(K1422,             FIND(",", K1422) - 1), "-")</f>
        <v/>
      </c>
      <c r="M1422">
        <f>IFERROR(MID(K1422,             FIND(",", K1422) + 1, LEN(K1422) - FIND(",", K1422)), K1422)</f>
        <v/>
      </c>
      <c r="N1422" t="n">
        <v>5</v>
      </c>
      <c r="P1422" t="inlineStr">
        <is>
          <t>15:30</t>
        </is>
      </c>
      <c r="Q1422" t="inlineStr">
        <is>
          <t>16:00</t>
        </is>
      </c>
    </row>
    <row r="1423">
      <c r="A1423" t="inlineStr">
        <is>
          <t>打保 しのぶ</t>
        </is>
      </c>
      <c r="B1423" t="inlineStr">
        <is>
          <t>TCNZ001:社内業務等</t>
        </is>
      </c>
      <c r="D1423">
        <f>L1423</f>
        <v/>
      </c>
      <c r="E1423">
        <f>SUMIFS(J:J, G:G,             A1423, H:H, B1423, L:L, L1423)</f>
        <v/>
      </c>
      <c r="F1423" t="inlineStr">
        <is>
          <t>48</t>
        </is>
      </c>
      <c r="G1423" t="inlineStr">
        <is>
          <t>打保 しのぶ</t>
        </is>
      </c>
      <c r="H1423" t="inlineStr">
        <is>
          <t>TCNZ001:社内業務等</t>
        </is>
      </c>
      <c r="I1423" s="1" t="n">
        <v>45946</v>
      </c>
      <c r="J1423" t="n">
        <v>0.25</v>
      </c>
      <c r="K1423" t="inlineStr">
        <is>
          <t>年末調整</t>
        </is>
      </c>
      <c r="L1423">
        <f>IFERROR(LEFT(K1423,             FIND(",", K1423) - 1), "-")</f>
        <v/>
      </c>
      <c r="M1423">
        <f>IFERROR(MID(K1423,             FIND(",", K1423) + 1, LEN(K1423) - FIND(",", K1423)), K1423)</f>
        <v/>
      </c>
      <c r="N1423" t="n">
        <v>5</v>
      </c>
      <c r="P1423" t="inlineStr">
        <is>
          <t>11:00</t>
        </is>
      </c>
      <c r="Q1423" t="inlineStr">
        <is>
          <t>11:15</t>
        </is>
      </c>
    </row>
    <row r="1424">
      <c r="A1424" t="inlineStr">
        <is>
          <t>打保 しのぶ</t>
        </is>
      </c>
      <c r="B1424" t="inlineStr">
        <is>
          <t>TCNZ001:社内業務等</t>
        </is>
      </c>
      <c r="D1424">
        <f>L1424</f>
        <v/>
      </c>
      <c r="E1424">
        <f>SUMIFS(J:J, G:G,             A1424, H:H, B1424, L:L, L1424)</f>
        <v/>
      </c>
      <c r="F1424" t="inlineStr">
        <is>
          <t>48</t>
        </is>
      </c>
      <c r="G1424" t="inlineStr">
        <is>
          <t>打保 しのぶ</t>
        </is>
      </c>
      <c r="H1424" t="inlineStr">
        <is>
          <t>TCNZ001:社内業務等</t>
        </is>
      </c>
      <c r="I1424" s="1" t="n">
        <v>45947</v>
      </c>
      <c r="J1424" t="n">
        <v>0.25</v>
      </c>
      <c r="K1424" t="inlineStr">
        <is>
          <t>年末調整</t>
        </is>
      </c>
      <c r="L1424">
        <f>IFERROR(LEFT(K1424,             FIND(",", K1424) - 1), "-")</f>
        <v/>
      </c>
      <c r="M1424">
        <f>IFERROR(MID(K1424,             FIND(",", K1424) + 1, LEN(K1424) - FIND(",", K1424)), K1424)</f>
        <v/>
      </c>
      <c r="N1424" t="n">
        <v>5</v>
      </c>
      <c r="P1424" t="inlineStr">
        <is>
          <t>10:15</t>
        </is>
      </c>
      <c r="Q1424" t="inlineStr">
        <is>
          <t>10:30</t>
        </is>
      </c>
    </row>
    <row r="1425">
      <c r="A1425" t="inlineStr">
        <is>
          <t>打保 しのぶ</t>
        </is>
      </c>
      <c r="B1425" t="inlineStr">
        <is>
          <t>TCNZ001:社内業務等</t>
        </is>
      </c>
      <c r="D1425">
        <f>L1425</f>
        <v/>
      </c>
      <c r="E1425">
        <f>SUMIFS(J:J, G:G,             A1425, H:H, B1425, L:L, L1425)</f>
        <v/>
      </c>
      <c r="F1425" t="inlineStr">
        <is>
          <t>48</t>
        </is>
      </c>
      <c r="G1425" t="inlineStr">
        <is>
          <t>打保 しのぶ</t>
        </is>
      </c>
      <c r="H1425" t="inlineStr">
        <is>
          <t>TCNZ001:社内業務等</t>
        </is>
      </c>
      <c r="I1425" s="1" t="n">
        <v>45950</v>
      </c>
      <c r="J1425" t="n">
        <v>0.5</v>
      </c>
      <c r="K1425" t="inlineStr">
        <is>
          <t>年末調整</t>
        </is>
      </c>
      <c r="L1425">
        <f>IFERROR(LEFT(K1425,             FIND(",", K1425) - 1), "-")</f>
        <v/>
      </c>
      <c r="M1425">
        <f>IFERROR(MID(K1425,             FIND(",", K1425) + 1, LEN(K1425) - FIND(",", K1425)), K1425)</f>
        <v/>
      </c>
      <c r="N1425" t="n">
        <v>5</v>
      </c>
      <c r="P1425" t="inlineStr">
        <is>
          <t>16:00</t>
        </is>
      </c>
      <c r="Q1425" t="inlineStr">
        <is>
          <t>16:30</t>
        </is>
      </c>
    </row>
    <row r="1426">
      <c r="A1426" t="inlineStr">
        <is>
          <t>打保 しのぶ</t>
        </is>
      </c>
      <c r="B1426" t="inlineStr">
        <is>
          <t>TCNZ001:社内業務等</t>
        </is>
      </c>
      <c r="D1426">
        <f>L1426</f>
        <v/>
      </c>
      <c r="E1426">
        <f>SUMIFS(J:J, G:G,             A1426, H:H, B1426, L:L, L1426)</f>
        <v/>
      </c>
      <c r="F1426" t="inlineStr">
        <is>
          <t>48</t>
        </is>
      </c>
      <c r="G1426" t="inlineStr">
        <is>
          <t>打保 しのぶ</t>
        </is>
      </c>
      <c r="H1426" t="inlineStr">
        <is>
          <t>TCNZ001:社内業務等</t>
        </is>
      </c>
      <c r="I1426" s="1" t="n">
        <v>45940</v>
      </c>
      <c r="J1426" t="n">
        <v>1</v>
      </c>
      <c r="K1426" t="inlineStr">
        <is>
          <t>年末調整変更点確認</t>
        </is>
      </c>
      <c r="L1426">
        <f>IFERROR(LEFT(K1426,             FIND(",", K1426) - 1), "-")</f>
        <v/>
      </c>
      <c r="M1426">
        <f>IFERROR(MID(K1426,             FIND(",", K1426) + 1, LEN(K1426) - FIND(",", K1426)), K1426)</f>
        <v/>
      </c>
      <c r="N1426" t="n">
        <v>5</v>
      </c>
      <c r="P1426" t="inlineStr">
        <is>
          <t>17:00</t>
        </is>
      </c>
      <c r="Q1426" t="inlineStr">
        <is>
          <t>18:00</t>
        </is>
      </c>
    </row>
    <row r="1427">
      <c r="A1427" t="inlineStr">
        <is>
          <t>打保 しのぶ</t>
        </is>
      </c>
      <c r="B1427" t="inlineStr">
        <is>
          <t>TCNZ001:社内業務等</t>
        </is>
      </c>
      <c r="D1427">
        <f>L1427</f>
        <v/>
      </c>
      <c r="E1427">
        <f>SUMIFS(J:J, G:G,             A1427, H:H, B1427, L:L, L1427)</f>
        <v/>
      </c>
      <c r="F1427" t="inlineStr">
        <is>
          <t>48</t>
        </is>
      </c>
      <c r="G1427" t="inlineStr">
        <is>
          <t>打保 しのぶ</t>
        </is>
      </c>
      <c r="H1427" t="inlineStr">
        <is>
          <t>TCNZ001:社内業務等</t>
        </is>
      </c>
      <c r="I1427" s="1" t="n">
        <v>45940</v>
      </c>
      <c r="J1427" t="n">
        <v>1.25</v>
      </c>
      <c r="K1427" t="inlineStr">
        <is>
          <t>年末調整準備</t>
        </is>
      </c>
      <c r="L1427">
        <f>IFERROR(LEFT(K1427,             FIND(",", K1427) - 1), "-")</f>
        <v/>
      </c>
      <c r="M1427">
        <f>IFERROR(MID(K1427,             FIND(",", K1427) + 1, LEN(K1427) - FIND(",", K1427)), K1427)</f>
        <v/>
      </c>
      <c r="N1427" t="n">
        <v>5</v>
      </c>
      <c r="P1427" t="inlineStr">
        <is>
          <t>13:15</t>
        </is>
      </c>
      <c r="Q1427" t="inlineStr">
        <is>
          <t>14:30</t>
        </is>
      </c>
    </row>
    <row r="1428">
      <c r="A1428" t="inlineStr">
        <is>
          <t>打保 しのぶ</t>
        </is>
      </c>
      <c r="B1428" t="inlineStr">
        <is>
          <t>TCNZ001:社内業務等</t>
        </is>
      </c>
      <c r="D1428">
        <f>L1428</f>
        <v/>
      </c>
      <c r="E1428">
        <f>SUMIFS(J:J, G:G,             A1428, H:H, B1428, L:L, L1428)</f>
        <v/>
      </c>
      <c r="F1428" t="inlineStr">
        <is>
          <t>48</t>
        </is>
      </c>
      <c r="G1428" t="inlineStr">
        <is>
          <t>打保 しのぶ</t>
        </is>
      </c>
      <c r="H1428" t="inlineStr">
        <is>
          <t>TCNZ001:社内業務等</t>
        </is>
      </c>
      <c r="I1428" s="1" t="n">
        <v>45953</v>
      </c>
      <c r="J1428" t="n">
        <v>0.25</v>
      </c>
      <c r="K1428" t="inlineStr">
        <is>
          <t>清水さんご依頼分Navi-TONE押印・格納</t>
        </is>
      </c>
      <c r="L1428">
        <f>IFERROR(LEFT(K1428,             FIND(",", K1428) - 1), "-")</f>
        <v/>
      </c>
      <c r="M1428">
        <f>IFERROR(MID(K1428,             FIND(",", K1428) + 1, LEN(K1428) - FIND(",", K1428)), K1428)</f>
        <v/>
      </c>
      <c r="N1428" t="n">
        <v>5</v>
      </c>
      <c r="P1428" t="inlineStr">
        <is>
          <t>14:45</t>
        </is>
      </c>
      <c r="Q1428" t="inlineStr">
        <is>
          <t>15:00</t>
        </is>
      </c>
    </row>
    <row r="1429">
      <c r="A1429" t="inlineStr">
        <is>
          <t>打保 しのぶ</t>
        </is>
      </c>
      <c r="B1429" t="inlineStr">
        <is>
          <t>TCNZ001:社内業務等</t>
        </is>
      </c>
      <c r="D1429">
        <f>L1429</f>
        <v/>
      </c>
      <c r="E1429">
        <f>SUMIFS(J:J, G:G,             A1429, H:H, B1429, L:L, L1429)</f>
        <v/>
      </c>
      <c r="F1429" t="inlineStr">
        <is>
          <t>48</t>
        </is>
      </c>
      <c r="G1429" t="inlineStr">
        <is>
          <t>打保 しのぶ</t>
        </is>
      </c>
      <c r="H1429" t="inlineStr">
        <is>
          <t>TCNZ001:社内業務等</t>
        </is>
      </c>
      <c r="I1429" s="1" t="n">
        <v>45940</v>
      </c>
      <c r="J1429" t="n">
        <v>0.25</v>
      </c>
      <c r="K1429" t="inlineStr">
        <is>
          <t>祝日出社調整</t>
        </is>
      </c>
      <c r="L1429">
        <f>IFERROR(LEFT(K1429,             FIND(",", K1429) - 1), "-")</f>
        <v/>
      </c>
      <c r="M1429">
        <f>IFERROR(MID(K1429,             FIND(",", K1429) + 1, LEN(K1429) - FIND(",", K1429)), K1429)</f>
        <v/>
      </c>
      <c r="N1429" t="n">
        <v>5</v>
      </c>
      <c r="P1429" t="inlineStr">
        <is>
          <t>12:30</t>
        </is>
      </c>
      <c r="Q1429" t="inlineStr">
        <is>
          <t>12:45</t>
        </is>
      </c>
    </row>
    <row r="1430">
      <c r="A1430" t="inlineStr">
        <is>
          <t>打保 しのぶ</t>
        </is>
      </c>
      <c r="B1430" t="inlineStr">
        <is>
          <t>TCNZ001:社内業務等</t>
        </is>
      </c>
      <c r="D1430">
        <f>L1430</f>
        <v/>
      </c>
      <c r="E1430">
        <f>SUMIFS(J:J, G:G,             A1430, H:H, B1430, L:L, L1430)</f>
        <v/>
      </c>
      <c r="F1430" t="inlineStr">
        <is>
          <t>48</t>
        </is>
      </c>
      <c r="G1430" t="inlineStr">
        <is>
          <t>打保 しのぶ</t>
        </is>
      </c>
      <c r="H1430" t="inlineStr">
        <is>
          <t>TCNZ001:社内業務等</t>
        </is>
      </c>
      <c r="I1430" s="1" t="n">
        <v>45932</v>
      </c>
      <c r="J1430" t="n">
        <v>0.25</v>
      </c>
      <c r="K1430" t="inlineStr">
        <is>
          <t>祝日出社調整、返信</t>
        </is>
      </c>
      <c r="L1430">
        <f>IFERROR(LEFT(K1430,             FIND(",", K1430) - 1), "-")</f>
        <v/>
      </c>
      <c r="M1430">
        <f>IFERROR(MID(K1430,             FIND(",", K1430) + 1, LEN(K1430) - FIND(",", K1430)), K1430)</f>
        <v/>
      </c>
      <c r="N1430" t="n">
        <v>5</v>
      </c>
      <c r="P1430" t="inlineStr">
        <is>
          <t>10:45</t>
        </is>
      </c>
      <c r="Q1430" t="inlineStr">
        <is>
          <t>11:00</t>
        </is>
      </c>
    </row>
    <row r="1431">
      <c r="A1431" t="inlineStr">
        <is>
          <t>打保 しのぶ</t>
        </is>
      </c>
      <c r="B1431" t="inlineStr">
        <is>
          <t>TCNZ001:社内業務等</t>
        </is>
      </c>
      <c r="D1431">
        <f>L1431</f>
        <v/>
      </c>
      <c r="E1431">
        <f>SUMIFS(J:J, G:G,             A1431, H:H, B1431, L:L, L1431)</f>
        <v/>
      </c>
      <c r="F1431" t="inlineStr">
        <is>
          <t>48</t>
        </is>
      </c>
      <c r="G1431" t="inlineStr">
        <is>
          <t>打保 しのぶ</t>
        </is>
      </c>
      <c r="H1431" t="inlineStr">
        <is>
          <t>TCNZ001:社内業務等</t>
        </is>
      </c>
      <c r="I1431" s="1" t="n">
        <v>45947</v>
      </c>
      <c r="J1431" t="n">
        <v>0.25</v>
      </c>
      <c r="K1431" t="inlineStr">
        <is>
          <t>窓付き封筒発注</t>
        </is>
      </c>
      <c r="L1431">
        <f>IFERROR(LEFT(K1431,             FIND(",", K1431) - 1), "-")</f>
        <v/>
      </c>
      <c r="M1431">
        <f>IFERROR(MID(K1431,             FIND(",", K1431) + 1, LEN(K1431) - FIND(",", K1431)), K1431)</f>
        <v/>
      </c>
      <c r="N1431" t="n">
        <v>5</v>
      </c>
      <c r="P1431" t="inlineStr">
        <is>
          <t>11:45</t>
        </is>
      </c>
      <c r="Q1431" t="inlineStr">
        <is>
          <t>12:00</t>
        </is>
      </c>
    </row>
    <row r="1432">
      <c r="A1432" t="inlineStr">
        <is>
          <t>打保 しのぶ</t>
        </is>
      </c>
      <c r="B1432" t="inlineStr">
        <is>
          <t>TCNZ001:社内業務等</t>
        </is>
      </c>
      <c r="D1432">
        <f>L1432</f>
        <v/>
      </c>
      <c r="E1432">
        <f>SUMIFS(J:J, G:G,             A1432, H:H, B1432, L:L, L1432)</f>
        <v/>
      </c>
      <c r="F1432" t="inlineStr">
        <is>
          <t>48</t>
        </is>
      </c>
      <c r="G1432" t="inlineStr">
        <is>
          <t>打保 しのぶ</t>
        </is>
      </c>
      <c r="H1432" t="inlineStr">
        <is>
          <t>TCNZ001:社内業務等</t>
        </is>
      </c>
      <c r="I1432" s="1" t="n">
        <v>45939</v>
      </c>
      <c r="J1432" t="n">
        <v>0.25</v>
      </c>
      <c r="K1432" t="inlineStr">
        <is>
          <t>窓付き封筒見積依頼</t>
        </is>
      </c>
      <c r="L1432">
        <f>IFERROR(LEFT(K1432,             FIND(",", K1432) - 1), "-")</f>
        <v/>
      </c>
      <c r="M1432">
        <f>IFERROR(MID(K1432,             FIND(",", K1432) + 1, LEN(K1432) - FIND(",", K1432)), K1432)</f>
        <v/>
      </c>
      <c r="N1432" t="n">
        <v>5</v>
      </c>
      <c r="P1432" t="inlineStr">
        <is>
          <t>13:45</t>
        </is>
      </c>
      <c r="Q1432" t="inlineStr">
        <is>
          <t>14:00</t>
        </is>
      </c>
    </row>
    <row r="1433">
      <c r="A1433" t="inlineStr">
        <is>
          <t>打保 しのぶ</t>
        </is>
      </c>
      <c r="B1433" t="inlineStr">
        <is>
          <t>TCNZ001:社内業務等</t>
        </is>
      </c>
      <c r="D1433">
        <f>L1433</f>
        <v/>
      </c>
      <c r="E1433">
        <f>SUMIFS(J:J, G:G,             A1433, H:H, B1433, L:L, L1433)</f>
        <v/>
      </c>
      <c r="F1433" t="inlineStr">
        <is>
          <t>48</t>
        </is>
      </c>
      <c r="G1433" t="inlineStr">
        <is>
          <t>打保 しのぶ</t>
        </is>
      </c>
      <c r="H1433" t="inlineStr">
        <is>
          <t>TCNZ001:社内業務等</t>
        </is>
      </c>
      <c r="I1433" s="1" t="n">
        <v>45951</v>
      </c>
      <c r="J1433" t="n">
        <v>0.25</v>
      </c>
      <c r="K1433" t="inlineStr">
        <is>
          <t>給与ファイル：前倒し作業、電子帳簿メール振り分け、帰りがけポスト投函</t>
        </is>
      </c>
      <c r="L1433">
        <f>IFERROR(LEFT(K1433,             FIND(",", K1433) - 1), "-")</f>
        <v/>
      </c>
      <c r="M1433">
        <f>IFERROR(MID(K1433,             FIND(",", K1433) + 1, LEN(K1433) - FIND(",", K1433)), K1433)</f>
        <v/>
      </c>
      <c r="N1433" t="n">
        <v>5</v>
      </c>
      <c r="P1433" t="inlineStr">
        <is>
          <t>17:45</t>
        </is>
      </c>
      <c r="Q1433" t="inlineStr">
        <is>
          <t>18:00</t>
        </is>
      </c>
    </row>
    <row r="1434">
      <c r="A1434" t="inlineStr">
        <is>
          <t>打保 しのぶ</t>
        </is>
      </c>
      <c r="B1434" t="inlineStr">
        <is>
          <t>TCNZ001:社内業務等</t>
        </is>
      </c>
      <c r="D1434">
        <f>L1434</f>
        <v/>
      </c>
      <c r="E1434">
        <f>SUMIFS(J:J, G:G,             A1434, H:H, B1434, L:L, L1434)</f>
        <v/>
      </c>
      <c r="F1434" t="inlineStr">
        <is>
          <t>48</t>
        </is>
      </c>
      <c r="G1434" t="inlineStr">
        <is>
          <t>打保 しのぶ</t>
        </is>
      </c>
      <c r="H1434" t="inlineStr">
        <is>
          <t>TCNZ001:社内業務等</t>
        </is>
      </c>
      <c r="I1434" s="1" t="n">
        <v>45951</v>
      </c>
      <c r="J1434" t="n">
        <v>0.25</v>
      </c>
      <c r="K1434" t="inlineStr">
        <is>
          <t>芝税務署返送書類作成、発送準備</t>
        </is>
      </c>
      <c r="L1434">
        <f>IFERROR(LEFT(K1434,             FIND(",", K1434) - 1), "-")</f>
        <v/>
      </c>
      <c r="M1434">
        <f>IFERROR(MID(K1434,             FIND(",", K1434) + 1, LEN(K1434) - FIND(",", K1434)), K1434)</f>
        <v/>
      </c>
      <c r="N1434" t="n">
        <v>5</v>
      </c>
      <c r="P1434" t="inlineStr">
        <is>
          <t>16:00</t>
        </is>
      </c>
      <c r="Q1434" t="inlineStr">
        <is>
          <t>16:15</t>
        </is>
      </c>
    </row>
    <row r="1435">
      <c r="A1435" t="inlineStr">
        <is>
          <t>打保 しのぶ</t>
        </is>
      </c>
      <c r="B1435" t="inlineStr">
        <is>
          <t>TCNZ001:社内業務等</t>
        </is>
      </c>
      <c r="D1435">
        <f>L1435</f>
        <v/>
      </c>
      <c r="E1435">
        <f>SUMIFS(J:J, G:G,             A1435, H:H, B1435, L:L, L1435)</f>
        <v/>
      </c>
      <c r="F1435" t="inlineStr">
        <is>
          <t>48</t>
        </is>
      </c>
      <c r="G1435" t="inlineStr">
        <is>
          <t>打保 しのぶ</t>
        </is>
      </c>
      <c r="H1435" t="inlineStr">
        <is>
          <t>TCNZ001:社内業務等</t>
        </is>
      </c>
      <c r="I1435" s="1" t="n">
        <v>45947</v>
      </c>
      <c r="J1435" t="n">
        <v>0.25</v>
      </c>
      <c r="K1435" t="inlineStr">
        <is>
          <t>西村さんMTG時間調整</t>
        </is>
      </c>
      <c r="L1435">
        <f>IFERROR(LEFT(K1435,             FIND(",", K1435) - 1), "-")</f>
        <v/>
      </c>
      <c r="M1435">
        <f>IFERROR(MID(K1435,             FIND(",", K1435) + 1, LEN(K1435) - FIND(",", K1435)), K1435)</f>
        <v/>
      </c>
      <c r="N1435" t="n">
        <v>5</v>
      </c>
      <c r="P1435" t="inlineStr">
        <is>
          <t>10:45</t>
        </is>
      </c>
      <c r="Q1435" t="inlineStr">
        <is>
          <t>11:00</t>
        </is>
      </c>
    </row>
    <row r="1436">
      <c r="A1436" t="inlineStr">
        <is>
          <t>打保 しのぶ</t>
        </is>
      </c>
      <c r="B1436" t="inlineStr">
        <is>
          <t>TCNZ001:社内業務等</t>
        </is>
      </c>
      <c r="D1436">
        <f>L1436</f>
        <v/>
      </c>
      <c r="E1436">
        <f>SUMIFS(J:J, G:G,             A1436, H:H, B1436, L:L, L1436)</f>
        <v/>
      </c>
      <c r="F1436" t="inlineStr">
        <is>
          <t>48</t>
        </is>
      </c>
      <c r="G1436" t="inlineStr">
        <is>
          <t>打保 しのぶ</t>
        </is>
      </c>
      <c r="H1436" t="inlineStr">
        <is>
          <t>TCNZ001:社内業務等</t>
        </is>
      </c>
      <c r="I1436" s="1" t="n">
        <v>45953</v>
      </c>
      <c r="J1436" t="n">
        <v>0.25</v>
      </c>
      <c r="K1436" t="inlineStr">
        <is>
          <t>郵便局：レターパック発送</t>
        </is>
      </c>
      <c r="L1436">
        <f>IFERROR(LEFT(K1436,             FIND(",", K1436) - 1), "-")</f>
        <v/>
      </c>
      <c r="M1436">
        <f>IFERROR(MID(K1436,             FIND(",", K1436) + 1, LEN(K1436) - FIND(",", K1436)), K1436)</f>
        <v/>
      </c>
      <c r="N1436" t="n">
        <v>5</v>
      </c>
      <c r="P1436" t="inlineStr">
        <is>
          <t>12:45</t>
        </is>
      </c>
      <c r="Q1436" t="inlineStr">
        <is>
          <t>13:00</t>
        </is>
      </c>
    </row>
    <row r="1437">
      <c r="A1437" t="inlineStr">
        <is>
          <t>打保 しのぶ</t>
        </is>
      </c>
      <c r="B1437" t="inlineStr">
        <is>
          <t>TCNZ001:社内業務等</t>
        </is>
      </c>
      <c r="D1437">
        <f>L1437</f>
        <v/>
      </c>
      <c r="E1437">
        <f>SUMIFS(J:J, G:G,             A1437, H:H, B1437, L:L, L1437)</f>
        <v/>
      </c>
      <c r="F1437" t="inlineStr">
        <is>
          <t>48</t>
        </is>
      </c>
      <c r="G1437" t="inlineStr">
        <is>
          <t>打保 しのぶ</t>
        </is>
      </c>
      <c r="H1437" t="inlineStr">
        <is>
          <t>TCNZ001:社内業務等</t>
        </is>
      </c>
      <c r="I1437" s="1" t="n">
        <v>45939</v>
      </c>
      <c r="J1437" t="n">
        <v>0.25</v>
      </c>
      <c r="K1437" t="inlineStr">
        <is>
          <t>郵便局：請求書発送、レターパック購入</t>
        </is>
      </c>
      <c r="L1437">
        <f>IFERROR(LEFT(K1437,             FIND(",", K1437) - 1), "-")</f>
        <v/>
      </c>
      <c r="M1437">
        <f>IFERROR(MID(K1437,             FIND(",", K1437) + 1, LEN(K1437) - FIND(",", K1437)), K1437)</f>
        <v/>
      </c>
      <c r="N1437" t="n">
        <v>5</v>
      </c>
      <c r="P1437" t="inlineStr">
        <is>
          <t>15:45</t>
        </is>
      </c>
      <c r="Q1437" t="inlineStr">
        <is>
          <t>16:00</t>
        </is>
      </c>
    </row>
    <row r="1438">
      <c r="A1438" t="inlineStr">
        <is>
          <t>打保 しのぶ</t>
        </is>
      </c>
      <c r="B1438" t="inlineStr">
        <is>
          <t>TCNZ001:社内業務等</t>
        </is>
      </c>
      <c r="D1438">
        <f>L1438</f>
        <v/>
      </c>
      <c r="E1438">
        <f>SUMIFS(J:J, G:G,             A1438, H:H, B1438, L:L, L1438)</f>
        <v/>
      </c>
      <c r="F1438" t="inlineStr">
        <is>
          <t>48</t>
        </is>
      </c>
      <c r="G1438" t="inlineStr">
        <is>
          <t>打保 しのぶ</t>
        </is>
      </c>
      <c r="H1438" t="inlineStr">
        <is>
          <t>TCNZ001:社内業務等</t>
        </is>
      </c>
      <c r="I1438" s="1" t="n">
        <v>45932</v>
      </c>
      <c r="J1438" t="n">
        <v>0.5</v>
      </c>
      <c r="K1438" t="inlineStr">
        <is>
          <t>銀行（記帳）、スキャン、PDF送信、脇田様受領メール送信、セーフティネット通信送信</t>
        </is>
      </c>
      <c r="L1438">
        <f>IFERROR(LEFT(K1438,             FIND(",", K1438) - 1), "-")</f>
        <v/>
      </c>
      <c r="M1438">
        <f>IFERROR(MID(K1438,             FIND(",", K1438) + 1, LEN(K1438) - FIND(",", K1438)), K1438)</f>
        <v/>
      </c>
      <c r="N1438" t="n">
        <v>5</v>
      </c>
      <c r="P1438" t="inlineStr">
        <is>
          <t>14:00</t>
        </is>
      </c>
      <c r="Q1438" t="inlineStr">
        <is>
          <t>14:30</t>
        </is>
      </c>
    </row>
    <row r="1439">
      <c r="A1439" t="inlineStr">
        <is>
          <t>打保 しのぶ</t>
        </is>
      </c>
      <c r="B1439" t="inlineStr">
        <is>
          <t>TCNZ001:社内業務等</t>
        </is>
      </c>
      <c r="D1439">
        <f>L1439</f>
        <v/>
      </c>
      <c r="E1439">
        <f>SUMIFS(J:J, G:G,             A1439, H:H, B1439, L:L, L1439)</f>
        <v/>
      </c>
      <c r="F1439" t="inlineStr">
        <is>
          <t>48</t>
        </is>
      </c>
      <c r="G1439" t="inlineStr">
        <is>
          <t>打保 しのぶ</t>
        </is>
      </c>
      <c r="H1439" t="inlineStr">
        <is>
          <t>TCNZ001:社内業務等</t>
        </is>
      </c>
      <c r="I1439" s="1" t="n">
        <v>45932</v>
      </c>
      <c r="J1439" t="n">
        <v>0.25</v>
      </c>
      <c r="K1439" t="inlineStr">
        <is>
          <t>電子帳簿メール振り分け</t>
        </is>
      </c>
      <c r="L1439">
        <f>IFERROR(LEFT(K1439,             FIND(",", K1439) - 1), "-")</f>
        <v/>
      </c>
      <c r="M1439">
        <f>IFERROR(MID(K1439,             FIND(",", K1439) + 1, LEN(K1439) - FIND(",", K1439)), K1439)</f>
        <v/>
      </c>
      <c r="N1439" t="n">
        <v>5</v>
      </c>
      <c r="P1439" t="inlineStr">
        <is>
          <t>16:15</t>
        </is>
      </c>
      <c r="Q1439" t="inlineStr">
        <is>
          <t>16:30</t>
        </is>
      </c>
    </row>
    <row r="1440">
      <c r="A1440" t="inlineStr">
        <is>
          <t>打保 しのぶ</t>
        </is>
      </c>
      <c r="B1440" t="inlineStr">
        <is>
          <t>TCNZ001:社内業務等</t>
        </is>
      </c>
      <c r="D1440">
        <f>L1440</f>
        <v/>
      </c>
      <c r="E1440">
        <f>SUMIFS(J:J, G:G,             A1440, H:H, B1440, L:L, L1440)</f>
        <v/>
      </c>
      <c r="F1440" t="inlineStr">
        <is>
          <t>48</t>
        </is>
      </c>
      <c r="G1440" t="inlineStr">
        <is>
          <t>打保 しのぶ</t>
        </is>
      </c>
      <c r="H1440" t="inlineStr">
        <is>
          <t>TCNZ001:社内業務等</t>
        </is>
      </c>
      <c r="I1440" s="1" t="n">
        <v>45933</v>
      </c>
      <c r="J1440" t="n">
        <v>0.25</v>
      </c>
      <c r="K1440" t="inlineStr">
        <is>
          <t>電子帳簿メール振り分け</t>
        </is>
      </c>
      <c r="L1440">
        <f>IFERROR(LEFT(K1440,             FIND(",", K1440) - 1), "-")</f>
        <v/>
      </c>
      <c r="M1440">
        <f>IFERROR(MID(K1440,             FIND(",", K1440) + 1, LEN(K1440) - FIND(",", K1440)), K1440)</f>
        <v/>
      </c>
      <c r="N1440" t="n">
        <v>5</v>
      </c>
      <c r="P1440" t="inlineStr">
        <is>
          <t>14:15</t>
        </is>
      </c>
      <c r="Q1440" t="inlineStr">
        <is>
          <t>14:30</t>
        </is>
      </c>
    </row>
    <row r="1441">
      <c r="A1441" t="inlineStr">
        <is>
          <t>打保 しのぶ</t>
        </is>
      </c>
      <c r="B1441" t="inlineStr">
        <is>
          <t>TCNZ001:社内業務等</t>
        </is>
      </c>
      <c r="D1441">
        <f>L1441</f>
        <v/>
      </c>
      <c r="E1441">
        <f>SUMIFS(J:J, G:G,             A1441, H:H, B1441, L:L, L1441)</f>
        <v/>
      </c>
      <c r="F1441" t="inlineStr">
        <is>
          <t>48</t>
        </is>
      </c>
      <c r="G1441" t="inlineStr">
        <is>
          <t>打保 しのぶ</t>
        </is>
      </c>
      <c r="H1441" t="inlineStr">
        <is>
          <t>TCNZ001:社内業務等</t>
        </is>
      </c>
      <c r="I1441" s="1" t="n">
        <v>45936</v>
      </c>
      <c r="J1441" t="n">
        <v>0.25</v>
      </c>
      <c r="K1441" t="inlineStr">
        <is>
          <t>電子帳簿メール振り分け</t>
        </is>
      </c>
      <c r="L1441">
        <f>IFERROR(LEFT(K1441,             FIND(",", K1441) - 1), "-")</f>
        <v/>
      </c>
      <c r="M1441">
        <f>IFERROR(MID(K1441,             FIND(",", K1441) + 1, LEN(K1441) - FIND(",", K1441)), K1441)</f>
        <v/>
      </c>
      <c r="N1441" t="n">
        <v>5</v>
      </c>
      <c r="P1441" t="inlineStr">
        <is>
          <t>15:45</t>
        </is>
      </c>
      <c r="Q1441" t="inlineStr">
        <is>
          <t>16:00</t>
        </is>
      </c>
    </row>
    <row r="1442">
      <c r="A1442" t="inlineStr">
        <is>
          <t>打保 しのぶ</t>
        </is>
      </c>
      <c r="B1442" t="inlineStr">
        <is>
          <t>TCNZ001:社内業務等</t>
        </is>
      </c>
      <c r="D1442">
        <f>L1442</f>
        <v/>
      </c>
      <c r="E1442">
        <f>SUMIFS(J:J, G:G,             A1442, H:H, B1442, L:L, L1442)</f>
        <v/>
      </c>
      <c r="F1442" t="inlineStr">
        <is>
          <t>48</t>
        </is>
      </c>
      <c r="G1442" t="inlineStr">
        <is>
          <t>打保 しのぶ</t>
        </is>
      </c>
      <c r="H1442" t="inlineStr">
        <is>
          <t>TCNZ001:社内業務等</t>
        </is>
      </c>
      <c r="I1442" s="1" t="n">
        <v>45947</v>
      </c>
      <c r="J1442" t="n">
        <v>0.25</v>
      </c>
      <c r="K1442" t="inlineStr">
        <is>
          <t>電子帳簿メール振り分け</t>
        </is>
      </c>
      <c r="L1442">
        <f>IFERROR(LEFT(K1442,             FIND(",", K1442) - 1), "-")</f>
        <v/>
      </c>
      <c r="M1442">
        <f>IFERROR(MID(K1442,             FIND(",", K1442) + 1, LEN(K1442) - FIND(",", K1442)), K1442)</f>
        <v/>
      </c>
      <c r="N1442" t="n">
        <v>5</v>
      </c>
      <c r="P1442" t="inlineStr">
        <is>
          <t>17:00</t>
        </is>
      </c>
      <c r="Q1442" t="inlineStr">
        <is>
          <t>17:15</t>
        </is>
      </c>
    </row>
    <row r="1443">
      <c r="A1443" t="inlineStr">
        <is>
          <t>打保 しのぶ</t>
        </is>
      </c>
      <c r="B1443" t="inlineStr">
        <is>
          <t>TCNZ001:社内業務等</t>
        </is>
      </c>
      <c r="D1443">
        <f>L1443</f>
        <v/>
      </c>
      <c r="E1443">
        <f>SUMIFS(J:J, G:G,             A1443, H:H, B1443, L:L, L1443)</f>
        <v/>
      </c>
      <c r="F1443" t="inlineStr">
        <is>
          <t>48</t>
        </is>
      </c>
      <c r="G1443" t="inlineStr">
        <is>
          <t>打保 しのぶ</t>
        </is>
      </c>
      <c r="H1443" t="inlineStr">
        <is>
          <t>TCNZ001:社内業務等</t>
        </is>
      </c>
      <c r="I1443" s="1" t="n">
        <v>45940</v>
      </c>
      <c r="J1443" t="n">
        <v>1</v>
      </c>
      <c r="L1443">
        <f>IFERROR(LEFT(K1443,             FIND(",", K1443) - 1), "-")</f>
        <v/>
      </c>
      <c r="M1443">
        <f>IFERROR(MID(K1443,             FIND(",", K1443) + 1, LEN(K1443) - FIND(",", K1443)), K1443)</f>
        <v/>
      </c>
      <c r="N1443" t="n">
        <v>5</v>
      </c>
      <c r="P1443" t="inlineStr">
        <is>
          <t>11:00</t>
        </is>
      </c>
      <c r="Q1443" t="inlineStr">
        <is>
          <t>12:00</t>
        </is>
      </c>
    </row>
    <row r="1444">
      <c r="A1444" t="inlineStr">
        <is>
          <t>打保 しのぶ</t>
        </is>
      </c>
      <c r="B1444" t="inlineStr">
        <is>
          <t>TCNZ001:社内業務等</t>
        </is>
      </c>
      <c r="D1444">
        <f>L1444</f>
        <v/>
      </c>
      <c r="E1444">
        <f>SUMIFS(J:J, G:G,             A1444, H:H, B1444, L:L, L1444)</f>
        <v/>
      </c>
      <c r="F1444" t="inlineStr">
        <is>
          <t>48</t>
        </is>
      </c>
      <c r="G1444" t="inlineStr">
        <is>
          <t>打保 しのぶ</t>
        </is>
      </c>
      <c r="H1444" t="inlineStr">
        <is>
          <t>TCNZ001:社内業務等</t>
        </is>
      </c>
      <c r="I1444" s="1" t="n">
        <v>45946</v>
      </c>
      <c r="J1444" t="n">
        <v>0.5</v>
      </c>
      <c r="L1444">
        <f>IFERROR(LEFT(K1444,             FIND(",", K1444) - 1), "-")</f>
        <v/>
      </c>
      <c r="M1444">
        <f>IFERROR(MID(K1444,             FIND(",", K1444) + 1, LEN(K1444) - FIND(",", K1444)), K1444)</f>
        <v/>
      </c>
      <c r="N1444" t="n">
        <v>5</v>
      </c>
      <c r="P1444" t="inlineStr">
        <is>
          <t>13:00</t>
        </is>
      </c>
      <c r="Q1444" t="inlineStr">
        <is>
          <t>13:30</t>
        </is>
      </c>
    </row>
    <row r="1445">
      <c r="A1445" t="inlineStr">
        <is>
          <t>打保 しのぶ</t>
        </is>
      </c>
      <c r="B1445" t="inlineStr">
        <is>
          <t>TCNZ001:社内業務等</t>
        </is>
      </c>
      <c r="D1445">
        <f>L1445</f>
        <v/>
      </c>
      <c r="E1445">
        <f>SUMIFS(J:J, G:G,             A1445, H:H, B1445, L:L, L1445)</f>
        <v/>
      </c>
      <c r="F1445" t="inlineStr">
        <is>
          <t>48</t>
        </is>
      </c>
      <c r="G1445" t="inlineStr">
        <is>
          <t>打保 しのぶ</t>
        </is>
      </c>
      <c r="H1445" t="inlineStr">
        <is>
          <t>TCNZ001:社内業務等</t>
        </is>
      </c>
      <c r="I1445" s="1" t="n">
        <v>45951</v>
      </c>
      <c r="J1445" t="n">
        <v>0.5</v>
      </c>
      <c r="L1445">
        <f>IFERROR(LEFT(K1445,             FIND(",", K1445) - 1), "-")</f>
        <v/>
      </c>
      <c r="M1445">
        <f>IFERROR(MID(K1445,             FIND(",", K1445) + 1, LEN(K1445) - FIND(",", K1445)), K1445)</f>
        <v/>
      </c>
      <c r="N1445" t="n">
        <v>5</v>
      </c>
      <c r="P1445" t="inlineStr">
        <is>
          <t>16:30</t>
        </is>
      </c>
      <c r="Q1445" t="inlineStr">
        <is>
          <t>17:00</t>
        </is>
      </c>
    </row>
    <row r="1446">
      <c r="A1446" t="inlineStr">
        <is>
          <t>打保 しのぶ</t>
        </is>
      </c>
      <c r="B1446" t="inlineStr">
        <is>
          <t>TCNZ001:社内業務等</t>
        </is>
      </c>
      <c r="D1446">
        <f>L1446</f>
        <v/>
      </c>
      <c r="E1446">
        <f>SUMIFS(J:J, G:G,             A1446, H:H, B1446, L:L, L1446)</f>
        <v/>
      </c>
      <c r="F1446" t="inlineStr">
        <is>
          <t>48</t>
        </is>
      </c>
      <c r="G1446" t="inlineStr">
        <is>
          <t>打保 しのぶ</t>
        </is>
      </c>
      <c r="H1446" t="inlineStr">
        <is>
          <t>TCNZ001:社内業務等</t>
        </is>
      </c>
      <c r="I1446" s="1" t="n">
        <v>45953</v>
      </c>
      <c r="J1446" t="n">
        <v>0.5</v>
      </c>
      <c r="L1446">
        <f>IFERROR(LEFT(K1446,             FIND(",", K1446) - 1), "-")</f>
        <v/>
      </c>
      <c r="M1446">
        <f>IFERROR(MID(K1446,             FIND(",", K1446) + 1, LEN(K1446) - FIND(",", K1446)), K1446)</f>
        <v/>
      </c>
      <c r="N1446" t="n">
        <v>5</v>
      </c>
      <c r="P1446" t="inlineStr">
        <is>
          <t>16:00</t>
        </is>
      </c>
      <c r="Q1446" t="inlineStr">
        <is>
          <t>16:30</t>
        </is>
      </c>
    </row>
    <row r="1447">
      <c r="A1447" t="inlineStr">
        <is>
          <t>打保 しのぶ</t>
        </is>
      </c>
      <c r="B1447" t="inlineStr">
        <is>
          <t>ZZZE201:【営事】電子帳簿（営業）</t>
        </is>
      </c>
      <c r="C1447">
        <f>SUMIFS(J:J, G:G,             A1447, H:H, B1447)</f>
        <v/>
      </c>
      <c r="D1447">
        <f>L1447</f>
        <v/>
      </c>
      <c r="E1447">
        <f>SUMIFS(J:J, G:G,             A1447, H:H, B1447, L:L, L1447)</f>
        <v/>
      </c>
      <c r="F1447" t="inlineStr">
        <is>
          <t>48</t>
        </is>
      </c>
      <c r="G1447" t="inlineStr">
        <is>
          <t>打保 しのぶ</t>
        </is>
      </c>
      <c r="H1447" t="inlineStr">
        <is>
          <t>ZZZE201:【営事】電子帳簿（営業）</t>
        </is>
      </c>
      <c r="I1447" s="1" t="n">
        <v>45939</v>
      </c>
      <c r="J1447" t="n">
        <v>0.25</v>
      </c>
      <c r="K1447" t="inlineStr">
        <is>
          <t>ANA様、法学館様、島村楽器様請求書</t>
        </is>
      </c>
      <c r="L1447">
        <f>IFERROR(LEFT(K1447,             FIND(",", K1447) - 1), "-")</f>
        <v/>
      </c>
      <c r="M1447">
        <f>IFERROR(MID(K1447,             FIND(",", K1447) + 1, LEN(K1447) - FIND(",", K1447)), K1447)</f>
        <v/>
      </c>
      <c r="N1447" t="n">
        <v>4</v>
      </c>
      <c r="P1447" t="inlineStr">
        <is>
          <t>16:00</t>
        </is>
      </c>
      <c r="Q1447" t="inlineStr">
        <is>
          <t>16:15</t>
        </is>
      </c>
    </row>
    <row r="1448">
      <c r="A1448" t="inlineStr">
        <is>
          <t>打保 しのぶ</t>
        </is>
      </c>
      <c r="B1448" t="inlineStr">
        <is>
          <t>ZZZE201:【営事】電子帳簿（営業）</t>
        </is>
      </c>
      <c r="D1448">
        <f>L1448</f>
        <v/>
      </c>
      <c r="E1448">
        <f>SUMIFS(J:J, G:G,             A1448, H:H, B1448, L:L, L1448)</f>
        <v/>
      </c>
      <c r="F1448" t="inlineStr">
        <is>
          <t>48</t>
        </is>
      </c>
      <c r="G1448" t="inlineStr">
        <is>
          <t>打保 しのぶ</t>
        </is>
      </c>
      <c r="H1448" t="inlineStr">
        <is>
          <t>ZZZE201:【営事】電子帳簿（営業）</t>
        </is>
      </c>
      <c r="I1448" s="1" t="n">
        <v>45947</v>
      </c>
      <c r="J1448" t="n">
        <v>0.25</v>
      </c>
      <c r="K1448" t="inlineStr">
        <is>
          <t>発注書</t>
        </is>
      </c>
      <c r="L1448">
        <f>IFERROR(LEFT(K1448,             FIND(",", K1448) - 1), "-")</f>
        <v/>
      </c>
      <c r="M1448">
        <f>IFERROR(MID(K1448,             FIND(",", K1448) + 1, LEN(K1448) - FIND(",", K1448)), K1448)</f>
        <v/>
      </c>
      <c r="N1448" t="n">
        <v>4</v>
      </c>
      <c r="P1448" t="inlineStr">
        <is>
          <t>16:00</t>
        </is>
      </c>
      <c r="Q1448" t="inlineStr">
        <is>
          <t>16:15</t>
        </is>
      </c>
    </row>
    <row r="1449">
      <c r="A1449" t="inlineStr">
        <is>
          <t>打保 しのぶ</t>
        </is>
      </c>
      <c r="B1449" t="inlineStr">
        <is>
          <t>ZZZE201:【営事】電子帳簿（営業）</t>
        </is>
      </c>
      <c r="D1449">
        <f>L1449</f>
        <v/>
      </c>
      <c r="E1449">
        <f>SUMIFS(J:J, G:G,             A1449, H:H, B1449, L:L, L1449)</f>
        <v/>
      </c>
      <c r="F1449" t="inlineStr">
        <is>
          <t>48</t>
        </is>
      </c>
      <c r="G1449" t="inlineStr">
        <is>
          <t>打保 しのぶ</t>
        </is>
      </c>
      <c r="H1449" t="inlineStr">
        <is>
          <t>ZZZE201:【営事】電子帳簿（営業）</t>
        </is>
      </c>
      <c r="I1449" s="1" t="n">
        <v>45951</v>
      </c>
      <c r="J1449" t="n">
        <v>0.25</v>
      </c>
      <c r="K1449" t="inlineStr">
        <is>
          <t>発注書（クラウドサイン）</t>
        </is>
      </c>
      <c r="L1449">
        <f>IFERROR(LEFT(K1449,             FIND(",", K1449) - 1), "-")</f>
        <v/>
      </c>
      <c r="M1449">
        <f>IFERROR(MID(K1449,             FIND(",", K1449) + 1, LEN(K1449) - FIND(",", K1449)), K1449)</f>
        <v/>
      </c>
      <c r="N1449" t="n">
        <v>4</v>
      </c>
      <c r="P1449" t="inlineStr">
        <is>
          <t>10:30</t>
        </is>
      </c>
      <c r="Q1449" t="inlineStr">
        <is>
          <t>10:45</t>
        </is>
      </c>
    </row>
    <row r="1450">
      <c r="A1450" t="inlineStr">
        <is>
          <t>打保 しのぶ</t>
        </is>
      </c>
      <c r="B1450" t="inlineStr">
        <is>
          <t>ZZZE201:【営事】電子帳簿（営業）</t>
        </is>
      </c>
      <c r="D1450">
        <f>L1450</f>
        <v/>
      </c>
      <c r="E1450">
        <f>SUMIFS(J:J, G:G,             A1450, H:H, B1450, L:L, L1450)</f>
        <v/>
      </c>
      <c r="F1450" t="inlineStr">
        <is>
          <t>48</t>
        </is>
      </c>
      <c r="G1450" t="inlineStr">
        <is>
          <t>打保 しのぶ</t>
        </is>
      </c>
      <c r="H1450" t="inlineStr">
        <is>
          <t>ZZZE201:【営事】電子帳簿（営業）</t>
        </is>
      </c>
      <c r="I1450" s="1" t="n">
        <v>45933</v>
      </c>
      <c r="J1450" t="n">
        <v>0.25</v>
      </c>
      <c r="K1450" t="inlineStr">
        <is>
          <t>見積書</t>
        </is>
      </c>
      <c r="L1450">
        <f>IFERROR(LEFT(K1450,             FIND(",", K1450) - 1), "-")</f>
        <v/>
      </c>
      <c r="M1450">
        <f>IFERROR(MID(K1450,             FIND(",", K1450) + 1, LEN(K1450) - FIND(",", K1450)), K1450)</f>
        <v/>
      </c>
      <c r="N1450" t="n">
        <v>4</v>
      </c>
      <c r="P1450" t="inlineStr">
        <is>
          <t>16:00</t>
        </is>
      </c>
      <c r="Q1450" t="inlineStr">
        <is>
          <t>16:15</t>
        </is>
      </c>
    </row>
    <row r="1451">
      <c r="A1451" t="inlineStr">
        <is>
          <t>打保 しのぶ</t>
        </is>
      </c>
      <c r="B1451" t="inlineStr">
        <is>
          <t>ZZZE201:【営事】電子帳簿（営業）</t>
        </is>
      </c>
      <c r="D1451">
        <f>L1451</f>
        <v/>
      </c>
      <c r="E1451">
        <f>SUMIFS(J:J, G:G,             A1451, H:H, B1451, L:L, L1451)</f>
        <v/>
      </c>
      <c r="F1451" t="inlineStr">
        <is>
          <t>48</t>
        </is>
      </c>
      <c r="G1451" t="inlineStr">
        <is>
          <t>打保 しのぶ</t>
        </is>
      </c>
      <c r="H1451" t="inlineStr">
        <is>
          <t>ZZZE201:【営事】電子帳簿（営業）</t>
        </is>
      </c>
      <c r="I1451" s="1" t="n">
        <v>45951</v>
      </c>
      <c r="J1451" t="n">
        <v>0.25</v>
      </c>
      <c r="K1451" t="inlineStr">
        <is>
          <t>見積書</t>
        </is>
      </c>
      <c r="L1451">
        <f>IFERROR(LEFT(K1451,             FIND(",", K1451) - 1), "-")</f>
        <v/>
      </c>
      <c r="M1451">
        <f>IFERROR(MID(K1451,             FIND(",", K1451) + 1, LEN(K1451) - FIND(",", K1451)), K1451)</f>
        <v/>
      </c>
      <c r="N1451" t="n">
        <v>4</v>
      </c>
      <c r="P1451" t="inlineStr">
        <is>
          <t>10:45</t>
        </is>
      </c>
      <c r="Q1451" t="inlineStr">
        <is>
          <t>11:00</t>
        </is>
      </c>
    </row>
    <row r="1452">
      <c r="A1452" t="inlineStr">
        <is>
          <t>打保 しのぶ</t>
        </is>
      </c>
      <c r="B1452" t="inlineStr">
        <is>
          <t>ZZZE201:【営事】電子帳簿（営業）</t>
        </is>
      </c>
      <c r="D1452">
        <f>L1452</f>
        <v/>
      </c>
      <c r="E1452">
        <f>SUMIFS(J:J, G:G,             A1452, H:H, B1452, L:L, L1452)</f>
        <v/>
      </c>
      <c r="F1452" t="inlineStr">
        <is>
          <t>48</t>
        </is>
      </c>
      <c r="G1452" t="inlineStr">
        <is>
          <t>打保 しのぶ</t>
        </is>
      </c>
      <c r="H1452" t="inlineStr">
        <is>
          <t>ZZZE201:【営事】電子帳簿（営業）</t>
        </is>
      </c>
      <c r="I1452" s="1" t="n">
        <v>45953</v>
      </c>
      <c r="J1452" t="n">
        <v>0.25</v>
      </c>
      <c r="K1452" t="inlineStr">
        <is>
          <t>見積書</t>
        </is>
      </c>
      <c r="L1452">
        <f>IFERROR(LEFT(K1452,             FIND(",", K1452) - 1), "-")</f>
        <v/>
      </c>
      <c r="M1452">
        <f>IFERROR(MID(K1452,             FIND(",", K1452) + 1, LEN(K1452) - FIND(",", K1452)), K1452)</f>
        <v/>
      </c>
      <c r="N1452" t="n">
        <v>4</v>
      </c>
      <c r="P1452" t="inlineStr">
        <is>
          <t>15:45</t>
        </is>
      </c>
      <c r="Q1452" t="inlineStr">
        <is>
          <t>16:00</t>
        </is>
      </c>
    </row>
    <row r="1453">
      <c r="A1453" t="inlineStr">
        <is>
          <t>打保 しのぶ</t>
        </is>
      </c>
      <c r="B1453" t="inlineStr">
        <is>
          <t>ZZZE201:【営事】電子帳簿（営業）</t>
        </is>
      </c>
      <c r="D1453">
        <f>L1453</f>
        <v/>
      </c>
      <c r="E1453">
        <f>SUMIFS(J:J, G:G,             A1453, H:H, B1453, L:L, L1453)</f>
        <v/>
      </c>
      <c r="F1453" t="inlineStr">
        <is>
          <t>48</t>
        </is>
      </c>
      <c r="G1453" t="inlineStr">
        <is>
          <t>打保 しのぶ</t>
        </is>
      </c>
      <c r="H1453" t="inlineStr">
        <is>
          <t>ZZZE201:【営事】電子帳簿（営業）</t>
        </is>
      </c>
      <c r="I1453" s="1" t="n">
        <v>45946</v>
      </c>
      <c r="J1453" t="n">
        <v>0.5</v>
      </c>
      <c r="K1453" t="inlineStr">
        <is>
          <t>見積書、発注書</t>
        </is>
      </c>
      <c r="L1453">
        <f>IFERROR(LEFT(K1453,             FIND(",", K1453) - 1), "-")</f>
        <v/>
      </c>
      <c r="M1453">
        <f>IFERROR(MID(K1453,             FIND(",", K1453) + 1, LEN(K1453) - FIND(",", K1453)), K1453)</f>
        <v/>
      </c>
      <c r="N1453" t="n">
        <v>4</v>
      </c>
      <c r="P1453" t="inlineStr">
        <is>
          <t>17:00</t>
        </is>
      </c>
      <c r="Q1453" t="inlineStr">
        <is>
          <t>17:30</t>
        </is>
      </c>
    </row>
    <row r="1454">
      <c r="A1454" t="inlineStr">
        <is>
          <t>打保 しのぶ</t>
        </is>
      </c>
      <c r="B1454" t="inlineStr">
        <is>
          <t>ZZZE201:【営事】電子帳簿（営業）</t>
        </is>
      </c>
      <c r="D1454">
        <f>L1454</f>
        <v/>
      </c>
      <c r="E1454">
        <f>SUMIFS(J:J, G:G,             A1454, H:H, B1454, L:L, L1454)</f>
        <v/>
      </c>
      <c r="F1454" t="inlineStr">
        <is>
          <t>48</t>
        </is>
      </c>
      <c r="G1454" t="inlineStr">
        <is>
          <t>打保 しのぶ</t>
        </is>
      </c>
      <c r="H1454" t="inlineStr">
        <is>
          <t>ZZZE201:【営事】電子帳簿（営業）</t>
        </is>
      </c>
      <c r="I1454" s="1" t="n">
        <v>45936</v>
      </c>
      <c r="J1454" t="n">
        <v>0.25</v>
      </c>
      <c r="K1454" t="inlineStr">
        <is>
          <t>請求書</t>
        </is>
      </c>
      <c r="L1454">
        <f>IFERROR(LEFT(K1454,             FIND(",", K1454) - 1), "-")</f>
        <v/>
      </c>
      <c r="M1454">
        <f>IFERROR(MID(K1454,             FIND(",", K1454) + 1, LEN(K1454) - FIND(",", K1454)), K1454)</f>
        <v/>
      </c>
      <c r="N1454" t="n">
        <v>4</v>
      </c>
      <c r="P1454" t="inlineStr">
        <is>
          <t>10:00</t>
        </is>
      </c>
      <c r="Q1454" t="inlineStr">
        <is>
          <t>10:15</t>
        </is>
      </c>
    </row>
    <row r="1455">
      <c r="A1455" t="inlineStr">
        <is>
          <t>打保 しのぶ</t>
        </is>
      </c>
      <c r="B1455" t="inlineStr">
        <is>
          <t>ZZZE201:【営事】電子帳簿（営業）</t>
        </is>
      </c>
      <c r="D1455">
        <f>L1455</f>
        <v/>
      </c>
      <c r="E1455">
        <f>SUMIFS(J:J, G:G,             A1455, H:H, B1455, L:L, L1455)</f>
        <v/>
      </c>
      <c r="F1455" t="inlineStr">
        <is>
          <t>48</t>
        </is>
      </c>
      <c r="G1455" t="inlineStr">
        <is>
          <t>打保 しのぶ</t>
        </is>
      </c>
      <c r="H1455" t="inlineStr">
        <is>
          <t>ZZZE201:【営事】電子帳簿（営業）</t>
        </is>
      </c>
      <c r="I1455" s="1" t="n">
        <v>45936</v>
      </c>
      <c r="J1455" t="n">
        <v>0.25</v>
      </c>
      <c r="L1455">
        <f>IFERROR(LEFT(K1455,             FIND(",", K1455) - 1), "-")</f>
        <v/>
      </c>
      <c r="M1455">
        <f>IFERROR(MID(K1455,             FIND(",", K1455) + 1, LEN(K1455) - FIND(",", K1455)), K1455)</f>
        <v/>
      </c>
      <c r="N1455" t="n">
        <v>4</v>
      </c>
      <c r="P1455" t="inlineStr">
        <is>
          <t>09:30</t>
        </is>
      </c>
      <c r="Q1455" t="inlineStr">
        <is>
          <t>09:45</t>
        </is>
      </c>
    </row>
    <row r="1456">
      <c r="A1456" t="inlineStr">
        <is>
          <t>打保 しのぶ</t>
        </is>
      </c>
      <c r="B1456" t="inlineStr">
        <is>
          <t>ZZZE201:【営事】電子帳簿（営業）</t>
        </is>
      </c>
      <c r="D1456">
        <f>L1456</f>
        <v/>
      </c>
      <c r="E1456">
        <f>SUMIFS(J:J, G:G,             A1456, H:H, B1456, L:L, L1456)</f>
        <v/>
      </c>
      <c r="F1456" t="inlineStr">
        <is>
          <t>48</t>
        </is>
      </c>
      <c r="G1456" t="inlineStr">
        <is>
          <t>打保 しのぶ</t>
        </is>
      </c>
      <c r="H1456" t="inlineStr">
        <is>
          <t>ZZZE201:【営事】電子帳簿（営業）</t>
        </is>
      </c>
      <c r="I1456" s="1" t="n">
        <v>45937</v>
      </c>
      <c r="J1456" t="n">
        <v>0.25</v>
      </c>
      <c r="L1456">
        <f>IFERROR(LEFT(K1456,             FIND(",", K1456) - 1), "-")</f>
        <v/>
      </c>
      <c r="M1456">
        <f>IFERROR(MID(K1456,             FIND(",", K1456) + 1, LEN(K1456) - FIND(",", K1456)), K1456)</f>
        <v/>
      </c>
      <c r="N1456" t="n">
        <v>4</v>
      </c>
      <c r="P1456" t="inlineStr">
        <is>
          <t>09:30</t>
        </is>
      </c>
      <c r="Q1456" t="inlineStr">
        <is>
          <t>09:45</t>
        </is>
      </c>
    </row>
    <row r="1457">
      <c r="A1457" t="inlineStr">
        <is>
          <t>打保 しのぶ</t>
        </is>
      </c>
      <c r="B1457" t="inlineStr">
        <is>
          <t>ZZZE205:【営事】請求書作成・送付（定型）</t>
        </is>
      </c>
      <c r="C1457">
        <f>SUMIFS(J:J, G:G,             A1457, H:H, B1457)</f>
        <v/>
      </c>
      <c r="D1457">
        <f>L1457</f>
        <v/>
      </c>
      <c r="E1457">
        <f>SUMIFS(J:J, G:G,             A1457, H:H, B1457, L:L, L1457)</f>
        <v/>
      </c>
      <c r="F1457" t="inlineStr">
        <is>
          <t>48</t>
        </is>
      </c>
      <c r="G1457" t="inlineStr">
        <is>
          <t>打保 しのぶ</t>
        </is>
      </c>
      <c r="H1457" t="inlineStr">
        <is>
          <t>ZZZE205:【営事】請求書作成・送付（定型）</t>
        </is>
      </c>
      <c r="I1457" s="1" t="n">
        <v>45947</v>
      </c>
      <c r="J1457" t="n">
        <v>2</v>
      </c>
      <c r="K1457" t="inlineStr">
        <is>
          <t>ヤマハ様</t>
        </is>
      </c>
      <c r="L1457">
        <f>IFERROR(LEFT(K1457,             FIND(",", K1457) - 1), "-")</f>
        <v/>
      </c>
      <c r="M1457">
        <f>IFERROR(MID(K1457,             FIND(",", K1457) + 1, LEN(K1457) - FIND(",", K1457)), K1457)</f>
        <v/>
      </c>
      <c r="N1457" t="n">
        <v>4</v>
      </c>
      <c r="P1457" t="inlineStr">
        <is>
          <t>14:00</t>
        </is>
      </c>
      <c r="Q1457" t="inlineStr">
        <is>
          <t>16:00</t>
        </is>
      </c>
    </row>
    <row r="1458">
      <c r="A1458" t="inlineStr">
        <is>
          <t>打保 しのぶ</t>
        </is>
      </c>
      <c r="B1458" t="inlineStr">
        <is>
          <t>ZZZE205:【営事】請求書作成・送付（定型）</t>
        </is>
      </c>
      <c r="D1458">
        <f>L1458</f>
        <v/>
      </c>
      <c r="E1458">
        <f>SUMIFS(J:J, G:G,             A1458, H:H, B1458, L:L, L1458)</f>
        <v/>
      </c>
      <c r="F1458" t="inlineStr">
        <is>
          <t>48</t>
        </is>
      </c>
      <c r="G1458" t="inlineStr">
        <is>
          <t>打保 しのぶ</t>
        </is>
      </c>
      <c r="H1458" t="inlineStr">
        <is>
          <t>ZZZE205:【営事】請求書作成・送付（定型）</t>
        </is>
      </c>
      <c r="I1458" s="1" t="n">
        <v>45950</v>
      </c>
      <c r="J1458" t="n">
        <v>1.5</v>
      </c>
      <c r="K1458" t="inlineStr">
        <is>
          <t>ヤマハ様</t>
        </is>
      </c>
      <c r="L1458">
        <f>IFERROR(LEFT(K1458,             FIND(",", K1458) - 1), "-")</f>
        <v/>
      </c>
      <c r="M1458">
        <f>IFERROR(MID(K1458,             FIND(",", K1458) + 1, LEN(K1458) - FIND(",", K1458)), K1458)</f>
        <v/>
      </c>
      <c r="N1458" t="n">
        <v>4</v>
      </c>
      <c r="P1458" t="inlineStr">
        <is>
          <t>14:30</t>
        </is>
      </c>
      <c r="Q1458" t="inlineStr">
        <is>
          <t>16:00</t>
        </is>
      </c>
    </row>
    <row r="1459">
      <c r="A1459" t="inlineStr">
        <is>
          <t>打保 しのぶ</t>
        </is>
      </c>
      <c r="B1459" t="inlineStr">
        <is>
          <t>ZZZE205:【営事】請求書作成・送付（定型）</t>
        </is>
      </c>
      <c r="D1459">
        <f>L1459</f>
        <v/>
      </c>
      <c r="E1459">
        <f>SUMIFS(J:J, G:G,             A1459, H:H, B1459, L:L, L1459)</f>
        <v/>
      </c>
      <c r="F1459" t="inlineStr">
        <is>
          <t>48</t>
        </is>
      </c>
      <c r="G1459" t="inlineStr">
        <is>
          <t>打保 しのぶ</t>
        </is>
      </c>
      <c r="H1459" t="inlineStr">
        <is>
          <t>ZZZE205:【営事】請求書作成・送付（定型）</t>
        </is>
      </c>
      <c r="I1459" s="1" t="n">
        <v>45939</v>
      </c>
      <c r="J1459" t="n">
        <v>1.75</v>
      </c>
      <c r="K1459" t="inlineStr">
        <is>
          <t>月額請求書</t>
        </is>
      </c>
      <c r="L1459">
        <f>IFERROR(LEFT(K1459,             FIND(",", K1459) - 1), "-")</f>
        <v/>
      </c>
      <c r="M1459">
        <f>IFERROR(MID(K1459,             FIND(",", K1459) + 1, LEN(K1459) - FIND(",", K1459)), K1459)</f>
        <v/>
      </c>
      <c r="N1459" t="n">
        <v>4</v>
      </c>
      <c r="P1459" t="inlineStr">
        <is>
          <t>14:00</t>
        </is>
      </c>
      <c r="Q1459" t="inlineStr">
        <is>
          <t>15:45</t>
        </is>
      </c>
    </row>
    <row r="1460">
      <c r="A1460" t="inlineStr">
        <is>
          <t>打保 しのぶ</t>
        </is>
      </c>
      <c r="B1460" t="inlineStr">
        <is>
          <t>ZZZE205:【営事】請求書作成・送付（定型）</t>
        </is>
      </c>
      <c r="D1460">
        <f>L1460</f>
        <v/>
      </c>
      <c r="E1460">
        <f>SUMIFS(J:J, G:G,             A1460, H:H, B1460, L:L, L1460)</f>
        <v/>
      </c>
      <c r="F1460" t="inlineStr">
        <is>
          <t>48</t>
        </is>
      </c>
      <c r="G1460" t="inlineStr">
        <is>
          <t>打保 しのぶ</t>
        </is>
      </c>
      <c r="H1460" t="inlineStr">
        <is>
          <t>ZZZE205:【営事】請求書作成・送付（定型）</t>
        </is>
      </c>
      <c r="I1460" s="1" t="n">
        <v>45946</v>
      </c>
      <c r="J1460" t="n">
        <v>0.5</v>
      </c>
      <c r="K1460" t="inlineStr">
        <is>
          <t>音楽院様請求書</t>
        </is>
      </c>
      <c r="L1460">
        <f>IFERROR(LEFT(K1460,             FIND(",", K1460) - 1), "-")</f>
        <v/>
      </c>
      <c r="M1460">
        <f>IFERROR(MID(K1460,             FIND(",", K1460) + 1, LEN(K1460) - FIND(",", K1460)), K1460)</f>
        <v/>
      </c>
      <c r="N1460" t="n">
        <v>4</v>
      </c>
      <c r="P1460" t="inlineStr">
        <is>
          <t>11:15</t>
        </is>
      </c>
      <c r="Q1460" t="inlineStr">
        <is>
          <t>11:45</t>
        </is>
      </c>
    </row>
    <row r="1461">
      <c r="A1461" t="inlineStr">
        <is>
          <t>打保 しのぶ</t>
        </is>
      </c>
      <c r="B1461" t="inlineStr">
        <is>
          <t>ZZZE205:【営事】請求書作成・送付（定型）</t>
        </is>
      </c>
      <c r="D1461">
        <f>L1461</f>
        <v/>
      </c>
      <c r="E1461">
        <f>SUMIFS(J:J, G:G,             A1461, H:H, B1461, L:L, L1461)</f>
        <v/>
      </c>
      <c r="F1461" t="inlineStr">
        <is>
          <t>48</t>
        </is>
      </c>
      <c r="G1461" t="inlineStr">
        <is>
          <t>打保 しのぶ</t>
        </is>
      </c>
      <c r="H1461" t="inlineStr">
        <is>
          <t>ZZZE205:【営事】請求書作成・送付（定型）</t>
        </is>
      </c>
      <c r="I1461" s="1" t="n">
        <v>45946</v>
      </c>
      <c r="J1461" t="n">
        <v>0.5</v>
      </c>
      <c r="K1461" t="inlineStr">
        <is>
          <t>音楽院様送信、発送準備</t>
        </is>
      </c>
      <c r="L1461">
        <f>IFERROR(LEFT(K1461,             FIND(",", K1461) - 1), "-")</f>
        <v/>
      </c>
      <c r="M1461">
        <f>IFERROR(MID(K1461,             FIND(",", K1461) + 1, LEN(K1461) - FIND(",", K1461)), K1461)</f>
        <v/>
      </c>
      <c r="N1461" t="n">
        <v>4</v>
      </c>
      <c r="P1461" t="inlineStr">
        <is>
          <t>13:30</t>
        </is>
      </c>
      <c r="Q1461" t="inlineStr">
        <is>
          <t>14:00</t>
        </is>
      </c>
    </row>
    <row r="1462">
      <c r="A1462" t="inlineStr">
        <is>
          <t>打保 しのぶ</t>
        </is>
      </c>
      <c r="B1462" t="inlineStr">
        <is>
          <t>ZZZE210:【営事】見込み客データ入力</t>
        </is>
      </c>
      <c r="C1462">
        <f>SUMIFS(J:J, G:G,             A1462, H:H, B1462)</f>
        <v/>
      </c>
      <c r="D1462">
        <f>L1462</f>
        <v/>
      </c>
      <c r="E1462">
        <f>SUMIFS(J:J, G:G,             A1462, H:H, B1462, L:L, L1462)</f>
        <v/>
      </c>
      <c r="F1462" t="inlineStr">
        <is>
          <t>48</t>
        </is>
      </c>
      <c r="G1462" t="inlineStr">
        <is>
          <t>打保 しのぶ</t>
        </is>
      </c>
      <c r="H1462" t="inlineStr">
        <is>
          <t>ZZZE210:【営事】見込み客データ入力</t>
        </is>
      </c>
      <c r="I1462" s="1" t="n">
        <v>45936</v>
      </c>
      <c r="J1462" t="n">
        <v>0.5</v>
      </c>
      <c r="L1462">
        <f>IFERROR(LEFT(K1462,             FIND(",", K1462) - 1), "-")</f>
        <v/>
      </c>
      <c r="M1462">
        <f>IFERROR(MID(K1462,             FIND(",", K1462) + 1, LEN(K1462) - FIND(",", K1462)), K1462)</f>
        <v/>
      </c>
      <c r="N1462" t="n">
        <v>4</v>
      </c>
      <c r="P1462" t="inlineStr">
        <is>
          <t>10:30</t>
        </is>
      </c>
      <c r="Q1462" t="inlineStr">
        <is>
          <t>11:00</t>
        </is>
      </c>
    </row>
    <row r="1463">
      <c r="A1463" t="inlineStr">
        <is>
          <t>打保 しのぶ</t>
        </is>
      </c>
      <c r="B1463" t="inlineStr">
        <is>
          <t>ZZZE210:【営事】見込み客データ入力</t>
        </is>
      </c>
      <c r="D1463">
        <f>L1463</f>
        <v/>
      </c>
      <c r="E1463">
        <f>SUMIFS(J:J, G:G,             A1463, H:H, B1463, L:L, L1463)</f>
        <v/>
      </c>
      <c r="F1463" t="inlineStr">
        <is>
          <t>48</t>
        </is>
      </c>
      <c r="G1463" t="inlineStr">
        <is>
          <t>打保 しのぶ</t>
        </is>
      </c>
      <c r="H1463" t="inlineStr">
        <is>
          <t>ZZZE210:【営事】見込み客データ入力</t>
        </is>
      </c>
      <c r="I1463" s="1" t="n">
        <v>45939</v>
      </c>
      <c r="J1463" t="n">
        <v>0.25</v>
      </c>
      <c r="L1463">
        <f>IFERROR(LEFT(K1463,             FIND(",", K1463) - 1), "-")</f>
        <v/>
      </c>
      <c r="M1463">
        <f>IFERROR(MID(K1463,             FIND(",", K1463) + 1, LEN(K1463) - FIND(",", K1463)), K1463)</f>
        <v/>
      </c>
      <c r="N1463" t="n">
        <v>4</v>
      </c>
      <c r="P1463" t="inlineStr">
        <is>
          <t>13:00</t>
        </is>
      </c>
      <c r="Q1463" t="inlineStr">
        <is>
          <t>13:15</t>
        </is>
      </c>
    </row>
    <row r="1464">
      <c r="A1464" t="inlineStr">
        <is>
          <t>打保 しのぶ</t>
        </is>
      </c>
      <c r="B1464" t="inlineStr">
        <is>
          <t>ZZZE210:【営事】見込み客データ入力</t>
        </is>
      </c>
      <c r="D1464">
        <f>L1464</f>
        <v/>
      </c>
      <c r="E1464">
        <f>SUMIFS(J:J, G:G,             A1464, H:H, B1464, L:L, L1464)</f>
        <v/>
      </c>
      <c r="F1464" t="inlineStr">
        <is>
          <t>48</t>
        </is>
      </c>
      <c r="G1464" t="inlineStr">
        <is>
          <t>打保 しのぶ</t>
        </is>
      </c>
      <c r="H1464" t="inlineStr">
        <is>
          <t>ZZZE210:【営事】見込み客データ入力</t>
        </is>
      </c>
      <c r="I1464" s="1" t="n">
        <v>45940</v>
      </c>
      <c r="J1464" t="n">
        <v>0.25</v>
      </c>
      <c r="L1464">
        <f>IFERROR(LEFT(K1464,             FIND(",", K1464) - 1), "-")</f>
        <v/>
      </c>
      <c r="M1464">
        <f>IFERROR(MID(K1464,             FIND(",", K1464) + 1, LEN(K1464) - FIND(",", K1464)), K1464)</f>
        <v/>
      </c>
      <c r="N1464" t="n">
        <v>4</v>
      </c>
      <c r="P1464" t="inlineStr">
        <is>
          <t>09:15</t>
        </is>
      </c>
      <c r="Q1464" t="inlineStr">
        <is>
          <t>09:30</t>
        </is>
      </c>
    </row>
    <row r="1465">
      <c r="A1465" t="inlineStr">
        <is>
          <t>打保 しのぶ</t>
        </is>
      </c>
      <c r="B1465" t="inlineStr">
        <is>
          <t>ZZZE210:【営事】見込み客データ入力</t>
        </is>
      </c>
      <c r="D1465">
        <f>L1465</f>
        <v/>
      </c>
      <c r="E1465">
        <f>SUMIFS(J:J, G:G,             A1465, H:H, B1465, L:L, L1465)</f>
        <v/>
      </c>
      <c r="F1465" t="inlineStr">
        <is>
          <t>48</t>
        </is>
      </c>
      <c r="G1465" t="inlineStr">
        <is>
          <t>打保 しのぶ</t>
        </is>
      </c>
      <c r="H1465" t="inlineStr">
        <is>
          <t>ZZZE210:【営事】見込み客データ入力</t>
        </is>
      </c>
      <c r="I1465" s="1" t="n">
        <v>45946</v>
      </c>
      <c r="J1465" t="n">
        <v>0.25</v>
      </c>
      <c r="L1465">
        <f>IFERROR(LEFT(K1465,             FIND(",", K1465) - 1), "-")</f>
        <v/>
      </c>
      <c r="M1465">
        <f>IFERROR(MID(K1465,             FIND(",", K1465) + 1, LEN(K1465) - FIND(",", K1465)), K1465)</f>
        <v/>
      </c>
      <c r="N1465" t="n">
        <v>4</v>
      </c>
      <c r="P1465" t="inlineStr">
        <is>
          <t>16:00</t>
        </is>
      </c>
      <c r="Q1465" t="inlineStr">
        <is>
          <t>16:15</t>
        </is>
      </c>
    </row>
    <row r="1466">
      <c r="A1466" t="inlineStr">
        <is>
          <t>打保 しのぶ</t>
        </is>
      </c>
      <c r="B1466" t="inlineStr">
        <is>
          <t>ZZZE210:【営事】見込み客データ入力</t>
        </is>
      </c>
      <c r="D1466">
        <f>L1466</f>
        <v/>
      </c>
      <c r="E1466">
        <f>SUMIFS(J:J, G:G,             A1466, H:H, B1466, L:L, L1466)</f>
        <v/>
      </c>
      <c r="F1466" t="inlineStr">
        <is>
          <t>48</t>
        </is>
      </c>
      <c r="G1466" t="inlineStr">
        <is>
          <t>打保 しのぶ</t>
        </is>
      </c>
      <c r="H1466" t="inlineStr">
        <is>
          <t>ZZZE210:【営事】見込み客データ入力</t>
        </is>
      </c>
      <c r="I1466" s="1" t="n">
        <v>45947</v>
      </c>
      <c r="J1466" t="n">
        <v>0.25</v>
      </c>
      <c r="L1466">
        <f>IFERROR(LEFT(K1466,             FIND(",", K1466) - 1), "-")</f>
        <v/>
      </c>
      <c r="M1466">
        <f>IFERROR(MID(K1466,             FIND(",", K1466) + 1, LEN(K1466) - FIND(",", K1466)), K1466)</f>
        <v/>
      </c>
      <c r="N1466" t="n">
        <v>4</v>
      </c>
      <c r="P1466" t="inlineStr">
        <is>
          <t>11:00</t>
        </is>
      </c>
      <c r="Q1466" t="inlineStr">
        <is>
          <t>11:15</t>
        </is>
      </c>
    </row>
    <row r="1467">
      <c r="A1467" t="inlineStr">
        <is>
          <t>打保 しのぶ</t>
        </is>
      </c>
      <c r="B1467" t="inlineStr">
        <is>
          <t>ZZZE210:【営事】見込み客データ入力</t>
        </is>
      </c>
      <c r="D1467">
        <f>L1467</f>
        <v/>
      </c>
      <c r="E1467">
        <f>SUMIFS(J:J, G:G,             A1467, H:H, B1467, L:L, L1467)</f>
        <v/>
      </c>
      <c r="F1467" t="inlineStr">
        <is>
          <t>48</t>
        </is>
      </c>
      <c r="G1467" t="inlineStr">
        <is>
          <t>打保 しのぶ</t>
        </is>
      </c>
      <c r="H1467" t="inlineStr">
        <is>
          <t>ZZZE210:【営事】見込み客データ入力</t>
        </is>
      </c>
      <c r="I1467" s="1" t="n">
        <v>45950</v>
      </c>
      <c r="J1467" t="n">
        <v>0.25</v>
      </c>
      <c r="L1467">
        <f>IFERROR(LEFT(K1467,             FIND(",", K1467) - 1), "-")</f>
        <v/>
      </c>
      <c r="M1467">
        <f>IFERROR(MID(K1467,             FIND(",", K1467) + 1, LEN(K1467) - FIND(",", K1467)), K1467)</f>
        <v/>
      </c>
      <c r="N1467" t="n">
        <v>4</v>
      </c>
      <c r="P1467" t="inlineStr">
        <is>
          <t>10:45</t>
        </is>
      </c>
      <c r="Q1467" t="inlineStr">
        <is>
          <t>11:00</t>
        </is>
      </c>
    </row>
    <row r="1468">
      <c r="A1468" t="inlineStr">
        <is>
          <t>打保 しのぶ</t>
        </is>
      </c>
      <c r="B1468" t="inlineStr">
        <is>
          <t>ZZZE210:【営事】見込み客データ入力</t>
        </is>
      </c>
      <c r="D1468">
        <f>L1468</f>
        <v/>
      </c>
      <c r="E1468">
        <f>SUMIFS(J:J, G:G,             A1468, H:H, B1468, L:L, L1468)</f>
        <v/>
      </c>
      <c r="F1468" t="inlineStr">
        <is>
          <t>48</t>
        </is>
      </c>
      <c r="G1468" t="inlineStr">
        <is>
          <t>打保 しのぶ</t>
        </is>
      </c>
      <c r="H1468" t="inlineStr">
        <is>
          <t>ZZZE210:【営事】見込み客データ入力</t>
        </is>
      </c>
      <c r="I1468" s="1" t="n">
        <v>45951</v>
      </c>
      <c r="J1468" t="n">
        <v>0.25</v>
      </c>
      <c r="L1468">
        <f>IFERROR(LEFT(K1468,             FIND(",", K1468) - 1), "-")</f>
        <v/>
      </c>
      <c r="M1468">
        <f>IFERROR(MID(K1468,             FIND(",", K1468) + 1, LEN(K1468) - FIND(",", K1468)), K1468)</f>
        <v/>
      </c>
      <c r="N1468" t="n">
        <v>4</v>
      </c>
      <c r="P1468" t="inlineStr">
        <is>
          <t>17:00</t>
        </is>
      </c>
      <c r="Q1468" t="inlineStr">
        <is>
          <t>17:15</t>
        </is>
      </c>
    </row>
    <row r="1469">
      <c r="A1469" t="inlineStr">
        <is>
          <t>打保 しのぶ</t>
        </is>
      </c>
      <c r="B1469" t="inlineStr">
        <is>
          <t>ZZZE210:【営事】見込み客データ入力</t>
        </is>
      </c>
      <c r="D1469">
        <f>L1469</f>
        <v/>
      </c>
      <c r="E1469">
        <f>SUMIFS(J:J, G:G,             A1469, H:H, B1469, L:L, L1469)</f>
        <v/>
      </c>
      <c r="F1469" t="inlineStr">
        <is>
          <t>48</t>
        </is>
      </c>
      <c r="G1469" t="inlineStr">
        <is>
          <t>打保 しのぶ</t>
        </is>
      </c>
      <c r="H1469" t="inlineStr">
        <is>
          <t>ZZZE210:【営事】見込み客データ入力</t>
        </is>
      </c>
      <c r="I1469" s="1" t="n">
        <v>45953</v>
      </c>
      <c r="J1469" t="n">
        <v>0.25</v>
      </c>
      <c r="L1469">
        <f>IFERROR(LEFT(K1469,             FIND(",", K1469) - 1), "-")</f>
        <v/>
      </c>
      <c r="M1469">
        <f>IFERROR(MID(K1469,             FIND(",", K1469) + 1, LEN(K1469) - FIND(",", K1469)), K1469)</f>
        <v/>
      </c>
      <c r="N1469" t="n">
        <v>4</v>
      </c>
      <c r="P1469" t="inlineStr">
        <is>
          <t>09:45</t>
        </is>
      </c>
      <c r="Q1469" t="inlineStr">
        <is>
          <t>10:00</t>
        </is>
      </c>
    </row>
    <row r="1470">
      <c r="A1470" t="inlineStr">
        <is>
          <t>打保 しのぶ</t>
        </is>
      </c>
      <c r="B1470" t="inlineStr">
        <is>
          <t>ZZZE210:【営事】見込み客データ入力</t>
        </is>
      </c>
      <c r="D1470">
        <f>L1470</f>
        <v/>
      </c>
      <c r="E1470">
        <f>SUMIFS(J:J, G:G,             A1470, H:H, B1470, L:L, L1470)</f>
        <v/>
      </c>
      <c r="F1470" t="inlineStr">
        <is>
          <t>48</t>
        </is>
      </c>
      <c r="G1470" t="inlineStr">
        <is>
          <t>打保 しのぶ</t>
        </is>
      </c>
      <c r="H1470" t="inlineStr">
        <is>
          <t>ZZZE210:【営事】見込み客データ入力</t>
        </is>
      </c>
      <c r="I1470" s="1" t="n">
        <v>45953</v>
      </c>
      <c r="J1470" t="n">
        <v>0.25</v>
      </c>
      <c r="L1470">
        <f>IFERROR(LEFT(K1470,             FIND(",", K1470) - 1), "-")</f>
        <v/>
      </c>
      <c r="M1470">
        <f>IFERROR(MID(K1470,             FIND(",", K1470) + 1, LEN(K1470) - FIND(",", K1470)), K1470)</f>
        <v/>
      </c>
      <c r="N1470" t="n">
        <v>4</v>
      </c>
      <c r="P1470" t="inlineStr">
        <is>
          <t>10:15</t>
        </is>
      </c>
      <c r="Q1470" t="inlineStr">
        <is>
          <t>10:30</t>
        </is>
      </c>
    </row>
    <row r="1471">
      <c r="A1471" t="inlineStr">
        <is>
          <t>打保 しのぶ</t>
        </is>
      </c>
      <c r="B1471" t="inlineStr">
        <is>
          <t>ZZZE210:【営事】見込み客データ入力</t>
        </is>
      </c>
      <c r="D1471">
        <f>L1471</f>
        <v/>
      </c>
      <c r="E1471">
        <f>SUMIFS(J:J, G:G,             A1471, H:H, B1471, L:L, L1471)</f>
        <v/>
      </c>
      <c r="F1471" t="inlineStr">
        <is>
          <t>48</t>
        </is>
      </c>
      <c r="G1471" t="inlineStr">
        <is>
          <t>打保 しのぶ</t>
        </is>
      </c>
      <c r="H1471" t="inlineStr">
        <is>
          <t>ZZZE210:【営事】見込み客データ入力</t>
        </is>
      </c>
      <c r="I1471" s="1" t="n">
        <v>45953</v>
      </c>
      <c r="J1471" t="n">
        <v>0.25</v>
      </c>
      <c r="L1471">
        <f>IFERROR(LEFT(K1471,             FIND(",", K1471) - 1), "-")</f>
        <v/>
      </c>
      <c r="M1471">
        <f>IFERROR(MID(K1471,             FIND(",", K1471) + 1, LEN(K1471) - FIND(",", K1471)), K1471)</f>
        <v/>
      </c>
      <c r="N1471" t="n">
        <v>4</v>
      </c>
      <c r="P1471" t="inlineStr">
        <is>
          <t>15:30</t>
        </is>
      </c>
      <c r="Q1471" t="inlineStr">
        <is>
          <t>15:45</t>
        </is>
      </c>
    </row>
    <row r="1472">
      <c r="A1472" t="inlineStr">
        <is>
          <t>打保 しのぶ</t>
        </is>
      </c>
      <c r="B1472" t="inlineStr">
        <is>
          <t>ZZZE213:【営事】電話応対・取次</t>
        </is>
      </c>
      <c r="C1472">
        <f>SUMIFS(J:J, G:G,             A1472, H:H, B1472)</f>
        <v/>
      </c>
      <c r="D1472">
        <f>L1472</f>
        <v/>
      </c>
      <c r="E1472">
        <f>SUMIFS(J:J, G:G,             A1472, H:H, B1472, L:L, L1472)</f>
        <v/>
      </c>
      <c r="F1472" t="inlineStr">
        <is>
          <t>48</t>
        </is>
      </c>
      <c r="G1472" t="inlineStr">
        <is>
          <t>打保 しのぶ</t>
        </is>
      </c>
      <c r="H1472" t="inlineStr">
        <is>
          <t>ZZZE213:【営事】電話応対・取次</t>
        </is>
      </c>
      <c r="I1472" s="1" t="n">
        <v>45932</v>
      </c>
      <c r="J1472" t="n">
        <v>0.25</v>
      </c>
      <c r="L1472">
        <f>IFERROR(LEFT(K1472,             FIND(",", K1472) - 1), "-")</f>
        <v/>
      </c>
      <c r="M1472">
        <f>IFERROR(MID(K1472,             FIND(",", K1472) + 1, LEN(K1472) - FIND(",", K1472)), K1472)</f>
        <v/>
      </c>
      <c r="N1472" t="n">
        <v>4</v>
      </c>
      <c r="P1472" t="inlineStr">
        <is>
          <t>09:30</t>
        </is>
      </c>
      <c r="Q1472" t="inlineStr">
        <is>
          <t>09:45</t>
        </is>
      </c>
    </row>
    <row r="1473">
      <c r="A1473" t="inlineStr">
        <is>
          <t>打保 しのぶ</t>
        </is>
      </c>
      <c r="B1473" t="inlineStr">
        <is>
          <t>ZZZE213:【営事】電話応対・取次</t>
        </is>
      </c>
      <c r="D1473">
        <f>L1473</f>
        <v/>
      </c>
      <c r="E1473">
        <f>SUMIFS(J:J, G:G,             A1473, H:H, B1473, L:L, L1473)</f>
        <v/>
      </c>
      <c r="F1473" t="inlineStr">
        <is>
          <t>48</t>
        </is>
      </c>
      <c r="G1473" t="inlineStr">
        <is>
          <t>打保 しのぶ</t>
        </is>
      </c>
      <c r="H1473" t="inlineStr">
        <is>
          <t>ZZZE213:【営事】電話応対・取次</t>
        </is>
      </c>
      <c r="I1473" s="1" t="n">
        <v>45933</v>
      </c>
      <c r="J1473" t="n">
        <v>0.25</v>
      </c>
      <c r="L1473">
        <f>IFERROR(LEFT(K1473,             FIND(",", K1473) - 1), "-")</f>
        <v/>
      </c>
      <c r="M1473">
        <f>IFERROR(MID(K1473,             FIND(",", K1473) + 1, LEN(K1473) - FIND(",", K1473)), K1473)</f>
        <v/>
      </c>
      <c r="N1473" t="n">
        <v>4</v>
      </c>
      <c r="P1473" t="inlineStr">
        <is>
          <t>09:30</t>
        </is>
      </c>
      <c r="Q1473" t="inlineStr">
        <is>
          <t>09:45</t>
        </is>
      </c>
    </row>
    <row r="1474">
      <c r="A1474" t="inlineStr">
        <is>
          <t>打保 しのぶ</t>
        </is>
      </c>
      <c r="B1474" t="inlineStr">
        <is>
          <t>ZZZE213:【営事】電話応対・取次</t>
        </is>
      </c>
      <c r="D1474">
        <f>L1474</f>
        <v/>
      </c>
      <c r="E1474">
        <f>SUMIFS(J:J, G:G,             A1474, H:H, B1474, L:L, L1474)</f>
        <v/>
      </c>
      <c r="F1474" t="inlineStr">
        <is>
          <t>48</t>
        </is>
      </c>
      <c r="G1474" t="inlineStr">
        <is>
          <t>打保 しのぶ</t>
        </is>
      </c>
      <c r="H1474" t="inlineStr">
        <is>
          <t>ZZZE213:【営事】電話応対・取次</t>
        </is>
      </c>
      <c r="I1474" s="1" t="n">
        <v>45939</v>
      </c>
      <c r="J1474" t="n">
        <v>0.25</v>
      </c>
      <c r="L1474">
        <f>IFERROR(LEFT(K1474,             FIND(",", K1474) - 1), "-")</f>
        <v/>
      </c>
      <c r="M1474">
        <f>IFERROR(MID(K1474,             FIND(",", K1474) + 1, LEN(K1474) - FIND(",", K1474)), K1474)</f>
        <v/>
      </c>
      <c r="N1474" t="n">
        <v>4</v>
      </c>
      <c r="P1474" t="inlineStr">
        <is>
          <t>09:30</t>
        </is>
      </c>
      <c r="Q1474" t="inlineStr">
        <is>
          <t>09:45</t>
        </is>
      </c>
    </row>
    <row r="1475">
      <c r="A1475" t="inlineStr">
        <is>
          <t>打保 しのぶ</t>
        </is>
      </c>
      <c r="B1475" t="inlineStr">
        <is>
          <t>ZZZE213:【営事】電話応対・取次</t>
        </is>
      </c>
      <c r="D1475">
        <f>L1475</f>
        <v/>
      </c>
      <c r="E1475">
        <f>SUMIFS(J:J, G:G,             A1475, H:H, B1475, L:L, L1475)</f>
        <v/>
      </c>
      <c r="F1475" t="inlineStr">
        <is>
          <t>48</t>
        </is>
      </c>
      <c r="G1475" t="inlineStr">
        <is>
          <t>打保 しのぶ</t>
        </is>
      </c>
      <c r="H1475" t="inlineStr">
        <is>
          <t>ZZZE213:【営事】電話応対・取次</t>
        </is>
      </c>
      <c r="I1475" s="1" t="n">
        <v>45940</v>
      </c>
      <c r="J1475" t="n">
        <v>0.25</v>
      </c>
      <c r="L1475">
        <f>IFERROR(LEFT(K1475,             FIND(",", K1475) - 1), "-")</f>
        <v/>
      </c>
      <c r="M1475">
        <f>IFERROR(MID(K1475,             FIND(",", K1475) + 1, LEN(K1475) - FIND(",", K1475)), K1475)</f>
        <v/>
      </c>
      <c r="N1475" t="n">
        <v>4</v>
      </c>
      <c r="P1475" t="inlineStr">
        <is>
          <t>09:00</t>
        </is>
      </c>
      <c r="Q1475" t="inlineStr">
        <is>
          <t>09:15</t>
        </is>
      </c>
    </row>
    <row r="1476">
      <c r="A1476" t="inlineStr">
        <is>
          <t>打保 しのぶ</t>
        </is>
      </c>
      <c r="B1476" t="inlineStr">
        <is>
          <t>ZZZE213:【営事】電話応対・取次</t>
        </is>
      </c>
      <c r="D1476">
        <f>L1476</f>
        <v/>
      </c>
      <c r="E1476">
        <f>SUMIFS(J:J, G:G,             A1476, H:H, B1476, L:L, L1476)</f>
        <v/>
      </c>
      <c r="F1476" t="inlineStr">
        <is>
          <t>48</t>
        </is>
      </c>
      <c r="G1476" t="inlineStr">
        <is>
          <t>打保 しのぶ</t>
        </is>
      </c>
      <c r="H1476" t="inlineStr">
        <is>
          <t>ZZZE213:【営事】電話応対・取次</t>
        </is>
      </c>
      <c r="I1476" s="1" t="n">
        <v>45946</v>
      </c>
      <c r="J1476" t="n">
        <v>0.25</v>
      </c>
      <c r="L1476">
        <f>IFERROR(LEFT(K1476,             FIND(",", K1476) - 1), "-")</f>
        <v/>
      </c>
      <c r="M1476">
        <f>IFERROR(MID(K1476,             FIND(",", K1476) + 1, LEN(K1476) - FIND(",", K1476)), K1476)</f>
        <v/>
      </c>
      <c r="N1476" t="n">
        <v>4</v>
      </c>
      <c r="P1476" t="inlineStr">
        <is>
          <t>09:30</t>
        </is>
      </c>
      <c r="Q1476" t="inlineStr">
        <is>
          <t>09:45</t>
        </is>
      </c>
    </row>
    <row r="1477">
      <c r="A1477" t="inlineStr">
        <is>
          <t>打保 しのぶ</t>
        </is>
      </c>
      <c r="B1477" t="inlineStr">
        <is>
          <t>ZZZE213:【営事】電話応対・取次</t>
        </is>
      </c>
      <c r="D1477">
        <f>L1477</f>
        <v/>
      </c>
      <c r="E1477">
        <f>SUMIFS(J:J, G:G,             A1477, H:H, B1477, L:L, L1477)</f>
        <v/>
      </c>
      <c r="F1477" t="inlineStr">
        <is>
          <t>48</t>
        </is>
      </c>
      <c r="G1477" t="inlineStr">
        <is>
          <t>打保 しのぶ</t>
        </is>
      </c>
      <c r="H1477" t="inlineStr">
        <is>
          <t>ZZZE213:【営事】電話応対・取次</t>
        </is>
      </c>
      <c r="I1477" s="1" t="n">
        <v>45950</v>
      </c>
      <c r="J1477" t="n">
        <v>0.25</v>
      </c>
      <c r="L1477">
        <f>IFERROR(LEFT(K1477,             FIND(",", K1477) - 1), "-")</f>
        <v/>
      </c>
      <c r="M1477">
        <f>IFERROR(MID(K1477,             FIND(",", K1477) + 1, LEN(K1477) - FIND(",", K1477)), K1477)</f>
        <v/>
      </c>
      <c r="N1477" t="n">
        <v>4</v>
      </c>
      <c r="P1477" t="inlineStr">
        <is>
          <t>09:30</t>
        </is>
      </c>
      <c r="Q1477" t="inlineStr">
        <is>
          <t>09:45</t>
        </is>
      </c>
    </row>
    <row r="1478">
      <c r="A1478" t="inlineStr">
        <is>
          <t>打保 しのぶ</t>
        </is>
      </c>
      <c r="B1478" t="inlineStr">
        <is>
          <t>ZZZE213:【営事】電話応対・取次</t>
        </is>
      </c>
      <c r="D1478">
        <f>L1478</f>
        <v/>
      </c>
      <c r="E1478">
        <f>SUMIFS(J:J, G:G,             A1478, H:H, B1478, L:L, L1478)</f>
        <v/>
      </c>
      <c r="F1478" t="inlineStr">
        <is>
          <t>48</t>
        </is>
      </c>
      <c r="G1478" t="inlineStr">
        <is>
          <t>打保 しのぶ</t>
        </is>
      </c>
      <c r="H1478" t="inlineStr">
        <is>
          <t>ZZZE213:【営事】電話応対・取次</t>
        </is>
      </c>
      <c r="I1478" s="1" t="n">
        <v>45951</v>
      </c>
      <c r="J1478" t="n">
        <v>0.25</v>
      </c>
      <c r="L1478">
        <f>IFERROR(LEFT(K1478,             FIND(",", K1478) - 1), "-")</f>
        <v/>
      </c>
      <c r="M1478">
        <f>IFERROR(MID(K1478,             FIND(",", K1478) + 1, LEN(K1478) - FIND(",", K1478)), K1478)</f>
        <v/>
      </c>
      <c r="N1478" t="n">
        <v>4</v>
      </c>
      <c r="P1478" t="inlineStr">
        <is>
          <t>09:30</t>
        </is>
      </c>
      <c r="Q1478" t="inlineStr">
        <is>
          <t>09:45</t>
        </is>
      </c>
    </row>
    <row r="1479">
      <c r="A1479" t="inlineStr">
        <is>
          <t>打保 しのぶ</t>
        </is>
      </c>
      <c r="B1479" t="inlineStr">
        <is>
          <t>ZZZE213:【営事】電話応対・取次</t>
        </is>
      </c>
      <c r="D1479">
        <f>L1479</f>
        <v/>
      </c>
      <c r="E1479">
        <f>SUMIFS(J:J, G:G,             A1479, H:H, B1479, L:L, L1479)</f>
        <v/>
      </c>
      <c r="F1479" t="inlineStr">
        <is>
          <t>48</t>
        </is>
      </c>
      <c r="G1479" t="inlineStr">
        <is>
          <t>打保 しのぶ</t>
        </is>
      </c>
      <c r="H1479" t="inlineStr">
        <is>
          <t>ZZZE213:【営事】電話応対・取次</t>
        </is>
      </c>
      <c r="I1479" s="1" t="n">
        <v>45953</v>
      </c>
      <c r="J1479" t="n">
        <v>0.25</v>
      </c>
      <c r="L1479">
        <f>IFERROR(LEFT(K1479,             FIND(",", K1479) - 1), "-")</f>
        <v/>
      </c>
      <c r="M1479">
        <f>IFERROR(MID(K1479,             FIND(",", K1479) + 1, LEN(K1479) - FIND(",", K1479)), K1479)</f>
        <v/>
      </c>
      <c r="N1479" t="n">
        <v>4</v>
      </c>
      <c r="P1479" t="inlineStr">
        <is>
          <t>09:30</t>
        </is>
      </c>
      <c r="Q1479" t="inlineStr">
        <is>
          <t>09:45</t>
        </is>
      </c>
    </row>
    <row r="1480">
      <c r="A1480" t="inlineStr">
        <is>
          <t>打保 しのぶ</t>
        </is>
      </c>
      <c r="B1480" t="inlineStr">
        <is>
          <t>ZZZE213:【営事】電話応対・取次</t>
        </is>
      </c>
      <c r="D1480">
        <f>L1480</f>
        <v/>
      </c>
      <c r="E1480">
        <f>SUMIFS(J:J, G:G,             A1480, H:H, B1480, L:L, L1480)</f>
        <v/>
      </c>
      <c r="F1480" t="inlineStr">
        <is>
          <t>48</t>
        </is>
      </c>
      <c r="G1480" t="inlineStr">
        <is>
          <t>打保 しのぶ</t>
        </is>
      </c>
      <c r="H1480" t="inlineStr">
        <is>
          <t>ZZZE213:【営事】電話応対・取次</t>
        </is>
      </c>
      <c r="I1480" s="1" t="n">
        <v>45954</v>
      </c>
      <c r="J1480" t="n">
        <v>0.25</v>
      </c>
      <c r="L1480">
        <f>IFERROR(LEFT(K1480,             FIND(",", K1480) - 1), "-")</f>
        <v/>
      </c>
      <c r="M1480">
        <f>IFERROR(MID(K1480,             FIND(",", K1480) + 1, LEN(K1480) - FIND(",", K1480)), K1480)</f>
        <v/>
      </c>
      <c r="N1480" t="n">
        <v>4</v>
      </c>
      <c r="P1480" t="inlineStr">
        <is>
          <t>09:30</t>
        </is>
      </c>
      <c r="Q1480" t="inlineStr">
        <is>
          <t>09:45</t>
        </is>
      </c>
    </row>
    <row r="1481">
      <c r="A1481" t="inlineStr">
        <is>
          <t>打保 しのぶ</t>
        </is>
      </c>
      <c r="B1481" t="inlineStr">
        <is>
          <t>ZZZE214:【営事】月別売上種別作成</t>
        </is>
      </c>
      <c r="C1481">
        <f>SUMIFS(J:J, G:G,             A1481, H:H, B1481)</f>
        <v/>
      </c>
      <c r="D1481">
        <f>L1481</f>
        <v/>
      </c>
      <c r="E1481">
        <f>SUMIFS(J:J, G:G,             A1481, H:H, B1481, L:L, L1481)</f>
        <v/>
      </c>
      <c r="F1481" t="inlineStr">
        <is>
          <t>48</t>
        </is>
      </c>
      <c r="G1481" t="inlineStr">
        <is>
          <t>打保 しのぶ</t>
        </is>
      </c>
      <c r="H1481" t="inlineStr">
        <is>
          <t>ZZZE214:【営事】月別売上種別作成</t>
        </is>
      </c>
      <c r="I1481" s="1" t="n">
        <v>45932</v>
      </c>
      <c r="J1481" t="n">
        <v>0.5</v>
      </c>
      <c r="K1481" t="inlineStr">
        <is>
          <t>早稲田様、突合、集計、売上報告</t>
        </is>
      </c>
      <c r="L1481">
        <f>IFERROR(LEFT(K1481,             FIND(",", K1481) - 1), "-")</f>
        <v/>
      </c>
      <c r="M1481">
        <f>IFERROR(MID(K1481,             FIND(",", K1481) + 1, LEN(K1481) - FIND(",", K1481)), K1481)</f>
        <v/>
      </c>
      <c r="N1481" t="n">
        <v>4</v>
      </c>
      <c r="P1481" t="inlineStr">
        <is>
          <t>14:45</t>
        </is>
      </c>
      <c r="Q1481" t="inlineStr">
        <is>
          <t>15:15</t>
        </is>
      </c>
    </row>
    <row r="1482">
      <c r="A1482" t="inlineStr">
        <is>
          <t>打保 しのぶ</t>
        </is>
      </c>
      <c r="B1482" t="inlineStr">
        <is>
          <t>ZZZE214:【営事】月別売上種別作成</t>
        </is>
      </c>
      <c r="D1482">
        <f>L1482</f>
        <v/>
      </c>
      <c r="E1482">
        <f>SUMIFS(J:J, G:G,             A1482, H:H, B1482, L:L, L1482)</f>
        <v/>
      </c>
      <c r="F1482" t="inlineStr">
        <is>
          <t>48</t>
        </is>
      </c>
      <c r="G1482" t="inlineStr">
        <is>
          <t>打保 しのぶ</t>
        </is>
      </c>
      <c r="H1482" t="inlineStr">
        <is>
          <t>ZZZE214:【営事】月別売上種別作成</t>
        </is>
      </c>
      <c r="I1482" s="1" t="n">
        <v>45946</v>
      </c>
      <c r="J1482" t="n">
        <v>0.5</v>
      </c>
      <c r="K1482" t="inlineStr">
        <is>
          <t>音楽院様、売上データ更新</t>
        </is>
      </c>
      <c r="L1482">
        <f>IFERROR(LEFT(K1482,             FIND(",", K1482) - 1), "-")</f>
        <v/>
      </c>
      <c r="M1482">
        <f>IFERROR(MID(K1482,             FIND(",", K1482) + 1, LEN(K1482) - FIND(",", K1482)), K1482)</f>
        <v/>
      </c>
      <c r="N1482" t="n">
        <v>4</v>
      </c>
      <c r="P1482" t="inlineStr">
        <is>
          <t>14:00</t>
        </is>
      </c>
      <c r="Q1482" t="inlineStr">
        <is>
          <t>14:30</t>
        </is>
      </c>
    </row>
    <row r="1483">
      <c r="A1483" t="inlineStr">
        <is>
          <t>打保 しのぶ</t>
        </is>
      </c>
      <c r="B1483" t="inlineStr">
        <is>
          <t>ZZZE215:【営事】スケジュール登録</t>
        </is>
      </c>
      <c r="C1483">
        <f>SUMIFS(J:J, G:G,             A1483, H:H, B1483)</f>
        <v/>
      </c>
      <c r="D1483">
        <f>L1483</f>
        <v/>
      </c>
      <c r="E1483">
        <f>SUMIFS(J:J, G:G,             A1483, H:H, B1483, L:L, L1483)</f>
        <v/>
      </c>
      <c r="F1483" t="inlineStr">
        <is>
          <t>48</t>
        </is>
      </c>
      <c r="G1483" t="inlineStr">
        <is>
          <t>打保 しのぶ</t>
        </is>
      </c>
      <c r="H1483" t="inlineStr">
        <is>
          <t>ZZZE215:【営事】スケジュール登録</t>
        </is>
      </c>
      <c r="I1483" s="1" t="n">
        <v>45951</v>
      </c>
      <c r="J1483" t="n">
        <v>0.25</v>
      </c>
      <c r="K1483" t="inlineStr">
        <is>
          <t>クレビス様打合せ</t>
        </is>
      </c>
      <c r="L1483">
        <f>IFERROR(LEFT(K1483,             FIND(",", K1483) - 1), "-")</f>
        <v/>
      </c>
      <c r="M1483">
        <f>IFERROR(MID(K1483,             FIND(",", K1483) + 1, LEN(K1483) - FIND(",", K1483)), K1483)</f>
        <v/>
      </c>
      <c r="N1483" t="n">
        <v>4</v>
      </c>
      <c r="P1483" t="inlineStr">
        <is>
          <t>18:00</t>
        </is>
      </c>
      <c r="Q1483" t="inlineStr">
        <is>
          <t>18:15</t>
        </is>
      </c>
    </row>
    <row r="1484">
      <c r="A1484" t="inlineStr">
        <is>
          <t>打保 しのぶ</t>
        </is>
      </c>
      <c r="B1484" t="inlineStr">
        <is>
          <t>ZZZE216:【営事】契約書リスト更新</t>
        </is>
      </c>
      <c r="C1484">
        <f>SUMIFS(J:J, G:G,             A1484, H:H, B1484)</f>
        <v/>
      </c>
      <c r="D1484">
        <f>L1484</f>
        <v/>
      </c>
      <c r="E1484">
        <f>SUMIFS(J:J, G:G,             A1484, H:H, B1484, L:L, L1484)</f>
        <v/>
      </c>
      <c r="F1484" t="inlineStr">
        <is>
          <t>48</t>
        </is>
      </c>
      <c r="G1484" t="inlineStr">
        <is>
          <t>打保 しのぶ</t>
        </is>
      </c>
      <c r="H1484" t="inlineStr">
        <is>
          <t>ZZZE216:【営事】契約書リスト更新</t>
        </is>
      </c>
      <c r="I1484" s="1" t="n">
        <v>45932</v>
      </c>
      <c r="J1484" t="n">
        <v>0.25</v>
      </c>
      <c r="L1484">
        <f>IFERROR(LEFT(K1484,             FIND(",", K1484) - 1), "-")</f>
        <v/>
      </c>
      <c r="M1484">
        <f>IFERROR(MID(K1484,             FIND(",", K1484) + 1, LEN(K1484) - FIND(",", K1484)), K1484)</f>
        <v/>
      </c>
      <c r="N1484" t="n">
        <v>4</v>
      </c>
      <c r="P1484" t="inlineStr">
        <is>
          <t>16:00</t>
        </is>
      </c>
      <c r="Q1484" t="inlineStr">
        <is>
          <t>16:15</t>
        </is>
      </c>
    </row>
    <row r="1485">
      <c r="A1485" t="inlineStr">
        <is>
          <t>打保 しのぶ</t>
        </is>
      </c>
      <c r="B1485" t="inlineStr">
        <is>
          <t>ZZZE216:【営事】契約書リスト更新</t>
        </is>
      </c>
      <c r="D1485">
        <f>L1485</f>
        <v/>
      </c>
      <c r="E1485">
        <f>SUMIFS(J:J, G:G,             A1485, H:H, B1485, L:L, L1485)</f>
        <v/>
      </c>
      <c r="F1485" t="inlineStr">
        <is>
          <t>48</t>
        </is>
      </c>
      <c r="G1485" t="inlineStr">
        <is>
          <t>打保 しのぶ</t>
        </is>
      </c>
      <c r="H1485" t="inlineStr">
        <is>
          <t>ZZZE216:【営事】契約書リスト更新</t>
        </is>
      </c>
      <c r="I1485" s="1" t="n">
        <v>45950</v>
      </c>
      <c r="J1485" t="n">
        <v>0.25</v>
      </c>
      <c r="L1485">
        <f>IFERROR(LEFT(K1485,             FIND(",", K1485) - 1), "-")</f>
        <v/>
      </c>
      <c r="M1485">
        <f>IFERROR(MID(K1485,             FIND(",", K1485) + 1, LEN(K1485) - FIND(",", K1485)), K1485)</f>
        <v/>
      </c>
      <c r="N1485" t="n">
        <v>4</v>
      </c>
      <c r="P1485" t="inlineStr">
        <is>
          <t>13:00</t>
        </is>
      </c>
      <c r="Q1485" t="inlineStr">
        <is>
          <t>13:15</t>
        </is>
      </c>
    </row>
    <row r="1486">
      <c r="A1486" t="inlineStr">
        <is>
          <t>打保 しのぶ</t>
        </is>
      </c>
      <c r="B1486" t="inlineStr">
        <is>
          <t>ZZZE218:【営事】会計事務所問合せ対応</t>
        </is>
      </c>
      <c r="C1486">
        <f>SUMIFS(J:J, G:G,             A1486, H:H, B1486)</f>
        <v/>
      </c>
      <c r="D1486">
        <f>L1486</f>
        <v/>
      </c>
      <c r="E1486">
        <f>SUMIFS(J:J, G:G,             A1486, H:H, B1486, L:L, L1486)</f>
        <v/>
      </c>
      <c r="F1486" t="inlineStr">
        <is>
          <t>48</t>
        </is>
      </c>
      <c r="G1486" t="inlineStr">
        <is>
          <t>打保 しのぶ</t>
        </is>
      </c>
      <c r="H1486" t="inlineStr">
        <is>
          <t>ZZZE218:【営事】会計事務所問合せ対応</t>
        </is>
      </c>
      <c r="I1486" s="1" t="n">
        <v>45936</v>
      </c>
      <c r="J1486" t="n">
        <v>0.25</v>
      </c>
      <c r="K1486" t="inlineStr">
        <is>
          <t>3点セット発送準備、発送連絡</t>
        </is>
      </c>
      <c r="L1486">
        <f>IFERROR(LEFT(K1486,             FIND(",", K1486) - 1), "-")</f>
        <v/>
      </c>
      <c r="M1486">
        <f>IFERROR(MID(K1486,             FIND(",", K1486) + 1, LEN(K1486) - FIND(",", K1486)), K1486)</f>
        <v/>
      </c>
      <c r="N1486" t="n">
        <v>5</v>
      </c>
      <c r="P1486" t="inlineStr">
        <is>
          <t>15:30</t>
        </is>
      </c>
      <c r="Q1486" t="inlineStr">
        <is>
          <t>15:45</t>
        </is>
      </c>
    </row>
    <row r="1487">
      <c r="A1487" t="inlineStr">
        <is>
          <t>打保 しのぶ</t>
        </is>
      </c>
      <c r="B1487" t="inlineStr">
        <is>
          <t>ZZZE218:【営事】会計事務所問合せ対応</t>
        </is>
      </c>
      <c r="D1487">
        <f>L1487</f>
        <v/>
      </c>
      <c r="E1487">
        <f>SUMIFS(J:J, G:G,             A1487, H:H, B1487, L:L, L1487)</f>
        <v/>
      </c>
      <c r="F1487" t="inlineStr">
        <is>
          <t>48</t>
        </is>
      </c>
      <c r="G1487" t="inlineStr">
        <is>
          <t>打保 しのぶ</t>
        </is>
      </c>
      <c r="H1487" t="inlineStr">
        <is>
          <t>ZZZE218:【営事】会計事務所問合せ対応</t>
        </is>
      </c>
      <c r="I1487" s="1" t="n">
        <v>45953</v>
      </c>
      <c r="J1487" t="n">
        <v>0.5</v>
      </c>
      <c r="K1487" t="inlineStr">
        <is>
          <t>9月確認事項返信、再入金確認依頼、源泉税・住民税入力、国税シート更新</t>
        </is>
      </c>
      <c r="L1487">
        <f>IFERROR(LEFT(K1487,             FIND(",", K1487) - 1), "-")</f>
        <v/>
      </c>
      <c r="M1487">
        <f>IFERROR(MID(K1487,             FIND(",", K1487) + 1, LEN(K1487) - FIND(",", K1487)), K1487)</f>
        <v/>
      </c>
      <c r="N1487" t="n">
        <v>5</v>
      </c>
      <c r="P1487" t="inlineStr">
        <is>
          <t>11:30</t>
        </is>
      </c>
      <c r="Q1487" t="inlineStr">
        <is>
          <t>12:00</t>
        </is>
      </c>
    </row>
    <row r="1488">
      <c r="A1488" t="inlineStr">
        <is>
          <t>打保 しのぶ</t>
        </is>
      </c>
      <c r="B1488" t="inlineStr">
        <is>
          <t>ZZZE218:【営事】会計事務所問合せ対応</t>
        </is>
      </c>
      <c r="D1488">
        <f>L1488</f>
        <v/>
      </c>
      <c r="E1488">
        <f>SUMIFS(J:J, G:G,             A1488, H:H, B1488, L:L, L1488)</f>
        <v/>
      </c>
      <c r="F1488" t="inlineStr">
        <is>
          <t>48</t>
        </is>
      </c>
      <c r="G1488" t="inlineStr">
        <is>
          <t>打保 しのぶ</t>
        </is>
      </c>
      <c r="H1488" t="inlineStr">
        <is>
          <t>ZZZE218:【営事】会計事務所問合せ対応</t>
        </is>
      </c>
      <c r="I1488" s="1" t="n">
        <v>45951</v>
      </c>
      <c r="J1488" t="n">
        <v>0.25</v>
      </c>
      <c r="K1488" t="inlineStr">
        <is>
          <t>マイナンバーの件、9月確認事項一次返信</t>
        </is>
      </c>
      <c r="L1488">
        <f>IFERROR(LEFT(K1488,             FIND(",", K1488) - 1), "-")</f>
        <v/>
      </c>
      <c r="M1488">
        <f>IFERROR(MID(K1488,             FIND(",", K1488) + 1, LEN(K1488) - FIND(",", K1488)), K1488)</f>
        <v/>
      </c>
      <c r="N1488" t="n">
        <v>5</v>
      </c>
      <c r="P1488" t="inlineStr">
        <is>
          <t>13:30</t>
        </is>
      </c>
      <c r="Q1488" t="inlineStr">
        <is>
          <t>13:45</t>
        </is>
      </c>
    </row>
    <row r="1489">
      <c r="A1489" t="inlineStr">
        <is>
          <t>打保 しのぶ</t>
        </is>
      </c>
      <c r="B1489" t="inlineStr">
        <is>
          <t>ZZZE218:【営事】会計事務所問合せ対応</t>
        </is>
      </c>
      <c r="D1489">
        <f>L1489</f>
        <v/>
      </c>
      <c r="E1489">
        <f>SUMIFS(J:J, G:G,             A1489, H:H, B1489, L:L, L1489)</f>
        <v/>
      </c>
      <c r="F1489" t="inlineStr">
        <is>
          <t>48</t>
        </is>
      </c>
      <c r="G1489" t="inlineStr">
        <is>
          <t>打保 しのぶ</t>
        </is>
      </c>
      <c r="H1489" t="inlineStr">
        <is>
          <t>ZZZE218:【営事】会計事務所問合せ対応</t>
        </is>
      </c>
      <c r="I1489" s="1" t="n">
        <v>45953</v>
      </c>
      <c r="J1489" t="n">
        <v>0.25</v>
      </c>
      <c r="K1489" t="inlineStr">
        <is>
          <t>マイナンバー発送連絡</t>
        </is>
      </c>
      <c r="L1489">
        <f>IFERROR(LEFT(K1489,             FIND(",", K1489) - 1), "-")</f>
        <v/>
      </c>
      <c r="M1489">
        <f>IFERROR(MID(K1489,             FIND(",", K1489) + 1, LEN(K1489) - FIND(",", K1489)), K1489)</f>
        <v/>
      </c>
      <c r="N1489" t="n">
        <v>5</v>
      </c>
      <c r="P1489" t="inlineStr">
        <is>
          <t>13:00</t>
        </is>
      </c>
      <c r="Q1489" t="inlineStr">
        <is>
          <t>13:15</t>
        </is>
      </c>
    </row>
    <row r="1490">
      <c r="A1490" t="inlineStr">
        <is>
          <t>打保 しのぶ</t>
        </is>
      </c>
      <c r="B1490" t="inlineStr">
        <is>
          <t>ZZZE218:【営事】会計事務所問合せ対応</t>
        </is>
      </c>
      <c r="D1490">
        <f>L1490</f>
        <v/>
      </c>
      <c r="E1490">
        <f>SUMIFS(J:J, G:G,             A1490, H:H, B1490, L:L, L1490)</f>
        <v/>
      </c>
      <c r="F1490" t="inlineStr">
        <is>
          <t>48</t>
        </is>
      </c>
      <c r="G1490" t="inlineStr">
        <is>
          <t>打保 しのぶ</t>
        </is>
      </c>
      <c r="H1490" t="inlineStr">
        <is>
          <t>ZZZE218:【営事】会計事務所問合せ対応</t>
        </is>
      </c>
      <c r="I1490" s="1" t="n">
        <v>45946</v>
      </c>
      <c r="J1490" t="n">
        <v>0.25</v>
      </c>
      <c r="K1490" t="inlineStr">
        <is>
          <t>中条様メール送信</t>
        </is>
      </c>
      <c r="L1490">
        <f>IFERROR(LEFT(K1490,             FIND(",", K1490) - 1), "-")</f>
        <v/>
      </c>
      <c r="M1490">
        <f>IFERROR(MID(K1490,             FIND(",", K1490) + 1, LEN(K1490) - FIND(",", K1490)), K1490)</f>
        <v/>
      </c>
      <c r="N1490" t="n">
        <v>5</v>
      </c>
      <c r="P1490" t="inlineStr">
        <is>
          <t>17:30</t>
        </is>
      </c>
      <c r="Q1490" t="inlineStr">
        <is>
          <t>17:45</t>
        </is>
      </c>
    </row>
    <row r="1491">
      <c r="A1491" t="inlineStr">
        <is>
          <t>打保 しのぶ</t>
        </is>
      </c>
      <c r="B1491" t="inlineStr">
        <is>
          <t>ZZZE218:【営事】会計事務所問合せ対応</t>
        </is>
      </c>
      <c r="D1491">
        <f>L1491</f>
        <v/>
      </c>
      <c r="E1491">
        <f>SUMIFS(J:J, G:G,             A1491, H:H, B1491, L:L, L1491)</f>
        <v/>
      </c>
      <c r="F1491" t="inlineStr">
        <is>
          <t>48</t>
        </is>
      </c>
      <c r="G1491" t="inlineStr">
        <is>
          <t>打保 しのぶ</t>
        </is>
      </c>
      <c r="H1491" t="inlineStr">
        <is>
          <t>ZZZE218:【営事】会計事務所問合せ対応</t>
        </is>
      </c>
      <c r="I1491" s="1" t="n">
        <v>45946</v>
      </c>
      <c r="J1491" t="n">
        <v>0.5</v>
      </c>
      <c r="K1491" t="inlineStr">
        <is>
          <t>中条様返信、橋本様返信</t>
        </is>
      </c>
      <c r="L1491">
        <f>IFERROR(LEFT(K1491,             FIND(",", K1491) - 1), "-")</f>
        <v/>
      </c>
      <c r="M1491">
        <f>IFERROR(MID(K1491,             FIND(",", K1491) + 1, LEN(K1491) - FIND(",", K1491)), K1491)</f>
        <v/>
      </c>
      <c r="N1491" t="n">
        <v>5</v>
      </c>
      <c r="P1491" t="inlineStr">
        <is>
          <t>10:30</t>
        </is>
      </c>
      <c r="Q1491" t="inlineStr">
        <is>
          <t>11:00</t>
        </is>
      </c>
    </row>
    <row r="1492">
      <c r="A1492" t="inlineStr">
        <is>
          <t>打保 しのぶ</t>
        </is>
      </c>
      <c r="B1492" t="inlineStr">
        <is>
          <t>ZZZE218:【営事】会計事務所問合せ対応</t>
        </is>
      </c>
      <c r="D1492">
        <f>L1492</f>
        <v/>
      </c>
      <c r="E1492">
        <f>SUMIFS(J:J, G:G,             A1492, H:H, B1492, L:L, L1492)</f>
        <v/>
      </c>
      <c r="F1492" t="inlineStr">
        <is>
          <t>48</t>
        </is>
      </c>
      <c r="G1492" t="inlineStr">
        <is>
          <t>打保 しのぶ</t>
        </is>
      </c>
      <c r="H1492" t="inlineStr">
        <is>
          <t>ZZZE218:【営事】会計事務所問合せ対応</t>
        </is>
      </c>
      <c r="I1492" s="1" t="n">
        <v>45940</v>
      </c>
      <c r="J1492" t="n">
        <v>0.5</v>
      </c>
      <c r="K1492" t="inlineStr">
        <is>
          <t>問合せ</t>
        </is>
      </c>
      <c r="L1492">
        <f>IFERROR(LEFT(K1492,             FIND(",", K1492) - 1), "-")</f>
        <v/>
      </c>
      <c r="M1492">
        <f>IFERROR(MID(K1492,             FIND(",", K1492) + 1, LEN(K1492) - FIND(",", K1492)), K1492)</f>
        <v/>
      </c>
      <c r="N1492" t="n">
        <v>5</v>
      </c>
      <c r="P1492" t="inlineStr">
        <is>
          <t>14:30</t>
        </is>
      </c>
      <c r="Q1492" t="inlineStr">
        <is>
          <t>15:00</t>
        </is>
      </c>
    </row>
    <row r="1493">
      <c r="A1493" t="inlineStr">
        <is>
          <t>打保 しのぶ</t>
        </is>
      </c>
      <c r="B1493" t="inlineStr">
        <is>
          <t>ZZZE218:【営事】会計事務所問合せ対応</t>
        </is>
      </c>
      <c r="D1493">
        <f>L1493</f>
        <v/>
      </c>
      <c r="E1493">
        <f>SUMIFS(J:J, G:G,             A1493, H:H, B1493, L:L, L1493)</f>
        <v/>
      </c>
      <c r="F1493" t="inlineStr">
        <is>
          <t>48</t>
        </is>
      </c>
      <c r="G1493" t="inlineStr">
        <is>
          <t>打保 しのぶ</t>
        </is>
      </c>
      <c r="H1493" t="inlineStr">
        <is>
          <t>ZZZE218:【営事】会計事務所問合せ対応</t>
        </is>
      </c>
      <c r="I1493" s="1" t="n">
        <v>45951</v>
      </c>
      <c r="J1493" t="n">
        <v>0.25</v>
      </c>
      <c r="K1493" t="inlineStr">
        <is>
          <t>玄様質疑応答</t>
        </is>
      </c>
      <c r="L1493">
        <f>IFERROR(LEFT(K1493,             FIND(",", K1493) - 1), "-")</f>
        <v/>
      </c>
      <c r="M1493">
        <f>IFERROR(MID(K1493,             FIND(",", K1493) + 1, LEN(K1493) - FIND(",", K1493)), K1493)</f>
        <v/>
      </c>
      <c r="N1493" t="n">
        <v>5</v>
      </c>
      <c r="P1493" t="inlineStr">
        <is>
          <t>11:45</t>
        </is>
      </c>
      <c r="Q1493" t="inlineStr">
        <is>
          <t>12:00</t>
        </is>
      </c>
    </row>
    <row r="1494">
      <c r="A1494" t="inlineStr">
        <is>
          <t>打保 しのぶ</t>
        </is>
      </c>
      <c r="B1494" t="inlineStr">
        <is>
          <t>ZZZE218:【営事】会計事務所問合せ対応</t>
        </is>
      </c>
      <c r="D1494">
        <f>L1494</f>
        <v/>
      </c>
      <c r="E1494">
        <f>SUMIFS(J:J, G:G,             A1494, H:H, B1494, L:L, L1494)</f>
        <v/>
      </c>
      <c r="F1494" t="inlineStr">
        <is>
          <t>48</t>
        </is>
      </c>
      <c r="G1494" t="inlineStr">
        <is>
          <t>打保 しのぶ</t>
        </is>
      </c>
      <c r="H1494" t="inlineStr">
        <is>
          <t>ZZZE218:【営事】会計事務所問合せ対応</t>
        </is>
      </c>
      <c r="I1494" s="1" t="n">
        <v>45951</v>
      </c>
      <c r="J1494" t="n">
        <v>0.25</v>
      </c>
      <c r="K1494" t="inlineStr">
        <is>
          <t>玄様：法人都民税納付書送信</t>
        </is>
      </c>
      <c r="L1494">
        <f>IFERROR(LEFT(K1494,             FIND(",", K1494) - 1), "-")</f>
        <v/>
      </c>
      <c r="M1494">
        <f>IFERROR(MID(K1494,             FIND(",", K1494) + 1, LEN(K1494) - FIND(",", K1494)), K1494)</f>
        <v/>
      </c>
      <c r="N1494" t="n">
        <v>5</v>
      </c>
      <c r="P1494" t="inlineStr">
        <is>
          <t>16:15</t>
        </is>
      </c>
      <c r="Q1494" t="inlineStr">
        <is>
          <t>16:30</t>
        </is>
      </c>
    </row>
    <row r="1495">
      <c r="A1495" t="inlineStr">
        <is>
          <t>打保 しのぶ</t>
        </is>
      </c>
      <c r="B1495" t="inlineStr">
        <is>
          <t>ZZZE218:【営事】会計事務所問合せ対応</t>
        </is>
      </c>
      <c r="D1495">
        <f>L1495</f>
        <v/>
      </c>
      <c r="E1495">
        <f>SUMIFS(J:J, G:G,             A1495, H:H, B1495, L:L, L1495)</f>
        <v/>
      </c>
      <c r="F1495" t="inlineStr">
        <is>
          <t>48</t>
        </is>
      </c>
      <c r="G1495" t="inlineStr">
        <is>
          <t>打保 しのぶ</t>
        </is>
      </c>
      <c r="H1495" t="inlineStr">
        <is>
          <t>ZZZE218:【営事】会計事務所問合せ対応</t>
        </is>
      </c>
      <c r="I1495" s="1" t="n">
        <v>45953</v>
      </c>
      <c r="J1495" t="n">
        <v>0.5</v>
      </c>
      <c r="K1495" t="inlineStr">
        <is>
          <t>社会保険手続きについて、メテハンさんマイナンバー再依頼</t>
        </is>
      </c>
      <c r="L1495">
        <f>IFERROR(LEFT(K1495,             FIND(",", K1495) - 1), "-")</f>
        <v/>
      </c>
      <c r="M1495">
        <f>IFERROR(MID(K1495,             FIND(",", K1495) + 1, LEN(K1495) - FIND(",", K1495)), K1495)</f>
        <v/>
      </c>
      <c r="N1495" t="n">
        <v>5</v>
      </c>
      <c r="P1495" t="inlineStr">
        <is>
          <t>10:30</t>
        </is>
      </c>
      <c r="Q1495" t="inlineStr">
        <is>
          <t>11:00</t>
        </is>
      </c>
    </row>
    <row r="1496">
      <c r="A1496" t="inlineStr">
        <is>
          <t>打保 しのぶ</t>
        </is>
      </c>
      <c r="B1496" t="inlineStr">
        <is>
          <t>ZZZE218:【営事】会計事務所問合せ対応</t>
        </is>
      </c>
      <c r="D1496">
        <f>L1496</f>
        <v/>
      </c>
      <c r="E1496">
        <f>SUMIFS(J:J, G:G,             A1496, H:H, B1496, L:L, L1496)</f>
        <v/>
      </c>
      <c r="F1496" t="inlineStr">
        <is>
          <t>48</t>
        </is>
      </c>
      <c r="G1496" t="inlineStr">
        <is>
          <t>打保 しのぶ</t>
        </is>
      </c>
      <c r="H1496" t="inlineStr">
        <is>
          <t>ZZZE218:【営事】会計事務所問合せ対応</t>
        </is>
      </c>
      <c r="I1496" s="1" t="n">
        <v>45947</v>
      </c>
      <c r="J1496" t="n">
        <v>0.5</v>
      </c>
      <c r="K1496" t="inlineStr">
        <is>
          <t>立替金質疑応答</t>
        </is>
      </c>
      <c r="L1496">
        <f>IFERROR(LEFT(K1496,             FIND(",", K1496) - 1), "-")</f>
        <v/>
      </c>
      <c r="M1496">
        <f>IFERROR(MID(K1496,             FIND(",", K1496) + 1, LEN(K1496) - FIND(",", K1496)), K1496)</f>
        <v/>
      </c>
      <c r="N1496" t="n">
        <v>5</v>
      </c>
      <c r="P1496" t="inlineStr">
        <is>
          <t>13:00</t>
        </is>
      </c>
      <c r="Q1496" t="inlineStr">
        <is>
          <t>13:30</t>
        </is>
      </c>
    </row>
    <row r="1497">
      <c r="A1497" t="inlineStr">
        <is>
          <t>打保 しのぶ</t>
        </is>
      </c>
      <c r="B1497" t="inlineStr">
        <is>
          <t>ZZZE218:【営事】会計事務所問合せ対応</t>
        </is>
      </c>
      <c r="D1497">
        <f>L1497</f>
        <v/>
      </c>
      <c r="E1497">
        <f>SUMIFS(J:J, G:G,             A1497, H:H, B1497, L:L, L1497)</f>
        <v/>
      </c>
      <c r="F1497" t="inlineStr">
        <is>
          <t>48</t>
        </is>
      </c>
      <c r="G1497" t="inlineStr">
        <is>
          <t>打保 しのぶ</t>
        </is>
      </c>
      <c r="H1497" t="inlineStr">
        <is>
          <t>ZZZE218:【営事】会計事務所問合せ対応</t>
        </is>
      </c>
      <c r="I1497" s="1" t="n">
        <v>45947</v>
      </c>
      <c r="J1497" t="n">
        <v>0.25</v>
      </c>
      <c r="K1497" t="inlineStr">
        <is>
          <t>返信</t>
        </is>
      </c>
      <c r="L1497">
        <f>IFERROR(LEFT(K1497,             FIND(",", K1497) - 1), "-")</f>
        <v/>
      </c>
      <c r="M1497">
        <f>IFERROR(MID(K1497,             FIND(",", K1497) + 1, LEN(K1497) - FIND(",", K1497)), K1497)</f>
        <v/>
      </c>
      <c r="N1497" t="n">
        <v>5</v>
      </c>
      <c r="P1497" t="inlineStr">
        <is>
          <t>09:45</t>
        </is>
      </c>
      <c r="Q1497" t="inlineStr">
        <is>
          <t>10:00</t>
        </is>
      </c>
    </row>
    <row r="1498">
      <c r="A1498" t="inlineStr">
        <is>
          <t>打保 しのぶ</t>
        </is>
      </c>
      <c r="B1498" t="inlineStr">
        <is>
          <t>ZZZE218:【営事】会計事務所問合せ対応</t>
        </is>
      </c>
      <c r="D1498">
        <f>L1498</f>
        <v/>
      </c>
      <c r="E1498">
        <f>SUMIFS(J:J, G:G,             A1498, H:H, B1498, L:L, L1498)</f>
        <v/>
      </c>
      <c r="F1498" t="inlineStr">
        <is>
          <t>48</t>
        </is>
      </c>
      <c r="G1498" t="inlineStr">
        <is>
          <t>打保 しのぶ</t>
        </is>
      </c>
      <c r="H1498" t="inlineStr">
        <is>
          <t>ZZZE218:【営事】会計事務所問合せ対応</t>
        </is>
      </c>
      <c r="I1498" s="1" t="n">
        <v>45936</v>
      </c>
      <c r="J1498" t="n">
        <v>0.5</v>
      </c>
      <c r="K1498" t="inlineStr">
        <is>
          <t>返信、3点セット発送連絡</t>
        </is>
      </c>
      <c r="L1498">
        <f>IFERROR(LEFT(K1498,             FIND(",", K1498) - 1), "-")</f>
        <v/>
      </c>
      <c r="M1498">
        <f>IFERROR(MID(K1498,             FIND(",", K1498) + 1, LEN(K1498) - FIND(",", K1498)), K1498)</f>
        <v/>
      </c>
      <c r="N1498" t="n">
        <v>5</v>
      </c>
      <c r="P1498" t="inlineStr">
        <is>
          <t>17:30</t>
        </is>
      </c>
      <c r="Q1498" t="inlineStr">
        <is>
          <t>18:00</t>
        </is>
      </c>
    </row>
    <row r="1499">
      <c r="A1499" t="inlineStr">
        <is>
          <t>打保 しのぶ</t>
        </is>
      </c>
      <c r="B1499" t="inlineStr">
        <is>
          <t>ZZZE220:【営事】サポート支援（書類作成）</t>
        </is>
      </c>
      <c r="C1499">
        <f>SUMIFS(J:J, G:G,             A1499, H:H, B1499)</f>
        <v/>
      </c>
      <c r="D1499">
        <f>L1499</f>
        <v/>
      </c>
      <c r="E1499">
        <f>SUMIFS(J:J, G:G,             A1499, H:H, B1499, L:L, L1499)</f>
        <v/>
      </c>
      <c r="F1499" t="inlineStr">
        <is>
          <t>48</t>
        </is>
      </c>
      <c r="G1499" t="inlineStr">
        <is>
          <t>打保 しのぶ</t>
        </is>
      </c>
      <c r="H1499" t="inlineStr">
        <is>
          <t>ZZZE220:【営事】サポート支援（書類作成）</t>
        </is>
      </c>
      <c r="I1499" s="1" t="n">
        <v>45953</v>
      </c>
      <c r="J1499" t="n">
        <v>0.5</v>
      </c>
      <c r="K1499" t="inlineStr">
        <is>
          <t>ヤマハ様対応記録</t>
        </is>
      </c>
      <c r="L1499">
        <f>IFERROR(LEFT(K1499,             FIND(",", K1499) - 1), "-")</f>
        <v/>
      </c>
      <c r="M1499">
        <f>IFERROR(MID(K1499,             FIND(",", K1499) + 1, LEN(K1499) - FIND(",", K1499)), K1499)</f>
        <v/>
      </c>
      <c r="N1499" t="n">
        <v>4</v>
      </c>
      <c r="P1499" t="inlineStr">
        <is>
          <t>17:15</t>
        </is>
      </c>
      <c r="Q1499" t="inlineStr">
        <is>
          <t>17:45</t>
        </is>
      </c>
    </row>
    <row r="1500">
      <c r="A1500" t="inlineStr">
        <is>
          <t>打保 しのぶ</t>
        </is>
      </c>
      <c r="B1500" t="inlineStr">
        <is>
          <t>ZZZE220:【営事】サポート支援（書類作成）</t>
        </is>
      </c>
      <c r="D1500">
        <f>L1500</f>
        <v/>
      </c>
      <c r="E1500">
        <f>SUMIFS(J:J, G:G,             A1500, H:H, B1500, L:L, L1500)</f>
        <v/>
      </c>
      <c r="F1500" t="inlineStr">
        <is>
          <t>48</t>
        </is>
      </c>
      <c r="G1500" t="inlineStr">
        <is>
          <t>打保 しのぶ</t>
        </is>
      </c>
      <c r="H1500" t="inlineStr">
        <is>
          <t>ZZZE220:【営事】サポート支援（書類作成）</t>
        </is>
      </c>
      <c r="I1500" s="1" t="n">
        <v>45932</v>
      </c>
      <c r="J1500" t="n">
        <v>0.5</v>
      </c>
      <c r="K1500" t="inlineStr">
        <is>
          <t>ヤマハ様対応記録作成、依頼</t>
        </is>
      </c>
      <c r="L1500">
        <f>IFERROR(LEFT(K1500,             FIND(",", K1500) - 1), "-")</f>
        <v/>
      </c>
      <c r="M1500">
        <f>IFERROR(MID(K1500,             FIND(",", K1500) + 1, LEN(K1500) - FIND(",", K1500)), K1500)</f>
        <v/>
      </c>
      <c r="N1500" t="n">
        <v>4</v>
      </c>
      <c r="P1500" t="inlineStr">
        <is>
          <t>15:30</t>
        </is>
      </c>
      <c r="Q1500" t="inlineStr">
        <is>
          <t>16:00</t>
        </is>
      </c>
    </row>
    <row r="1501">
      <c r="A1501" t="inlineStr">
        <is>
          <t>打保 しのぶ</t>
        </is>
      </c>
      <c r="B1501" t="inlineStr">
        <is>
          <t>ZZZE220:【営事】サポート支援（書類作成）</t>
        </is>
      </c>
      <c r="D1501">
        <f>L1501</f>
        <v/>
      </c>
      <c r="E1501">
        <f>SUMIFS(J:J, G:G,             A1501, H:H, B1501, L:L, L1501)</f>
        <v/>
      </c>
      <c r="F1501" t="inlineStr">
        <is>
          <t>48</t>
        </is>
      </c>
      <c r="G1501" t="inlineStr">
        <is>
          <t>打保 しのぶ</t>
        </is>
      </c>
      <c r="H1501" t="inlineStr">
        <is>
          <t>ZZZE220:【営事】サポート支援（書類作成）</t>
        </is>
      </c>
      <c r="I1501" s="1" t="n">
        <v>45936</v>
      </c>
      <c r="J1501" t="n">
        <v>0.75</v>
      </c>
      <c r="K1501" t="inlineStr">
        <is>
          <t>ヤマハ様対応記録作成・送信、伊藤塾様作業報告書作成</t>
        </is>
      </c>
      <c r="L1501">
        <f>IFERROR(LEFT(K1501,             FIND(",", K1501) - 1), "-")</f>
        <v/>
      </c>
      <c r="M1501">
        <f>IFERROR(MID(K1501,             FIND(",", K1501) + 1, LEN(K1501) - FIND(",", K1501)), K1501)</f>
        <v/>
      </c>
      <c r="N1501" t="n">
        <v>4</v>
      </c>
      <c r="P1501" t="inlineStr">
        <is>
          <t>11:15</t>
        </is>
      </c>
      <c r="Q1501" t="inlineStr">
        <is>
          <t>12:00</t>
        </is>
      </c>
    </row>
    <row r="1502">
      <c r="A1502" t="inlineStr">
        <is>
          <t>打保 しのぶ</t>
        </is>
      </c>
      <c r="B1502" t="inlineStr">
        <is>
          <t>ZZZE220:【営事】サポート支援（書類作成）</t>
        </is>
      </c>
      <c r="D1502">
        <f>L1502</f>
        <v/>
      </c>
      <c r="E1502">
        <f>SUMIFS(J:J, G:G,             A1502, H:H, B1502, L:L, L1502)</f>
        <v/>
      </c>
      <c r="F1502" t="inlineStr">
        <is>
          <t>48</t>
        </is>
      </c>
      <c r="G1502" t="inlineStr">
        <is>
          <t>打保 しのぶ</t>
        </is>
      </c>
      <c r="H1502" t="inlineStr">
        <is>
          <t>ZZZE220:【営事】サポート支援（書類作成）</t>
        </is>
      </c>
      <c r="I1502" s="1" t="n">
        <v>45947</v>
      </c>
      <c r="J1502" t="n">
        <v>0.5</v>
      </c>
      <c r="K1502" t="inlineStr">
        <is>
          <t>伊藤塾様作業報告書、ヤマハ様対応記録作成</t>
        </is>
      </c>
      <c r="L1502">
        <f>IFERROR(LEFT(K1502,             FIND(",", K1502) - 1), "-")</f>
        <v/>
      </c>
      <c r="M1502">
        <f>IFERROR(MID(K1502,             FIND(",", K1502) + 1, LEN(K1502) - FIND(",", K1502)), K1502)</f>
        <v/>
      </c>
      <c r="N1502" t="n">
        <v>4</v>
      </c>
      <c r="P1502" t="inlineStr">
        <is>
          <t>13:30</t>
        </is>
      </c>
      <c r="Q1502" t="inlineStr">
        <is>
          <t>14:00</t>
        </is>
      </c>
    </row>
    <row r="1503">
      <c r="A1503" t="inlineStr">
        <is>
          <t>打保 しのぶ</t>
        </is>
      </c>
      <c r="B1503" t="inlineStr">
        <is>
          <t>ZZZE220:【営事】サポート支援（書類作成）</t>
        </is>
      </c>
      <c r="D1503">
        <f>L1503</f>
        <v/>
      </c>
      <c r="E1503">
        <f>SUMIFS(J:J, G:G,             A1503, H:H, B1503, L:L, L1503)</f>
        <v/>
      </c>
      <c r="F1503" t="inlineStr">
        <is>
          <t>48</t>
        </is>
      </c>
      <c r="G1503" t="inlineStr">
        <is>
          <t>打保 しのぶ</t>
        </is>
      </c>
      <c r="H1503" t="inlineStr">
        <is>
          <t>ZZZE220:【営事】サポート支援（書類作成）</t>
        </is>
      </c>
      <c r="I1503" s="1" t="n">
        <v>45932</v>
      </c>
      <c r="J1503" t="n">
        <v>0.25</v>
      </c>
      <c r="K1503" t="inlineStr">
        <is>
          <t>伊藤塾様作業報告書作成</t>
        </is>
      </c>
      <c r="L1503">
        <f>IFERROR(LEFT(K1503,             FIND(",", K1503) - 1), "-")</f>
        <v/>
      </c>
      <c r="M1503">
        <f>IFERROR(MID(K1503,             FIND(",", K1503) + 1, LEN(K1503) - FIND(",", K1503)), K1503)</f>
        <v/>
      </c>
      <c r="N1503" t="n">
        <v>4</v>
      </c>
      <c r="P1503" t="inlineStr">
        <is>
          <t>14:30</t>
        </is>
      </c>
      <c r="Q1503" t="inlineStr">
        <is>
          <t>14:45</t>
        </is>
      </c>
    </row>
    <row r="1504">
      <c r="A1504" t="inlineStr">
        <is>
          <t>打保 しのぶ</t>
        </is>
      </c>
      <c r="B1504" t="inlineStr">
        <is>
          <t>ZZZE220:【営事】サポート支援（書類作成）</t>
        </is>
      </c>
      <c r="D1504">
        <f>L1504</f>
        <v/>
      </c>
      <c r="E1504">
        <f>SUMIFS(J:J, G:G,             A1504, H:H, B1504, L:L, L1504)</f>
        <v/>
      </c>
      <c r="F1504" t="inlineStr">
        <is>
          <t>48</t>
        </is>
      </c>
      <c r="G1504" t="inlineStr">
        <is>
          <t>打保 しのぶ</t>
        </is>
      </c>
      <c r="H1504" t="inlineStr">
        <is>
          <t>ZZZE220:【営事】サポート支援（書類作成）</t>
        </is>
      </c>
      <c r="I1504" s="1" t="n">
        <v>45933</v>
      </c>
      <c r="J1504" t="n">
        <v>0.25</v>
      </c>
      <c r="K1504" t="inlineStr">
        <is>
          <t>伊藤塾様作業報告書作成</t>
        </is>
      </c>
      <c r="L1504">
        <f>IFERROR(LEFT(K1504,             FIND(",", K1504) - 1), "-")</f>
        <v/>
      </c>
      <c r="M1504">
        <f>IFERROR(MID(K1504,             FIND(",", K1504) + 1, LEN(K1504) - FIND(",", K1504)), K1504)</f>
        <v/>
      </c>
      <c r="N1504" t="n">
        <v>4</v>
      </c>
      <c r="P1504" t="inlineStr">
        <is>
          <t>14:00</t>
        </is>
      </c>
      <c r="Q1504" t="inlineStr">
        <is>
          <t>14:15</t>
        </is>
      </c>
    </row>
    <row r="1505">
      <c r="A1505" t="inlineStr">
        <is>
          <t>打保 しのぶ</t>
        </is>
      </c>
      <c r="B1505" t="inlineStr">
        <is>
          <t>ZZZE220:【営事】サポート支援（書類作成）</t>
        </is>
      </c>
      <c r="D1505">
        <f>L1505</f>
        <v/>
      </c>
      <c r="E1505">
        <f>SUMIFS(J:J, G:G,             A1505, H:H, B1505, L:L, L1505)</f>
        <v/>
      </c>
      <c r="F1505" t="inlineStr">
        <is>
          <t>48</t>
        </is>
      </c>
      <c r="G1505" t="inlineStr">
        <is>
          <t>打保 しのぶ</t>
        </is>
      </c>
      <c r="H1505" t="inlineStr">
        <is>
          <t>ZZZE220:【営事】サポート支援（書類作成）</t>
        </is>
      </c>
      <c r="I1505" s="1" t="n">
        <v>45939</v>
      </c>
      <c r="J1505" t="n">
        <v>0.5</v>
      </c>
      <c r="K1505" t="inlineStr">
        <is>
          <t>伊藤塾様作業報告書作成</t>
        </is>
      </c>
      <c r="L1505">
        <f>IFERROR(LEFT(K1505,             FIND(",", K1505) - 1), "-")</f>
        <v/>
      </c>
      <c r="M1505">
        <f>IFERROR(MID(K1505,             FIND(",", K1505) + 1, LEN(K1505) - FIND(",", K1505)), K1505)</f>
        <v/>
      </c>
      <c r="N1505" t="n">
        <v>4</v>
      </c>
      <c r="P1505" t="inlineStr">
        <is>
          <t>11:15</t>
        </is>
      </c>
      <c r="Q1505" t="inlineStr">
        <is>
          <t>11:45</t>
        </is>
      </c>
    </row>
    <row r="1506">
      <c r="A1506" t="inlineStr">
        <is>
          <t>打保 しのぶ</t>
        </is>
      </c>
      <c r="B1506" t="inlineStr">
        <is>
          <t>ZZZE220:【営事】サポート支援（書類作成）</t>
        </is>
      </c>
      <c r="D1506">
        <f>L1506</f>
        <v/>
      </c>
      <c r="E1506">
        <f>SUMIFS(J:J, G:G,             A1506, H:H, B1506, L:L, L1506)</f>
        <v/>
      </c>
      <c r="F1506" t="inlineStr">
        <is>
          <t>48</t>
        </is>
      </c>
      <c r="G1506" t="inlineStr">
        <is>
          <t>打保 しのぶ</t>
        </is>
      </c>
      <c r="H1506" t="inlineStr">
        <is>
          <t>ZZZE220:【営事】サポート支援（書類作成）</t>
        </is>
      </c>
      <c r="I1506" s="1" t="n">
        <v>45940</v>
      </c>
      <c r="J1506" t="n">
        <v>0.25</v>
      </c>
      <c r="K1506" t="inlineStr">
        <is>
          <t>伊藤塾様作業報告書作成</t>
        </is>
      </c>
      <c r="L1506">
        <f>IFERROR(LEFT(K1506,             FIND(",", K1506) - 1), "-")</f>
        <v/>
      </c>
      <c r="M1506">
        <f>IFERROR(MID(K1506,             FIND(",", K1506) + 1, LEN(K1506) - FIND(",", K1506)), K1506)</f>
        <v/>
      </c>
      <c r="N1506" t="n">
        <v>4</v>
      </c>
      <c r="P1506" t="inlineStr">
        <is>
          <t>16:30</t>
        </is>
      </c>
      <c r="Q1506" t="inlineStr">
        <is>
          <t>16:45</t>
        </is>
      </c>
    </row>
    <row r="1507">
      <c r="A1507" t="inlineStr">
        <is>
          <t>打保 しのぶ</t>
        </is>
      </c>
      <c r="B1507" t="inlineStr">
        <is>
          <t>ZZZE220:【営事】サポート支援（書類作成）</t>
        </is>
      </c>
      <c r="D1507">
        <f>L1507</f>
        <v/>
      </c>
      <c r="E1507">
        <f>SUMIFS(J:J, G:G,             A1507, H:H, B1507, L:L, L1507)</f>
        <v/>
      </c>
      <c r="F1507" t="inlineStr">
        <is>
          <t>48</t>
        </is>
      </c>
      <c r="G1507" t="inlineStr">
        <is>
          <t>打保 しのぶ</t>
        </is>
      </c>
      <c r="H1507" t="inlineStr">
        <is>
          <t>ZZZE220:【営事】サポート支援（書類作成）</t>
        </is>
      </c>
      <c r="I1507" s="1" t="n">
        <v>45950</v>
      </c>
      <c r="J1507" t="n">
        <v>0.25</v>
      </c>
      <c r="K1507" t="inlineStr">
        <is>
          <t>伊藤塾様作業報告書作成</t>
        </is>
      </c>
      <c r="L1507">
        <f>IFERROR(LEFT(K1507,             FIND(",", K1507) - 1), "-")</f>
        <v/>
      </c>
      <c r="M1507">
        <f>IFERROR(MID(K1507,             FIND(",", K1507) + 1, LEN(K1507) - FIND(",", K1507)), K1507)</f>
        <v/>
      </c>
      <c r="N1507" t="n">
        <v>4</v>
      </c>
      <c r="P1507" t="inlineStr">
        <is>
          <t>13:30</t>
        </is>
      </c>
      <c r="Q1507" t="inlineStr">
        <is>
          <t>13:45</t>
        </is>
      </c>
    </row>
    <row r="1508">
      <c r="A1508" t="inlineStr">
        <is>
          <t>打保 しのぶ</t>
        </is>
      </c>
      <c r="B1508" t="inlineStr">
        <is>
          <t>ZZZE220:【営事】サポート支援（書類作成）</t>
        </is>
      </c>
      <c r="D1508">
        <f>L1508</f>
        <v/>
      </c>
      <c r="E1508">
        <f>SUMIFS(J:J, G:G,             A1508, H:H, B1508, L:L, L1508)</f>
        <v/>
      </c>
      <c r="F1508" t="inlineStr">
        <is>
          <t>48</t>
        </is>
      </c>
      <c r="G1508" t="inlineStr">
        <is>
          <t>打保 しのぶ</t>
        </is>
      </c>
      <c r="H1508" t="inlineStr">
        <is>
          <t>ZZZE220:【営事】サポート支援（書類作成）</t>
        </is>
      </c>
      <c r="I1508" s="1" t="n">
        <v>45951</v>
      </c>
      <c r="J1508" t="n">
        <v>0.5</v>
      </c>
      <c r="K1508" t="inlineStr">
        <is>
          <t>伊藤塾様作業報告書作成</t>
        </is>
      </c>
      <c r="L1508">
        <f>IFERROR(LEFT(K1508,             FIND(",", K1508) - 1), "-")</f>
        <v/>
      </c>
      <c r="M1508">
        <f>IFERROR(MID(K1508,             FIND(",", K1508) + 1, LEN(K1508) - FIND(",", K1508)), K1508)</f>
        <v/>
      </c>
      <c r="N1508" t="n">
        <v>4</v>
      </c>
      <c r="P1508" t="inlineStr">
        <is>
          <t>13:00</t>
        </is>
      </c>
      <c r="Q1508" t="inlineStr">
        <is>
          <t>13:30</t>
        </is>
      </c>
    </row>
    <row r="1509">
      <c r="A1509" t="inlineStr">
        <is>
          <t>打保 しのぶ</t>
        </is>
      </c>
      <c r="B1509" t="inlineStr">
        <is>
          <t>ZZZE220:【営事】サポート支援（書類作成）</t>
        </is>
      </c>
      <c r="D1509">
        <f>L1509</f>
        <v/>
      </c>
      <c r="E1509">
        <f>SUMIFS(J:J, G:G,             A1509, H:H, B1509, L:L, L1509)</f>
        <v/>
      </c>
      <c r="F1509" t="inlineStr">
        <is>
          <t>48</t>
        </is>
      </c>
      <c r="G1509" t="inlineStr">
        <is>
          <t>打保 しのぶ</t>
        </is>
      </c>
      <c r="H1509" t="inlineStr">
        <is>
          <t>ZZZE220:【営事】サポート支援（書類作成）</t>
        </is>
      </c>
      <c r="I1509" s="1" t="n">
        <v>45951</v>
      </c>
      <c r="J1509" t="n">
        <v>0.25</v>
      </c>
      <c r="K1509" t="inlineStr">
        <is>
          <t>伊藤塾様作業報告書作成</t>
        </is>
      </c>
      <c r="L1509">
        <f>IFERROR(LEFT(K1509,             FIND(",", K1509) - 1), "-")</f>
        <v/>
      </c>
      <c r="M1509">
        <f>IFERROR(MID(K1509,             FIND(",", K1509) + 1, LEN(K1509) - FIND(",", K1509)), K1509)</f>
        <v/>
      </c>
      <c r="N1509" t="n">
        <v>4</v>
      </c>
      <c r="P1509" t="inlineStr">
        <is>
          <t>17:15</t>
        </is>
      </c>
      <c r="Q1509" t="inlineStr">
        <is>
          <t>17:30</t>
        </is>
      </c>
    </row>
    <row r="1510">
      <c r="A1510" t="inlineStr">
        <is>
          <t>打保 しのぶ</t>
        </is>
      </c>
      <c r="B1510" t="inlineStr">
        <is>
          <t>ZZZE220:【営事】サポート支援（書類作成）</t>
        </is>
      </c>
      <c r="D1510">
        <f>L1510</f>
        <v/>
      </c>
      <c r="E1510">
        <f>SUMIFS(J:J, G:G,             A1510, H:H, B1510, L:L, L1510)</f>
        <v/>
      </c>
      <c r="F1510" t="inlineStr">
        <is>
          <t>48</t>
        </is>
      </c>
      <c r="G1510" t="inlineStr">
        <is>
          <t>打保 しのぶ</t>
        </is>
      </c>
      <c r="H1510" t="inlineStr">
        <is>
          <t>ZZZE220:【営事】サポート支援（書類作成）</t>
        </is>
      </c>
      <c r="I1510" s="1" t="n">
        <v>45953</v>
      </c>
      <c r="J1510" t="n">
        <v>0.5</v>
      </c>
      <c r="K1510" t="inlineStr">
        <is>
          <t>伊藤塾様作業報告書作成</t>
        </is>
      </c>
      <c r="L1510">
        <f>IFERROR(LEFT(K1510,             FIND(",", K1510) - 1), "-")</f>
        <v/>
      </c>
      <c r="M1510">
        <f>IFERROR(MID(K1510,             FIND(",", K1510) + 1, LEN(K1510) - FIND(",", K1510)), K1510)</f>
        <v/>
      </c>
      <c r="N1510" t="n">
        <v>4</v>
      </c>
      <c r="P1510" t="inlineStr">
        <is>
          <t>16:30</t>
        </is>
      </c>
      <c r="Q1510" t="inlineStr">
        <is>
          <t>17:00</t>
        </is>
      </c>
    </row>
    <row r="1511">
      <c r="A1511" t="inlineStr">
        <is>
          <t>打保 しのぶ</t>
        </is>
      </c>
      <c r="B1511" t="inlineStr">
        <is>
          <t>ZZZE220:【営事】サポート支援（書類作成）</t>
        </is>
      </c>
      <c r="D1511">
        <f>L1511</f>
        <v/>
      </c>
      <c r="E1511">
        <f>SUMIFS(J:J, G:G,             A1511, H:H, B1511, L:L, L1511)</f>
        <v/>
      </c>
      <c r="F1511" t="inlineStr">
        <is>
          <t>48</t>
        </is>
      </c>
      <c r="G1511" t="inlineStr">
        <is>
          <t>打保 しのぶ</t>
        </is>
      </c>
      <c r="H1511" t="inlineStr">
        <is>
          <t>ZZZE220:【営事】サポート支援（書類作成）</t>
        </is>
      </c>
      <c r="I1511" s="1" t="n">
        <v>45939</v>
      </c>
      <c r="J1511" t="n">
        <v>0.5</v>
      </c>
      <c r="K1511" t="inlineStr">
        <is>
          <t>保健福祉様見積書作成、押印</t>
        </is>
      </c>
      <c r="L1511">
        <f>IFERROR(LEFT(K1511,             FIND(",", K1511) - 1), "-")</f>
        <v/>
      </c>
      <c r="M1511">
        <f>IFERROR(MID(K1511,             FIND(",", K1511) + 1, LEN(K1511) - FIND(",", K1511)), K1511)</f>
        <v/>
      </c>
      <c r="N1511" t="n">
        <v>4</v>
      </c>
      <c r="P1511" t="inlineStr">
        <is>
          <t>13:15</t>
        </is>
      </c>
      <c r="Q1511" t="inlineStr">
        <is>
          <t>13:45</t>
        </is>
      </c>
    </row>
    <row r="1512">
      <c r="A1512" t="inlineStr">
        <is>
          <t>打保 しのぶ</t>
        </is>
      </c>
      <c r="B1512" t="inlineStr">
        <is>
          <t>ZZZE220:【営事】サポート支援（書類作成）</t>
        </is>
      </c>
      <c r="D1512">
        <f>L1512</f>
        <v/>
      </c>
      <c r="E1512">
        <f>SUMIFS(J:J, G:G,             A1512, H:H, B1512, L:L, L1512)</f>
        <v/>
      </c>
      <c r="F1512" t="inlineStr">
        <is>
          <t>48</t>
        </is>
      </c>
      <c r="G1512" t="inlineStr">
        <is>
          <t>打保 しのぶ</t>
        </is>
      </c>
      <c r="H1512" t="inlineStr">
        <is>
          <t>ZZZE220:【営事】サポート支援（書類作成）</t>
        </is>
      </c>
      <c r="I1512" s="1" t="n">
        <v>45936</v>
      </c>
      <c r="J1512" t="n">
        <v>0.25</v>
      </c>
      <c r="L1512">
        <f>IFERROR(LEFT(K1512,             FIND(",", K1512) - 1), "-")</f>
        <v/>
      </c>
      <c r="M1512">
        <f>IFERROR(MID(K1512,             FIND(",", K1512) + 1, LEN(K1512) - FIND(",", K1512)), K1512)</f>
        <v/>
      </c>
      <c r="N1512" t="n">
        <v>4</v>
      </c>
      <c r="P1512" t="inlineStr">
        <is>
          <t>17:15</t>
        </is>
      </c>
      <c r="Q1512" t="inlineStr">
        <is>
          <t>17:30</t>
        </is>
      </c>
    </row>
    <row r="1513">
      <c r="A1513" t="inlineStr">
        <is>
          <t>打保 しのぶ</t>
        </is>
      </c>
      <c r="B1513" t="inlineStr">
        <is>
          <t>ZZZE221:【営事】PJ収支資料作成</t>
        </is>
      </c>
      <c r="C1513">
        <f>SUMIFS(J:J, G:G,             A1513, H:H, B1513)</f>
        <v/>
      </c>
      <c r="D1513">
        <f>L1513</f>
        <v/>
      </c>
      <c r="E1513">
        <f>SUMIFS(J:J, G:G,             A1513, H:H, B1513, L:L, L1513)</f>
        <v/>
      </c>
      <c r="F1513" t="inlineStr">
        <is>
          <t>48</t>
        </is>
      </c>
      <c r="G1513" t="inlineStr">
        <is>
          <t>打保 しのぶ</t>
        </is>
      </c>
      <c r="H1513" t="inlineStr">
        <is>
          <t>ZZZE221:【営事】PJ収支資料作成</t>
        </is>
      </c>
      <c r="I1513" s="1" t="n">
        <v>45940</v>
      </c>
      <c r="J1513" t="n">
        <v>0.75</v>
      </c>
      <c r="K1513" t="inlineStr">
        <is>
          <t>ppt資料作成</t>
        </is>
      </c>
      <c r="L1513">
        <f>IFERROR(LEFT(K1513,             FIND(",", K1513) - 1), "-")</f>
        <v/>
      </c>
      <c r="M1513">
        <f>IFERROR(MID(K1513,             FIND(",", K1513) + 1, LEN(K1513) - FIND(",", K1513)), K1513)</f>
        <v/>
      </c>
      <c r="N1513" t="n">
        <v>5</v>
      </c>
      <c r="P1513" t="inlineStr">
        <is>
          <t>09:30</t>
        </is>
      </c>
      <c r="Q1513" t="inlineStr">
        <is>
          <t>10:15</t>
        </is>
      </c>
    </row>
    <row r="1514">
      <c r="A1514" t="inlineStr">
        <is>
          <t>打保 しのぶ</t>
        </is>
      </c>
      <c r="B1514" t="inlineStr">
        <is>
          <t>ZZZE221:【営事】PJ収支資料作成</t>
        </is>
      </c>
      <c r="D1514">
        <f>L1514</f>
        <v/>
      </c>
      <c r="E1514">
        <f>SUMIFS(J:J, G:G,             A1514, H:H, B1514, L:L, L1514)</f>
        <v/>
      </c>
      <c r="F1514" t="inlineStr">
        <is>
          <t>48</t>
        </is>
      </c>
      <c r="G1514" t="inlineStr">
        <is>
          <t>打保 しのぶ</t>
        </is>
      </c>
      <c r="H1514" t="inlineStr">
        <is>
          <t>ZZZE221:【営事】PJ収支資料作成</t>
        </is>
      </c>
      <c r="I1514" s="1" t="n">
        <v>45933</v>
      </c>
      <c r="J1514" t="n">
        <v>0.5</v>
      </c>
      <c r="K1514" t="inlineStr">
        <is>
          <t>フィリピン資料提出</t>
        </is>
      </c>
      <c r="L1514">
        <f>IFERROR(LEFT(K1514,             FIND(",", K1514) - 1), "-")</f>
        <v/>
      </c>
      <c r="M1514">
        <f>IFERROR(MID(K1514,             FIND(",", K1514) + 1, LEN(K1514) - FIND(",", K1514)), K1514)</f>
        <v/>
      </c>
      <c r="N1514" t="n">
        <v>5</v>
      </c>
      <c r="P1514" t="inlineStr">
        <is>
          <t>11:30</t>
        </is>
      </c>
      <c r="Q1514" t="inlineStr">
        <is>
          <t>12:00</t>
        </is>
      </c>
    </row>
    <row r="1515">
      <c r="A1515" t="inlineStr">
        <is>
          <t>打保 しのぶ</t>
        </is>
      </c>
      <c r="B1515" t="inlineStr">
        <is>
          <t>ZZZE221:【営事】PJ収支資料作成</t>
        </is>
      </c>
      <c r="D1515">
        <f>L1515</f>
        <v/>
      </c>
      <c r="E1515">
        <f>SUMIFS(J:J, G:G,             A1515, H:H, B1515, L:L, L1515)</f>
        <v/>
      </c>
      <c r="F1515" t="inlineStr">
        <is>
          <t>48</t>
        </is>
      </c>
      <c r="G1515" t="inlineStr">
        <is>
          <t>打保 しのぶ</t>
        </is>
      </c>
      <c r="H1515" t="inlineStr">
        <is>
          <t>ZZZE221:【営事】PJ収支資料作成</t>
        </is>
      </c>
      <c r="I1515" s="1" t="n">
        <v>45932</v>
      </c>
      <c r="J1515" t="n">
        <v>1.5</v>
      </c>
      <c r="L1515">
        <f>IFERROR(LEFT(K1515,             FIND(",", K1515) - 1), "-")</f>
        <v/>
      </c>
      <c r="M1515">
        <f>IFERROR(MID(K1515,             FIND(",", K1515) + 1, LEN(K1515) - FIND(",", K1515)), K1515)</f>
        <v/>
      </c>
      <c r="N1515" t="n">
        <v>5</v>
      </c>
      <c r="P1515" t="inlineStr">
        <is>
          <t>16:30</t>
        </is>
      </c>
      <c r="Q1515" t="inlineStr">
        <is>
          <t>18:00</t>
        </is>
      </c>
    </row>
    <row r="1516">
      <c r="A1516" t="inlineStr">
        <is>
          <t>打保 しのぶ</t>
        </is>
      </c>
      <c r="B1516" t="inlineStr">
        <is>
          <t>ZZZE221:【営事】PJ収支資料作成</t>
        </is>
      </c>
      <c r="D1516">
        <f>L1516</f>
        <v/>
      </c>
      <c r="E1516">
        <f>SUMIFS(J:J, G:G,             A1516, H:H, B1516, L:L, L1516)</f>
        <v/>
      </c>
      <c r="F1516" t="inlineStr">
        <is>
          <t>48</t>
        </is>
      </c>
      <c r="G1516" t="inlineStr">
        <is>
          <t>打保 しのぶ</t>
        </is>
      </c>
      <c r="H1516" t="inlineStr">
        <is>
          <t>ZZZE221:【営事】PJ収支資料作成</t>
        </is>
      </c>
      <c r="I1516" s="1" t="n">
        <v>45933</v>
      </c>
      <c r="J1516" t="n">
        <v>1</v>
      </c>
      <c r="L1516">
        <f>IFERROR(LEFT(K1516,             FIND(",", K1516) - 1), "-")</f>
        <v/>
      </c>
      <c r="M1516">
        <f>IFERROR(MID(K1516,             FIND(",", K1516) + 1, LEN(K1516) - FIND(",", K1516)), K1516)</f>
        <v/>
      </c>
      <c r="N1516" t="n">
        <v>5</v>
      </c>
      <c r="P1516" t="inlineStr">
        <is>
          <t>09:45</t>
        </is>
      </c>
      <c r="Q1516" t="inlineStr">
        <is>
          <t>10:45</t>
        </is>
      </c>
    </row>
    <row r="1517">
      <c r="A1517" t="inlineStr">
        <is>
          <t>打保 しのぶ</t>
        </is>
      </c>
      <c r="B1517" t="inlineStr">
        <is>
          <t>ZZZE221:【営事】PJ収支資料作成</t>
        </is>
      </c>
      <c r="D1517">
        <f>L1517</f>
        <v/>
      </c>
      <c r="E1517">
        <f>SUMIFS(J:J, G:G,             A1517, H:H, B1517, L:L, L1517)</f>
        <v/>
      </c>
      <c r="F1517" t="inlineStr">
        <is>
          <t>48</t>
        </is>
      </c>
      <c r="G1517" t="inlineStr">
        <is>
          <t>打保 しのぶ</t>
        </is>
      </c>
      <c r="H1517" t="inlineStr">
        <is>
          <t>ZZZE221:【営事】PJ収支資料作成</t>
        </is>
      </c>
      <c r="I1517" s="1" t="n">
        <v>45933</v>
      </c>
      <c r="J1517" t="n">
        <v>0.5</v>
      </c>
      <c r="L1517">
        <f>IFERROR(LEFT(K1517,             FIND(",", K1517) - 1), "-")</f>
        <v/>
      </c>
      <c r="M1517">
        <f>IFERROR(MID(K1517,             FIND(",", K1517) + 1, LEN(K1517) - FIND(",", K1517)), K1517)</f>
        <v/>
      </c>
      <c r="N1517" t="n">
        <v>5</v>
      </c>
      <c r="P1517" t="inlineStr">
        <is>
          <t>14:30</t>
        </is>
      </c>
      <c r="Q1517" t="inlineStr">
        <is>
          <t>15:00</t>
        </is>
      </c>
    </row>
    <row r="1518">
      <c r="A1518" t="inlineStr">
        <is>
          <t>打保 しのぶ</t>
        </is>
      </c>
      <c r="B1518" t="inlineStr">
        <is>
          <t>ZZZE221:【営事】PJ収支資料作成</t>
        </is>
      </c>
      <c r="D1518">
        <f>L1518</f>
        <v/>
      </c>
      <c r="E1518">
        <f>SUMIFS(J:J, G:G,             A1518, H:H, B1518, L:L, L1518)</f>
        <v/>
      </c>
      <c r="F1518" t="inlineStr">
        <is>
          <t>48</t>
        </is>
      </c>
      <c r="G1518" t="inlineStr">
        <is>
          <t>打保 しのぶ</t>
        </is>
      </c>
      <c r="H1518" t="inlineStr">
        <is>
          <t>ZZZE221:【営事】PJ収支資料作成</t>
        </is>
      </c>
      <c r="I1518" s="1" t="n">
        <v>45933</v>
      </c>
      <c r="J1518" t="n">
        <v>1</v>
      </c>
      <c r="L1518">
        <f>IFERROR(LEFT(K1518,             FIND(",", K1518) - 1), "-")</f>
        <v/>
      </c>
      <c r="M1518">
        <f>IFERROR(MID(K1518,             FIND(",", K1518) + 1, LEN(K1518) - FIND(",", K1518)), K1518)</f>
        <v/>
      </c>
      <c r="N1518" t="n">
        <v>5</v>
      </c>
      <c r="P1518" t="inlineStr">
        <is>
          <t>17:00</t>
        </is>
      </c>
      <c r="Q1518" t="inlineStr">
        <is>
          <t>18:00</t>
        </is>
      </c>
    </row>
    <row r="1519">
      <c r="A1519" t="inlineStr">
        <is>
          <t>打保 しのぶ</t>
        </is>
      </c>
      <c r="B1519" t="inlineStr">
        <is>
          <t>ZZZE221:【営事】PJ収支資料作成</t>
        </is>
      </c>
      <c r="D1519">
        <f>L1519</f>
        <v/>
      </c>
      <c r="E1519">
        <f>SUMIFS(J:J, G:G,             A1519, H:H, B1519, L:L, L1519)</f>
        <v/>
      </c>
      <c r="F1519" t="inlineStr">
        <is>
          <t>48</t>
        </is>
      </c>
      <c r="G1519" t="inlineStr">
        <is>
          <t>打保 しのぶ</t>
        </is>
      </c>
      <c r="H1519" t="inlineStr">
        <is>
          <t>ZZZE221:【営事】PJ収支資料作成</t>
        </is>
      </c>
      <c r="I1519" s="1" t="n">
        <v>45936</v>
      </c>
      <c r="J1519" t="n">
        <v>2.5</v>
      </c>
      <c r="L1519">
        <f>IFERROR(LEFT(K1519,             FIND(",", K1519) - 1), "-")</f>
        <v/>
      </c>
      <c r="M1519">
        <f>IFERROR(MID(K1519,             FIND(",", K1519) + 1, LEN(K1519) - FIND(",", K1519)), K1519)</f>
        <v/>
      </c>
      <c r="N1519" t="n">
        <v>5</v>
      </c>
      <c r="P1519" t="inlineStr">
        <is>
          <t>13:00</t>
        </is>
      </c>
      <c r="Q1519" t="inlineStr">
        <is>
          <t>15:30</t>
        </is>
      </c>
    </row>
    <row r="1520">
      <c r="A1520" t="inlineStr">
        <is>
          <t>打保 しのぶ</t>
        </is>
      </c>
      <c r="B1520" t="inlineStr">
        <is>
          <t>ZZZE221:【営事】PJ収支資料作成</t>
        </is>
      </c>
      <c r="D1520">
        <f>L1520</f>
        <v/>
      </c>
      <c r="E1520">
        <f>SUMIFS(J:J, G:G,             A1520, H:H, B1520, L:L, L1520)</f>
        <v/>
      </c>
      <c r="F1520" t="inlineStr">
        <is>
          <t>48</t>
        </is>
      </c>
      <c r="G1520" t="inlineStr">
        <is>
          <t>打保 しのぶ</t>
        </is>
      </c>
      <c r="H1520" t="inlineStr">
        <is>
          <t>ZZZE221:【営事】PJ収支資料作成</t>
        </is>
      </c>
      <c r="I1520" s="1" t="n">
        <v>45936</v>
      </c>
      <c r="J1520" t="n">
        <v>1.25</v>
      </c>
      <c r="L1520">
        <f>IFERROR(LEFT(K1520,             FIND(",", K1520) - 1), "-")</f>
        <v/>
      </c>
      <c r="M1520">
        <f>IFERROR(MID(K1520,             FIND(",", K1520) + 1, LEN(K1520) - FIND(",", K1520)), K1520)</f>
        <v/>
      </c>
      <c r="N1520" t="n">
        <v>5</v>
      </c>
      <c r="P1520" t="inlineStr">
        <is>
          <t>16:00</t>
        </is>
      </c>
      <c r="Q1520" t="inlineStr">
        <is>
          <t>17:15</t>
        </is>
      </c>
    </row>
    <row r="1521">
      <c r="A1521" t="inlineStr">
        <is>
          <t>打保 しのぶ</t>
        </is>
      </c>
      <c r="B1521" t="inlineStr">
        <is>
          <t>ZZZE221:【営事】PJ収支資料作成</t>
        </is>
      </c>
      <c r="D1521">
        <f>L1521</f>
        <v/>
      </c>
      <c r="E1521">
        <f>SUMIFS(J:J, G:G,             A1521, H:H, B1521, L:L, L1521)</f>
        <v/>
      </c>
      <c r="F1521" t="inlineStr">
        <is>
          <t>48</t>
        </is>
      </c>
      <c r="G1521" t="inlineStr">
        <is>
          <t>打保 しのぶ</t>
        </is>
      </c>
      <c r="H1521" t="inlineStr">
        <is>
          <t>ZZZE221:【営事】PJ収支資料作成</t>
        </is>
      </c>
      <c r="I1521" s="1" t="n">
        <v>45937</v>
      </c>
      <c r="J1521" t="n">
        <v>0.5</v>
      </c>
      <c r="L1521">
        <f>IFERROR(LEFT(K1521,             FIND(",", K1521) - 1), "-")</f>
        <v/>
      </c>
      <c r="M1521">
        <f>IFERROR(MID(K1521,             FIND(",", K1521) + 1, LEN(K1521) - FIND(",", K1521)), K1521)</f>
        <v/>
      </c>
      <c r="N1521" t="n">
        <v>5</v>
      </c>
      <c r="P1521" t="inlineStr">
        <is>
          <t>11:30</t>
        </is>
      </c>
      <c r="Q1521" t="inlineStr">
        <is>
          <t>12:00</t>
        </is>
      </c>
    </row>
    <row r="1522">
      <c r="A1522" t="inlineStr">
        <is>
          <t>打保 しのぶ</t>
        </is>
      </c>
      <c r="B1522" t="inlineStr">
        <is>
          <t>ZZZJ101:【人】電子帳簿（人事）</t>
        </is>
      </c>
      <c r="C1522">
        <f>SUMIFS(J:J, G:G,             A1522, H:H, B1522)</f>
        <v/>
      </c>
      <c r="D1522">
        <f>L1522</f>
        <v/>
      </c>
      <c r="E1522">
        <f>SUMIFS(J:J, G:G,             A1522, H:H, B1522, L:L, L1522)</f>
        <v/>
      </c>
      <c r="F1522" t="inlineStr">
        <is>
          <t>48</t>
        </is>
      </c>
      <c r="G1522" t="inlineStr">
        <is>
          <t>打保 しのぶ</t>
        </is>
      </c>
      <c r="H1522" t="inlineStr">
        <is>
          <t>ZZZJ101:【人】電子帳簿（人事）</t>
        </is>
      </c>
      <c r="I1522" s="1" t="n">
        <v>45953</v>
      </c>
      <c r="J1522" t="n">
        <v>0.25</v>
      </c>
      <c r="K1522" t="inlineStr">
        <is>
          <t>注文請書</t>
        </is>
      </c>
      <c r="L1522">
        <f>IFERROR(LEFT(K1522,             FIND(",", K1522) - 1), "-")</f>
        <v/>
      </c>
      <c r="M1522">
        <f>IFERROR(MID(K1522,             FIND(",", K1522) + 1, LEN(K1522) - FIND(",", K1522)), K1522)</f>
        <v/>
      </c>
      <c r="N1522" t="n">
        <v>5</v>
      </c>
      <c r="P1522" t="inlineStr">
        <is>
          <t>13:15</t>
        </is>
      </c>
      <c r="Q1522" t="inlineStr">
        <is>
          <t>13:30</t>
        </is>
      </c>
    </row>
    <row r="1523">
      <c r="A1523" t="inlineStr">
        <is>
          <t>打保 しのぶ</t>
        </is>
      </c>
      <c r="B1523" t="inlineStr">
        <is>
          <t>ZZZJ101:【人】電子帳簿（人事）</t>
        </is>
      </c>
      <c r="D1523">
        <f>L1523</f>
        <v/>
      </c>
      <c r="E1523">
        <f>SUMIFS(J:J, G:G,             A1523, H:H, B1523, L:L, L1523)</f>
        <v/>
      </c>
      <c r="F1523" t="inlineStr">
        <is>
          <t>48</t>
        </is>
      </c>
      <c r="G1523" t="inlineStr">
        <is>
          <t>打保 しのぶ</t>
        </is>
      </c>
      <c r="H1523" t="inlineStr">
        <is>
          <t>ZZZJ101:【人】電子帳簿（人事）</t>
        </is>
      </c>
      <c r="I1523" s="1" t="n">
        <v>45951</v>
      </c>
      <c r="J1523" t="n">
        <v>0.25</v>
      </c>
      <c r="K1523" t="inlineStr">
        <is>
          <t>発注書</t>
        </is>
      </c>
      <c r="L1523">
        <f>IFERROR(LEFT(K1523,             FIND(",", K1523) - 1), "-")</f>
        <v/>
      </c>
      <c r="M1523">
        <f>IFERROR(MID(K1523,             FIND(",", K1523) + 1, LEN(K1523) - FIND(",", K1523)), K1523)</f>
        <v/>
      </c>
      <c r="N1523" t="n">
        <v>5</v>
      </c>
      <c r="P1523" t="inlineStr">
        <is>
          <t>15:30</t>
        </is>
      </c>
      <c r="Q1523" t="inlineStr">
        <is>
          <t>15:45</t>
        </is>
      </c>
    </row>
    <row r="1524">
      <c r="A1524" t="inlineStr">
        <is>
          <t>打保 しのぶ</t>
        </is>
      </c>
      <c r="B1524" t="inlineStr">
        <is>
          <t>ZZZJ101:【人】電子帳簿（人事）</t>
        </is>
      </c>
      <c r="D1524">
        <f>L1524</f>
        <v/>
      </c>
      <c r="E1524">
        <f>SUMIFS(J:J, G:G,             A1524, H:H, B1524, L:L, L1524)</f>
        <v/>
      </c>
      <c r="F1524" t="inlineStr">
        <is>
          <t>48</t>
        </is>
      </c>
      <c r="G1524" t="inlineStr">
        <is>
          <t>打保 しのぶ</t>
        </is>
      </c>
      <c r="H1524" t="inlineStr">
        <is>
          <t>ZZZJ101:【人】電子帳簿（人事）</t>
        </is>
      </c>
      <c r="I1524" s="1" t="n">
        <v>45950</v>
      </c>
      <c r="J1524" t="n">
        <v>0.25</v>
      </c>
      <c r="K1524" t="inlineStr">
        <is>
          <t>見積書</t>
        </is>
      </c>
      <c r="L1524">
        <f>IFERROR(LEFT(K1524,             FIND(",", K1524) - 1), "-")</f>
        <v/>
      </c>
      <c r="M1524">
        <f>IFERROR(MID(K1524,             FIND(",", K1524) + 1, LEN(K1524) - FIND(",", K1524)), K1524)</f>
        <v/>
      </c>
      <c r="N1524" t="n">
        <v>5</v>
      </c>
      <c r="P1524" t="inlineStr">
        <is>
          <t>11:30</t>
        </is>
      </c>
      <c r="Q1524" t="inlineStr">
        <is>
          <t>11:45</t>
        </is>
      </c>
    </row>
    <row r="1525">
      <c r="A1525" t="inlineStr">
        <is>
          <t>打保 しのぶ</t>
        </is>
      </c>
      <c r="B1525" t="inlineStr">
        <is>
          <t>ZZZJ101:【人】電子帳簿（人事）</t>
        </is>
      </c>
      <c r="D1525">
        <f>L1525</f>
        <v/>
      </c>
      <c r="E1525">
        <f>SUMIFS(J:J, G:G,             A1525, H:H, B1525, L:L, L1525)</f>
        <v/>
      </c>
      <c r="F1525" t="inlineStr">
        <is>
          <t>48</t>
        </is>
      </c>
      <c r="G1525" t="inlineStr">
        <is>
          <t>打保 しのぶ</t>
        </is>
      </c>
      <c r="H1525" t="inlineStr">
        <is>
          <t>ZZZJ101:【人】電子帳簿（人事）</t>
        </is>
      </c>
      <c r="I1525" s="1" t="n">
        <v>45939</v>
      </c>
      <c r="J1525" t="n">
        <v>0.25</v>
      </c>
      <c r="K1525" t="inlineStr">
        <is>
          <t>見積書、注文書</t>
        </is>
      </c>
      <c r="L1525">
        <f>IFERROR(LEFT(K1525,             FIND(",", K1525) - 1), "-")</f>
        <v/>
      </c>
      <c r="M1525">
        <f>IFERROR(MID(K1525,             FIND(",", K1525) + 1, LEN(K1525) - FIND(",", K1525)), K1525)</f>
        <v/>
      </c>
      <c r="N1525" t="n">
        <v>5</v>
      </c>
      <c r="P1525" t="inlineStr">
        <is>
          <t>10:00</t>
        </is>
      </c>
      <c r="Q1525" t="inlineStr">
        <is>
          <t>10:15</t>
        </is>
      </c>
    </row>
    <row r="1526">
      <c r="A1526" t="inlineStr">
        <is>
          <t>打保 しのぶ</t>
        </is>
      </c>
      <c r="B1526" t="inlineStr">
        <is>
          <t>ZZZJ101:【人】電子帳簿（人事）</t>
        </is>
      </c>
      <c r="D1526">
        <f>L1526</f>
        <v/>
      </c>
      <c r="E1526">
        <f>SUMIFS(J:J, G:G,             A1526, H:H, B1526, L:L, L1526)</f>
        <v/>
      </c>
      <c r="F1526" t="inlineStr">
        <is>
          <t>48</t>
        </is>
      </c>
      <c r="G1526" t="inlineStr">
        <is>
          <t>打保 しのぶ</t>
        </is>
      </c>
      <c r="H1526" t="inlineStr">
        <is>
          <t>ZZZJ101:【人】電子帳簿（人事）</t>
        </is>
      </c>
      <c r="I1526" s="1" t="n">
        <v>45932</v>
      </c>
      <c r="J1526" t="n">
        <v>0.25</v>
      </c>
      <c r="K1526" t="inlineStr">
        <is>
          <t>請求書</t>
        </is>
      </c>
      <c r="L1526">
        <f>IFERROR(LEFT(K1526,             FIND(",", K1526) - 1), "-")</f>
        <v/>
      </c>
      <c r="M1526">
        <f>IFERROR(MID(K1526,             FIND(",", K1526) + 1, LEN(K1526) - FIND(",", K1526)), K1526)</f>
        <v/>
      </c>
      <c r="N1526" t="n">
        <v>5</v>
      </c>
      <c r="P1526" t="inlineStr">
        <is>
          <t>10:15</t>
        </is>
      </c>
      <c r="Q1526" t="inlineStr">
        <is>
          <t>10:30</t>
        </is>
      </c>
    </row>
    <row r="1527">
      <c r="A1527" t="inlineStr">
        <is>
          <t>打保 しのぶ</t>
        </is>
      </c>
      <c r="B1527" t="inlineStr">
        <is>
          <t>ZZZJ101:【人】電子帳簿（人事）</t>
        </is>
      </c>
      <c r="D1527">
        <f>L1527</f>
        <v/>
      </c>
      <c r="E1527">
        <f>SUMIFS(J:J, G:G,             A1527, H:H, B1527, L:L, L1527)</f>
        <v/>
      </c>
      <c r="F1527" t="inlineStr">
        <is>
          <t>48</t>
        </is>
      </c>
      <c r="G1527" t="inlineStr">
        <is>
          <t>打保 しのぶ</t>
        </is>
      </c>
      <c r="H1527" t="inlineStr">
        <is>
          <t>ZZZJ101:【人】電子帳簿（人事）</t>
        </is>
      </c>
      <c r="I1527" s="1" t="n">
        <v>45932</v>
      </c>
      <c r="J1527" t="n">
        <v>0.25</v>
      </c>
      <c r="K1527" t="inlineStr">
        <is>
          <t>請求書</t>
        </is>
      </c>
      <c r="L1527">
        <f>IFERROR(LEFT(K1527,             FIND(",", K1527) - 1), "-")</f>
        <v/>
      </c>
      <c r="M1527">
        <f>IFERROR(MID(K1527,             FIND(",", K1527) + 1, LEN(K1527) - FIND(",", K1527)), K1527)</f>
        <v/>
      </c>
      <c r="N1527" t="n">
        <v>5</v>
      </c>
      <c r="P1527" t="inlineStr">
        <is>
          <t>13:15</t>
        </is>
      </c>
      <c r="Q1527" t="inlineStr">
        <is>
          <t>13:30</t>
        </is>
      </c>
    </row>
    <row r="1528">
      <c r="A1528" t="inlineStr">
        <is>
          <t>打保 しのぶ</t>
        </is>
      </c>
      <c r="B1528" t="inlineStr">
        <is>
          <t>ZZZJ101:【人】電子帳簿（人事）</t>
        </is>
      </c>
      <c r="D1528">
        <f>L1528</f>
        <v/>
      </c>
      <c r="E1528">
        <f>SUMIFS(J:J, G:G,             A1528, H:H, B1528, L:L, L1528)</f>
        <v/>
      </c>
      <c r="F1528" t="inlineStr">
        <is>
          <t>48</t>
        </is>
      </c>
      <c r="G1528" t="inlineStr">
        <is>
          <t>打保 しのぶ</t>
        </is>
      </c>
      <c r="H1528" t="inlineStr">
        <is>
          <t>ZZZJ101:【人】電子帳簿（人事）</t>
        </is>
      </c>
      <c r="I1528" s="1" t="n">
        <v>45933</v>
      </c>
      <c r="J1528" t="n">
        <v>0.25</v>
      </c>
      <c r="K1528" t="inlineStr">
        <is>
          <t>請求書</t>
        </is>
      </c>
      <c r="L1528">
        <f>IFERROR(LEFT(K1528,             FIND(",", K1528) - 1), "-")</f>
        <v/>
      </c>
      <c r="M1528">
        <f>IFERROR(MID(K1528,             FIND(",", K1528) + 1, LEN(K1528) - FIND(",", K1528)), K1528)</f>
        <v/>
      </c>
      <c r="N1528" t="n">
        <v>5</v>
      </c>
      <c r="P1528" t="inlineStr">
        <is>
          <t>13:00</t>
        </is>
      </c>
      <c r="Q1528" t="inlineStr">
        <is>
          <t>13:15</t>
        </is>
      </c>
    </row>
    <row r="1529">
      <c r="A1529" t="inlineStr">
        <is>
          <t>打保 しのぶ</t>
        </is>
      </c>
      <c r="B1529" t="inlineStr">
        <is>
          <t>ZZZJ101:【人】電子帳簿（人事）</t>
        </is>
      </c>
      <c r="D1529">
        <f>L1529</f>
        <v/>
      </c>
      <c r="E1529">
        <f>SUMIFS(J:J, G:G,             A1529, H:H, B1529, L:L, L1529)</f>
        <v/>
      </c>
      <c r="F1529" t="inlineStr">
        <is>
          <t>48</t>
        </is>
      </c>
      <c r="G1529" t="inlineStr">
        <is>
          <t>打保 しのぶ</t>
        </is>
      </c>
      <c r="H1529" t="inlineStr">
        <is>
          <t>ZZZJ101:【人】電子帳簿（人事）</t>
        </is>
      </c>
      <c r="I1529" s="1" t="n">
        <v>45936</v>
      </c>
      <c r="J1529" t="n">
        <v>0.25</v>
      </c>
      <c r="K1529" t="inlineStr">
        <is>
          <t>請求書</t>
        </is>
      </c>
      <c r="L1529">
        <f>IFERROR(LEFT(K1529,             FIND(",", K1529) - 1), "-")</f>
        <v/>
      </c>
      <c r="M1529">
        <f>IFERROR(MID(K1529,             FIND(",", K1529) + 1, LEN(K1529) - FIND(",", K1529)), K1529)</f>
        <v/>
      </c>
      <c r="N1529" t="n">
        <v>5</v>
      </c>
      <c r="P1529" t="inlineStr">
        <is>
          <t>09:45</t>
        </is>
      </c>
      <c r="Q1529" t="inlineStr">
        <is>
          <t>10:00</t>
        </is>
      </c>
    </row>
    <row r="1530">
      <c r="A1530" t="inlineStr">
        <is>
          <t>打保 しのぶ</t>
        </is>
      </c>
      <c r="B1530" t="inlineStr">
        <is>
          <t>ZZZJ102:【人】給与ファイル作成・送付</t>
        </is>
      </c>
      <c r="C1530">
        <f>SUMIFS(J:J, G:G,             A1530, H:H, B1530)</f>
        <v/>
      </c>
      <c r="D1530">
        <f>L1530</f>
        <v/>
      </c>
      <c r="E1530">
        <f>SUMIFS(J:J, G:G,             A1530, H:H, B1530, L:L, L1530)</f>
        <v/>
      </c>
      <c r="F1530" t="inlineStr">
        <is>
          <t>48</t>
        </is>
      </c>
      <c r="G1530" t="inlineStr">
        <is>
          <t>打保 しのぶ</t>
        </is>
      </c>
      <c r="H1530" t="inlineStr">
        <is>
          <t>ZZZJ102:【人】給与ファイル作成・送付</t>
        </is>
      </c>
      <c r="I1530" s="1" t="n">
        <v>45953</v>
      </c>
      <c r="J1530" t="n">
        <v>0.25</v>
      </c>
      <c r="K1530" t="inlineStr">
        <is>
          <t>経費</t>
        </is>
      </c>
      <c r="L1530">
        <f>IFERROR(LEFT(K1530,             FIND(",", K1530) - 1), "-")</f>
        <v/>
      </c>
      <c r="M1530">
        <f>IFERROR(MID(K1530,             FIND(",", K1530) + 1, LEN(K1530) - FIND(",", K1530)), K1530)</f>
        <v/>
      </c>
      <c r="N1530" t="n">
        <v>5</v>
      </c>
      <c r="P1530" t="inlineStr">
        <is>
          <t>17:45</t>
        </is>
      </c>
      <c r="Q1530" t="inlineStr">
        <is>
          <t>18:00</t>
        </is>
      </c>
    </row>
    <row r="1531">
      <c r="A1531" t="inlineStr">
        <is>
          <t>打保 しのぶ</t>
        </is>
      </c>
      <c r="B1531" t="inlineStr">
        <is>
          <t>ZZZJ102:【人】給与ファイル作成・送付</t>
        </is>
      </c>
      <c r="D1531">
        <f>L1531</f>
        <v/>
      </c>
      <c r="E1531">
        <f>SUMIFS(J:J, G:G,             A1531, H:H, B1531, L:L, L1531)</f>
        <v/>
      </c>
      <c r="F1531" t="inlineStr">
        <is>
          <t>48</t>
        </is>
      </c>
      <c r="G1531" t="inlineStr">
        <is>
          <t>打保 しのぶ</t>
        </is>
      </c>
      <c r="H1531" t="inlineStr">
        <is>
          <t>ZZZJ102:【人】給与ファイル作成・送付</t>
        </is>
      </c>
      <c r="I1531" s="1" t="n">
        <v>45932</v>
      </c>
      <c r="J1531" t="n">
        <v>0.25</v>
      </c>
      <c r="K1531" t="inlineStr">
        <is>
          <t>給与ファイル提出</t>
        </is>
      </c>
      <c r="L1531">
        <f>IFERROR(LEFT(K1531,             FIND(",", K1531) - 1), "-")</f>
        <v/>
      </c>
      <c r="M1531">
        <f>IFERROR(MID(K1531,             FIND(",", K1531) + 1, LEN(K1531) - FIND(",", K1531)), K1531)</f>
        <v/>
      </c>
      <c r="N1531" t="n">
        <v>5</v>
      </c>
      <c r="P1531" t="inlineStr">
        <is>
          <t>15:15</t>
        </is>
      </c>
      <c r="Q1531" t="inlineStr">
        <is>
          <t>15:30</t>
        </is>
      </c>
    </row>
    <row r="1532">
      <c r="A1532" t="inlineStr">
        <is>
          <t>打保 しのぶ</t>
        </is>
      </c>
      <c r="B1532" t="inlineStr">
        <is>
          <t>ZZZJ102:【人】給与ファイル作成・送付</t>
        </is>
      </c>
      <c r="D1532">
        <f>L1532</f>
        <v/>
      </c>
      <c r="E1532">
        <f>SUMIFS(J:J, G:G,             A1532, H:H, B1532, L:L, L1532)</f>
        <v/>
      </c>
      <c r="F1532" t="inlineStr">
        <is>
          <t>48</t>
        </is>
      </c>
      <c r="G1532" t="inlineStr">
        <is>
          <t>打保 しのぶ</t>
        </is>
      </c>
      <c r="H1532" t="inlineStr">
        <is>
          <t>ZZZJ102:【人】給与ファイル作成・送付</t>
        </is>
      </c>
      <c r="I1532" s="1" t="n">
        <v>45932</v>
      </c>
      <c r="J1532" t="n">
        <v>1</v>
      </c>
      <c r="L1532">
        <f>IFERROR(LEFT(K1532,             FIND(",", K1532) - 1), "-")</f>
        <v/>
      </c>
      <c r="M1532">
        <f>IFERROR(MID(K1532,             FIND(",", K1532) + 1, LEN(K1532) - FIND(",", K1532)), K1532)</f>
        <v/>
      </c>
      <c r="N1532" t="n">
        <v>5</v>
      </c>
      <c r="P1532" t="inlineStr">
        <is>
          <t>11:00</t>
        </is>
      </c>
      <c r="Q1532" t="inlineStr">
        <is>
          <t>12:00</t>
        </is>
      </c>
    </row>
    <row r="1533">
      <c r="A1533" t="inlineStr">
        <is>
          <t>打保 しのぶ</t>
        </is>
      </c>
      <c r="B1533" t="inlineStr">
        <is>
          <t>ZZZJ102:【人】給与ファイル作成・送付</t>
        </is>
      </c>
      <c r="D1533">
        <f>L1533</f>
        <v/>
      </c>
      <c r="E1533">
        <f>SUMIFS(J:J, G:G,             A1533, H:H, B1533, L:L, L1533)</f>
        <v/>
      </c>
      <c r="F1533" t="inlineStr">
        <is>
          <t>48</t>
        </is>
      </c>
      <c r="G1533" t="inlineStr">
        <is>
          <t>打保 しのぶ</t>
        </is>
      </c>
      <c r="H1533" t="inlineStr">
        <is>
          <t>ZZZJ102:【人】給与ファイル作成・送付</t>
        </is>
      </c>
      <c r="I1533" s="1" t="n">
        <v>45932</v>
      </c>
      <c r="J1533" t="n">
        <v>0.25</v>
      </c>
      <c r="L1533">
        <f>IFERROR(LEFT(K1533,             FIND(",", K1533) - 1), "-")</f>
        <v/>
      </c>
      <c r="M1533">
        <f>IFERROR(MID(K1533,             FIND(",", K1533) + 1, LEN(K1533) - FIND(",", K1533)), K1533)</f>
        <v/>
      </c>
      <c r="N1533" t="n">
        <v>5</v>
      </c>
      <c r="P1533" t="inlineStr">
        <is>
          <t>13:00</t>
        </is>
      </c>
      <c r="Q1533" t="inlineStr">
        <is>
          <t>13:15</t>
        </is>
      </c>
    </row>
    <row r="1534">
      <c r="A1534" t="inlineStr">
        <is>
          <t>打保 しのぶ</t>
        </is>
      </c>
      <c r="B1534" t="inlineStr">
        <is>
          <t>ZZZJ103:【人】勤怠入力確認</t>
        </is>
      </c>
      <c r="C1534">
        <f>SUMIFS(J:J, G:G,             A1534, H:H, B1534)</f>
        <v/>
      </c>
      <c r="D1534">
        <f>L1534</f>
        <v/>
      </c>
      <c r="E1534">
        <f>SUMIFS(J:J, G:G,             A1534, H:H, B1534, L:L, L1534)</f>
        <v/>
      </c>
      <c r="F1534" t="inlineStr">
        <is>
          <t>48</t>
        </is>
      </c>
      <c r="G1534" t="inlineStr">
        <is>
          <t>打保 しのぶ</t>
        </is>
      </c>
      <c r="H1534" t="inlineStr">
        <is>
          <t>ZZZJ103:【人】勤怠入力確認</t>
        </is>
      </c>
      <c r="I1534" s="1" t="n">
        <v>45932</v>
      </c>
      <c r="J1534" t="n">
        <v>0.5</v>
      </c>
      <c r="K1534" t="inlineStr">
        <is>
          <t>KOT締め確認、返信</t>
        </is>
      </c>
      <c r="L1534">
        <f>IFERROR(LEFT(K1534,             FIND(",", K1534) - 1), "-")</f>
        <v/>
      </c>
      <c r="M1534">
        <f>IFERROR(MID(K1534,             FIND(",", K1534) + 1, LEN(K1534) - FIND(",", K1534)), K1534)</f>
        <v/>
      </c>
      <c r="N1534" t="n">
        <v>5</v>
      </c>
      <c r="P1534" t="inlineStr">
        <is>
          <t>09:45</t>
        </is>
      </c>
      <c r="Q1534" t="inlineStr">
        <is>
          <t>10:15</t>
        </is>
      </c>
    </row>
    <row r="1535">
      <c r="A1535" t="inlineStr">
        <is>
          <t>打保 しのぶ</t>
        </is>
      </c>
      <c r="B1535" t="inlineStr">
        <is>
          <t>ZZZJ103:【人】勤怠入力確認</t>
        </is>
      </c>
      <c r="D1535">
        <f>L1535</f>
        <v/>
      </c>
      <c r="E1535">
        <f>SUMIFS(J:J, G:G,             A1535, H:H, B1535, L:L, L1535)</f>
        <v/>
      </c>
      <c r="F1535" t="inlineStr">
        <is>
          <t>48</t>
        </is>
      </c>
      <c r="G1535" t="inlineStr">
        <is>
          <t>打保 しのぶ</t>
        </is>
      </c>
      <c r="H1535" t="inlineStr">
        <is>
          <t>ZZZJ103:【人】勤怠入力確認</t>
        </is>
      </c>
      <c r="I1535" s="1" t="n">
        <v>45939</v>
      </c>
      <c r="J1535" t="n">
        <v>0.25</v>
      </c>
      <c r="K1535" t="inlineStr">
        <is>
          <t>KOT：個別依頼</t>
        </is>
      </c>
      <c r="L1535">
        <f>IFERROR(LEFT(K1535,             FIND(",", K1535) - 1), "-")</f>
        <v/>
      </c>
      <c r="M1535">
        <f>IFERROR(MID(K1535,             FIND(",", K1535) + 1, LEN(K1535) - FIND(",", K1535)), K1535)</f>
        <v/>
      </c>
      <c r="N1535" t="n">
        <v>5</v>
      </c>
      <c r="P1535" t="inlineStr">
        <is>
          <t>09:45</t>
        </is>
      </c>
      <c r="Q1535" t="inlineStr">
        <is>
          <t>10:00</t>
        </is>
      </c>
    </row>
    <row r="1536">
      <c r="A1536" t="inlineStr">
        <is>
          <t>打保 しのぶ</t>
        </is>
      </c>
      <c r="B1536" t="inlineStr">
        <is>
          <t>ZZZJ103:【人】勤怠入力確認</t>
        </is>
      </c>
      <c r="D1536">
        <f>L1536</f>
        <v/>
      </c>
      <c r="E1536">
        <f>SUMIFS(J:J, G:G,             A1536, H:H, B1536, L:L, L1536)</f>
        <v/>
      </c>
      <c r="F1536" t="inlineStr">
        <is>
          <t>48</t>
        </is>
      </c>
      <c r="G1536" t="inlineStr">
        <is>
          <t>打保 しのぶ</t>
        </is>
      </c>
      <c r="H1536" t="inlineStr">
        <is>
          <t>ZZZJ103:【人】勤怠入力確認</t>
        </is>
      </c>
      <c r="I1536" s="1" t="n">
        <v>45950</v>
      </c>
      <c r="J1536" t="n">
        <v>0.25</v>
      </c>
      <c r="K1536" t="inlineStr">
        <is>
          <t>KOT：個別依頼</t>
        </is>
      </c>
      <c r="L1536">
        <f>IFERROR(LEFT(K1536,             FIND(",", K1536) - 1), "-")</f>
        <v/>
      </c>
      <c r="M1536">
        <f>IFERROR(MID(K1536,             FIND(",", K1536) + 1, LEN(K1536) - FIND(",", K1536)), K1536)</f>
        <v/>
      </c>
      <c r="N1536" t="n">
        <v>5</v>
      </c>
      <c r="P1536" t="inlineStr">
        <is>
          <t>09:45</t>
        </is>
      </c>
      <c r="Q1536" t="inlineStr">
        <is>
          <t>10:00</t>
        </is>
      </c>
    </row>
    <row r="1537">
      <c r="A1537" t="inlineStr">
        <is>
          <t>打保 しのぶ</t>
        </is>
      </c>
      <c r="B1537" t="inlineStr">
        <is>
          <t>ZZZJ103:【人】勤怠入力確認</t>
        </is>
      </c>
      <c r="D1537">
        <f>L1537</f>
        <v/>
      </c>
      <c r="E1537">
        <f>SUMIFS(J:J, G:G,             A1537, H:H, B1537, L:L, L1537)</f>
        <v/>
      </c>
      <c r="F1537" t="inlineStr">
        <is>
          <t>48</t>
        </is>
      </c>
      <c r="G1537" t="inlineStr">
        <is>
          <t>打保 しのぶ</t>
        </is>
      </c>
      <c r="H1537" t="inlineStr">
        <is>
          <t>ZZZJ103:【人】勤怠入力確認</t>
        </is>
      </c>
      <c r="I1537" s="1" t="n">
        <v>45954</v>
      </c>
      <c r="J1537" t="n">
        <v>0.5</v>
      </c>
      <c r="K1537" t="inlineStr">
        <is>
          <t>KOT：個別依頼</t>
        </is>
      </c>
      <c r="L1537">
        <f>IFERROR(LEFT(K1537,             FIND(",", K1537) - 1), "-")</f>
        <v/>
      </c>
      <c r="M1537">
        <f>IFERROR(MID(K1537,             FIND(",", K1537) + 1, LEN(K1537) - FIND(",", K1537)), K1537)</f>
        <v/>
      </c>
      <c r="N1537" t="n">
        <v>5</v>
      </c>
      <c r="P1537" t="inlineStr">
        <is>
          <t>09:45</t>
        </is>
      </c>
      <c r="Q1537" t="inlineStr">
        <is>
          <t>10:15</t>
        </is>
      </c>
    </row>
    <row r="1538">
      <c r="A1538" t="inlineStr">
        <is>
          <t>打保 しのぶ</t>
        </is>
      </c>
      <c r="B1538" t="inlineStr">
        <is>
          <t>ZZZJ103:【人】勤怠入力確認</t>
        </is>
      </c>
      <c r="D1538">
        <f>L1538</f>
        <v/>
      </c>
      <c r="E1538">
        <f>SUMIFS(J:J, G:G,             A1538, H:H, B1538, L:L, L1538)</f>
        <v/>
      </c>
      <c r="F1538" t="inlineStr">
        <is>
          <t>48</t>
        </is>
      </c>
      <c r="G1538" t="inlineStr">
        <is>
          <t>打保 しのぶ</t>
        </is>
      </c>
      <c r="H1538" t="inlineStr">
        <is>
          <t>ZZZJ103:【人】勤怠入力確認</t>
        </is>
      </c>
      <c r="I1538" s="1" t="n">
        <v>45940</v>
      </c>
      <c r="J1538" t="n">
        <v>0.5</v>
      </c>
      <c r="L1538">
        <f>IFERROR(LEFT(K1538,             FIND(",", K1538) - 1), "-")</f>
        <v/>
      </c>
      <c r="M1538">
        <f>IFERROR(MID(K1538,             FIND(",", K1538) + 1, LEN(K1538) - FIND(",", K1538)), K1538)</f>
        <v/>
      </c>
      <c r="N1538" t="n">
        <v>5</v>
      </c>
      <c r="P1538" t="inlineStr">
        <is>
          <t>10:30</t>
        </is>
      </c>
      <c r="Q1538" t="inlineStr">
        <is>
          <t>11:00</t>
        </is>
      </c>
    </row>
    <row r="1539">
      <c r="A1539" t="inlineStr">
        <is>
          <t>打保 しのぶ</t>
        </is>
      </c>
      <c r="B1539" t="inlineStr">
        <is>
          <t>ZZZJ104:【人】健康診断予約</t>
        </is>
      </c>
      <c r="C1539">
        <f>SUMIFS(J:J, G:G,             A1539, H:H, B1539)</f>
        <v/>
      </c>
      <c r="D1539">
        <f>L1539</f>
        <v/>
      </c>
      <c r="E1539">
        <f>SUMIFS(J:J, G:G,             A1539, H:H, B1539, L:L, L1539)</f>
        <v/>
      </c>
      <c r="F1539" t="inlineStr">
        <is>
          <t>48</t>
        </is>
      </c>
      <c r="G1539" t="inlineStr">
        <is>
          <t>打保 しのぶ</t>
        </is>
      </c>
      <c r="H1539" t="inlineStr">
        <is>
          <t>ZZZJ104:【人】健康診断予約</t>
        </is>
      </c>
      <c r="I1539" s="1" t="n">
        <v>45946</v>
      </c>
      <c r="J1539" t="n">
        <v>0.25</v>
      </c>
      <c r="K1539" t="inlineStr">
        <is>
          <t>健診キャンセル</t>
        </is>
      </c>
      <c r="L1539">
        <f>IFERROR(LEFT(K1539,             FIND(",", K1539) - 1), "-")</f>
        <v/>
      </c>
      <c r="M1539">
        <f>IFERROR(MID(K1539,             FIND(",", K1539) + 1, LEN(K1539) - FIND(",", K1539)), K1539)</f>
        <v/>
      </c>
      <c r="N1539" t="n">
        <v>5</v>
      </c>
      <c r="P1539" t="inlineStr">
        <is>
          <t>15:45</t>
        </is>
      </c>
      <c r="Q1539" t="inlineStr">
        <is>
          <t>16:00</t>
        </is>
      </c>
    </row>
    <row r="1540">
      <c r="A1540" t="inlineStr">
        <is>
          <t>打保 しのぶ</t>
        </is>
      </c>
      <c r="B1540" t="inlineStr">
        <is>
          <t>ZZZJ105:【人】人材紹介会社対応</t>
        </is>
      </c>
      <c r="C1540">
        <f>SUMIFS(J:J, G:G,             A1540, H:H, B1540)</f>
        <v/>
      </c>
      <c r="D1540">
        <f>L1540</f>
        <v/>
      </c>
      <c r="E1540">
        <f>SUMIFS(J:J, G:G,             A1540, H:H, B1540, L:L, L1540)</f>
        <v/>
      </c>
      <c r="F1540" t="inlineStr">
        <is>
          <t>48</t>
        </is>
      </c>
      <c r="G1540" t="inlineStr">
        <is>
          <t>打保 しのぶ</t>
        </is>
      </c>
      <c r="H1540" t="inlineStr">
        <is>
          <t>ZZZJ105:【人】人材紹介会社対応</t>
        </is>
      </c>
      <c r="I1540" s="1" t="n">
        <v>45946</v>
      </c>
      <c r="J1540" t="n">
        <v>0.25</v>
      </c>
      <c r="K1540" t="inlineStr">
        <is>
          <t>MTG日程候補送信</t>
        </is>
      </c>
      <c r="L1540">
        <f>IFERROR(LEFT(K1540,             FIND(",", K1540) - 1), "-")</f>
        <v/>
      </c>
      <c r="M1540">
        <f>IFERROR(MID(K1540,             FIND(",", K1540) + 1, LEN(K1540) - FIND(",", K1540)), K1540)</f>
        <v/>
      </c>
      <c r="N1540" t="n">
        <v>5</v>
      </c>
      <c r="P1540" t="inlineStr">
        <is>
          <t>10:15</t>
        </is>
      </c>
      <c r="Q1540" t="inlineStr">
        <is>
          <t>10:30</t>
        </is>
      </c>
    </row>
    <row r="1541">
      <c r="A1541" t="inlineStr">
        <is>
          <t>打保 しのぶ</t>
        </is>
      </c>
      <c r="B1541" t="inlineStr">
        <is>
          <t>ZZZJ105:【人】人材紹介会社対応</t>
        </is>
      </c>
      <c r="D1541">
        <f>L1541</f>
        <v/>
      </c>
      <c r="E1541">
        <f>SUMIFS(J:J, G:G,             A1541, H:H, B1541, L:L, L1541)</f>
        <v/>
      </c>
      <c r="F1541" t="inlineStr">
        <is>
          <t>48</t>
        </is>
      </c>
      <c r="G1541" t="inlineStr">
        <is>
          <t>打保 しのぶ</t>
        </is>
      </c>
      <c r="H1541" t="inlineStr">
        <is>
          <t>ZZZJ105:【人】人材紹介会社対応</t>
        </is>
      </c>
      <c r="I1541" s="1" t="n">
        <v>45946</v>
      </c>
      <c r="J1541" t="n">
        <v>0.25</v>
      </c>
      <c r="L1541">
        <f>IFERROR(LEFT(K1541,             FIND(",", K1541) - 1), "-")</f>
        <v/>
      </c>
      <c r="M1541">
        <f>IFERROR(MID(K1541,             FIND(",", K1541) + 1, LEN(K1541) - FIND(",", K1541)), K1541)</f>
        <v/>
      </c>
      <c r="N1541" t="n">
        <v>5</v>
      </c>
      <c r="P1541" t="inlineStr">
        <is>
          <t>17:45</t>
        </is>
      </c>
      <c r="Q1541" t="inlineStr">
        <is>
          <t>18:00</t>
        </is>
      </c>
    </row>
    <row r="1542">
      <c r="A1542" t="inlineStr">
        <is>
          <t>打保 しのぶ</t>
        </is>
      </c>
      <c r="B1542" t="inlineStr">
        <is>
          <t>ZZZJ105:【人】人材紹介会社対応</t>
        </is>
      </c>
      <c r="D1542">
        <f>L1542</f>
        <v/>
      </c>
      <c r="E1542">
        <f>SUMIFS(J:J, G:G,             A1542, H:H, B1542, L:L, L1542)</f>
        <v/>
      </c>
      <c r="F1542" t="inlineStr">
        <is>
          <t>48</t>
        </is>
      </c>
      <c r="G1542" t="inlineStr">
        <is>
          <t>打保 しのぶ</t>
        </is>
      </c>
      <c r="H1542" t="inlineStr">
        <is>
          <t>ZZZJ105:【人】人材紹介会社対応</t>
        </is>
      </c>
      <c r="I1542" s="1" t="n">
        <v>45950</v>
      </c>
      <c r="J1542" t="n">
        <v>0.5</v>
      </c>
      <c r="L1542">
        <f>IFERROR(LEFT(K1542,             FIND(",", K1542) - 1), "-")</f>
        <v/>
      </c>
      <c r="M1542">
        <f>IFERROR(MID(K1542,             FIND(",", K1542) + 1, LEN(K1542) - FIND(",", K1542)), K1542)</f>
        <v/>
      </c>
      <c r="N1542" t="n">
        <v>5</v>
      </c>
      <c r="P1542" t="inlineStr">
        <is>
          <t>13:45</t>
        </is>
      </c>
      <c r="Q1542" t="inlineStr">
        <is>
          <t>14:15</t>
        </is>
      </c>
    </row>
    <row r="1543">
      <c r="A1543" t="inlineStr">
        <is>
          <t>打保 しのぶ</t>
        </is>
      </c>
      <c r="B1543" t="inlineStr">
        <is>
          <t>ZZZJ109:【人】発注書作成・送付</t>
        </is>
      </c>
      <c r="C1543">
        <f>SUMIFS(J:J, G:G,             A1543, H:H, B1543)</f>
        <v/>
      </c>
      <c r="D1543">
        <f>L1543</f>
        <v/>
      </c>
      <c r="E1543">
        <f>SUMIFS(J:J, G:G,             A1543, H:H, B1543, L:L, L1543)</f>
        <v/>
      </c>
      <c r="F1543" t="inlineStr">
        <is>
          <t>48</t>
        </is>
      </c>
      <c r="G1543" t="inlineStr">
        <is>
          <t>打保 しのぶ</t>
        </is>
      </c>
      <c r="H1543" t="inlineStr">
        <is>
          <t>ZZZJ109:【人】発注書作成・送付</t>
        </is>
      </c>
      <c r="I1543" s="1" t="n">
        <v>45939</v>
      </c>
      <c r="J1543" t="n">
        <v>0.5</v>
      </c>
      <c r="K1543" t="inlineStr">
        <is>
          <t>SKLT中澤様発注書送信、発送準備</t>
        </is>
      </c>
      <c r="L1543">
        <f>IFERROR(LEFT(K1543,             FIND(",", K1543) - 1), "-")</f>
        <v/>
      </c>
      <c r="M1543">
        <f>IFERROR(MID(K1543,             FIND(",", K1543) + 1, LEN(K1543) - FIND(",", K1543)), K1543)</f>
        <v/>
      </c>
      <c r="N1543" t="n">
        <v>5</v>
      </c>
      <c r="P1543" t="inlineStr">
        <is>
          <t>10:45</t>
        </is>
      </c>
      <c r="Q1543" t="inlineStr">
        <is>
          <t>11:15</t>
        </is>
      </c>
    </row>
    <row r="1544">
      <c r="A1544" t="inlineStr">
        <is>
          <t>打保 しのぶ</t>
        </is>
      </c>
      <c r="B1544" t="inlineStr">
        <is>
          <t>ZZZJ109:【人】発注書作成・送付</t>
        </is>
      </c>
      <c r="D1544">
        <f>L1544</f>
        <v/>
      </c>
      <c r="E1544">
        <f>SUMIFS(J:J, G:G,             A1544, H:H, B1544, L:L, L1544)</f>
        <v/>
      </c>
      <c r="F1544" t="inlineStr">
        <is>
          <t>48</t>
        </is>
      </c>
      <c r="G1544" t="inlineStr">
        <is>
          <t>打保 しのぶ</t>
        </is>
      </c>
      <c r="H1544" t="inlineStr">
        <is>
          <t>ZZZJ109:【人】発注書作成・送付</t>
        </is>
      </c>
      <c r="I1544" s="1" t="n">
        <v>45951</v>
      </c>
      <c r="J1544" t="n">
        <v>0.25</v>
      </c>
      <c r="K1544" t="inlineStr">
        <is>
          <t>WIN様発注書送信</t>
        </is>
      </c>
      <c r="L1544">
        <f>IFERROR(LEFT(K1544,             FIND(",", K1544) - 1), "-")</f>
        <v/>
      </c>
      <c r="M1544">
        <f>IFERROR(MID(K1544,             FIND(",", K1544) + 1, LEN(K1544) - FIND(",", K1544)), K1544)</f>
        <v/>
      </c>
      <c r="N1544" t="n">
        <v>5</v>
      </c>
      <c r="P1544" t="inlineStr">
        <is>
          <t>15:15</t>
        </is>
      </c>
      <c r="Q1544" t="inlineStr">
        <is>
          <t>15:30</t>
        </is>
      </c>
    </row>
    <row r="1545">
      <c r="A1545" t="inlineStr">
        <is>
          <t>打保 しのぶ</t>
        </is>
      </c>
      <c r="B1545" t="inlineStr">
        <is>
          <t>ZZZJ109:【人】発注書作成・送付</t>
        </is>
      </c>
      <c r="D1545">
        <f>L1545</f>
        <v/>
      </c>
      <c r="E1545">
        <f>SUMIFS(J:J, G:G,             A1545, H:H, B1545, L:L, L1545)</f>
        <v/>
      </c>
      <c r="F1545" t="inlineStr">
        <is>
          <t>48</t>
        </is>
      </c>
      <c r="G1545" t="inlineStr">
        <is>
          <t>打保 しのぶ</t>
        </is>
      </c>
      <c r="H1545" t="inlineStr">
        <is>
          <t>ZZZJ109:【人】発注書作成・送付</t>
        </is>
      </c>
      <c r="I1545" s="1" t="n">
        <v>45950</v>
      </c>
      <c r="J1545" t="n">
        <v>0.25</v>
      </c>
      <c r="L1545">
        <f>IFERROR(LEFT(K1545,             FIND(",", K1545) - 1), "-")</f>
        <v/>
      </c>
      <c r="M1545">
        <f>IFERROR(MID(K1545,             FIND(",", K1545) + 1, LEN(K1545) - FIND(",", K1545)), K1545)</f>
        <v/>
      </c>
      <c r="N1545" t="n">
        <v>5</v>
      </c>
      <c r="P1545" t="inlineStr">
        <is>
          <t>11:45</t>
        </is>
      </c>
      <c r="Q1545" t="inlineStr">
        <is>
          <t>12:00</t>
        </is>
      </c>
    </row>
    <row r="1546">
      <c r="A1546" t="inlineStr">
        <is>
          <t>打保 しのぶ</t>
        </is>
      </c>
      <c r="B1546" t="inlineStr">
        <is>
          <t>ZZZS001:サポート全般(取引先別に管理しないサポート)</t>
        </is>
      </c>
      <c r="C1546">
        <f>SUMIFS(J:J, G:G,             A1546, H:H, B1546)</f>
        <v/>
      </c>
      <c r="D1546">
        <f>L1546</f>
        <v/>
      </c>
      <c r="E1546">
        <f>SUMIFS(J:J, G:G,             A1546, H:H, B1546, L:L, L1546)</f>
        <v/>
      </c>
      <c r="F1546" t="inlineStr">
        <is>
          <t>48</t>
        </is>
      </c>
      <c r="G1546" t="inlineStr">
        <is>
          <t>打保 しのぶ</t>
        </is>
      </c>
      <c r="H1546" t="inlineStr">
        <is>
          <t>ZZZS001:サポート全般(取引先別に管理しないサポート)</t>
        </is>
      </c>
      <c r="I1546" s="1" t="n">
        <v>45951</v>
      </c>
      <c r="J1546" t="n">
        <v>0.25</v>
      </c>
      <c r="K1546" t="inlineStr">
        <is>
          <t>ANA様課題231未入金の件確認</t>
        </is>
      </c>
      <c r="L1546">
        <f>IFERROR(LEFT(K1546,             FIND(",", K1546) - 1), "-")</f>
        <v/>
      </c>
      <c r="M1546">
        <f>IFERROR(MID(K1546,             FIND(",", K1546) + 1, LEN(K1546) - FIND(",", K1546)), K1546)</f>
        <v/>
      </c>
      <c r="N1546" t="n">
        <v>3</v>
      </c>
      <c r="P1546" t="inlineStr">
        <is>
          <t>10:15</t>
        </is>
      </c>
      <c r="Q1546" t="inlineStr">
        <is>
          <t>10:30</t>
        </is>
      </c>
    </row>
    <row r="1547">
      <c r="A1547" t="inlineStr">
        <is>
          <t>打保 しのぶ</t>
        </is>
      </c>
      <c r="B1547" t="inlineStr">
        <is>
          <t>ZZZS001:サポート全般(取引先別に管理しないサポート)</t>
        </is>
      </c>
      <c r="D1547">
        <f>L1547</f>
        <v/>
      </c>
      <c r="E1547">
        <f>SUMIFS(J:J, G:G,             A1547, H:H, B1547, L:L, L1547)</f>
        <v/>
      </c>
      <c r="F1547" t="inlineStr">
        <is>
          <t>48</t>
        </is>
      </c>
      <c r="G1547" t="inlineStr">
        <is>
          <t>打保 しのぶ</t>
        </is>
      </c>
      <c r="H1547" t="inlineStr">
        <is>
          <t>ZZZS001:サポート全般(取引先別に管理しないサポート)</t>
        </is>
      </c>
      <c r="I1547" s="1" t="n">
        <v>45953</v>
      </c>
      <c r="J1547" t="n">
        <v>0.25</v>
      </c>
      <c r="K1547" t="inlineStr">
        <is>
          <t>ANA様返信</t>
        </is>
      </c>
      <c r="L1547">
        <f>IFERROR(LEFT(K1547,             FIND(",", K1547) - 1), "-")</f>
        <v/>
      </c>
      <c r="M1547">
        <f>IFERROR(MID(K1547,             FIND(",", K1547) + 1, LEN(K1547) - FIND(",", K1547)), K1547)</f>
        <v/>
      </c>
      <c r="N1547" t="n">
        <v>3</v>
      </c>
      <c r="P1547" t="inlineStr">
        <is>
          <t>11:15</t>
        </is>
      </c>
      <c r="Q1547" t="inlineStr">
        <is>
          <t>11:30</t>
        </is>
      </c>
    </row>
    <row r="1548">
      <c r="A1548" t="inlineStr">
        <is>
          <t>打保 しのぶ</t>
        </is>
      </c>
      <c r="B1548" t="inlineStr">
        <is>
          <t>ZZZS001:サポート全般(取引先別に管理しないサポート)</t>
        </is>
      </c>
      <c r="D1548">
        <f>L1548</f>
        <v/>
      </c>
      <c r="E1548">
        <f>SUMIFS(J:J, G:G,             A1548, H:H, B1548, L:L, L1548)</f>
        <v/>
      </c>
      <c r="F1548" t="inlineStr">
        <is>
          <t>48</t>
        </is>
      </c>
      <c r="G1548" t="inlineStr">
        <is>
          <t>打保 しのぶ</t>
        </is>
      </c>
      <c r="H1548" t="inlineStr">
        <is>
          <t>ZZZS001:サポート全般(取引先別に管理しないサポート)</t>
        </is>
      </c>
      <c r="I1548" s="1" t="n">
        <v>45951</v>
      </c>
      <c r="J1548" t="n">
        <v>0.5</v>
      </c>
      <c r="K1548" t="inlineStr">
        <is>
          <t>ヤマハ様入金金額差異確認</t>
        </is>
      </c>
      <c r="L1548">
        <f>IFERROR(LEFT(K1548,             FIND(",", K1548) - 1), "-")</f>
        <v/>
      </c>
      <c r="M1548">
        <f>IFERROR(MID(K1548,             FIND(",", K1548) + 1, LEN(K1548) - FIND(",", K1548)), K1548)</f>
        <v/>
      </c>
      <c r="N1548" t="n">
        <v>3</v>
      </c>
      <c r="P1548" t="inlineStr">
        <is>
          <t>09:45</t>
        </is>
      </c>
      <c r="Q1548" t="inlineStr">
        <is>
          <t>10:15</t>
        </is>
      </c>
    </row>
    <row r="1549">
      <c r="A1549" t="inlineStr">
        <is>
          <t>打保 しのぶ</t>
        </is>
      </c>
      <c r="B1549" t="inlineStr">
        <is>
          <t>ZZZS001:サポート全般(取引先別に管理しないサポート)</t>
        </is>
      </c>
      <c r="D1549">
        <f>L1549</f>
        <v/>
      </c>
      <c r="E1549">
        <f>SUMIFS(J:J, G:G,             A1549, H:H, B1549, L:L, L1549)</f>
        <v/>
      </c>
      <c r="F1549" t="inlineStr">
        <is>
          <t>48</t>
        </is>
      </c>
      <c r="G1549" t="inlineStr">
        <is>
          <t>打保 しのぶ</t>
        </is>
      </c>
      <c r="H1549" t="inlineStr">
        <is>
          <t>ZZZS001:サポート全般(取引先別に管理しないサポート)</t>
        </is>
      </c>
      <c r="I1549" s="1" t="n">
        <v>45950</v>
      </c>
      <c r="J1549" t="n">
        <v>0.25</v>
      </c>
      <c r="K1549" t="inlineStr">
        <is>
          <t>音楽院様返信</t>
        </is>
      </c>
      <c r="L1549">
        <f>IFERROR(LEFT(K1549,             FIND(",", K1549) - 1), "-")</f>
        <v/>
      </c>
      <c r="M1549">
        <f>IFERROR(MID(K1549,             FIND(",", K1549) + 1, LEN(K1549) - FIND(",", K1549)), K1549)</f>
        <v/>
      </c>
      <c r="N1549" t="n">
        <v>3</v>
      </c>
      <c r="P1549" t="inlineStr">
        <is>
          <t>13:15</t>
        </is>
      </c>
      <c r="Q1549" t="inlineStr">
        <is>
          <t>13:30</t>
        </is>
      </c>
    </row>
    <row r="1550">
      <c r="A1550" t="inlineStr">
        <is>
          <t>打保 しのぶ</t>
        </is>
      </c>
      <c r="B1550" t="inlineStr">
        <is>
          <t>ZZZS101:【総】電子帳簿（総務）</t>
        </is>
      </c>
      <c r="C1550">
        <f>SUMIFS(J:J, G:G,             A1550, H:H, B1550)</f>
        <v/>
      </c>
      <c r="D1550">
        <f>L1550</f>
        <v/>
      </c>
      <c r="E1550">
        <f>SUMIFS(J:J, G:G,             A1550, H:H, B1550, L:L, L1550)</f>
        <v/>
      </c>
      <c r="F1550" t="inlineStr">
        <is>
          <t>48</t>
        </is>
      </c>
      <c r="G1550" t="inlineStr">
        <is>
          <t>打保 しのぶ</t>
        </is>
      </c>
      <c r="H1550" t="inlineStr">
        <is>
          <t>ZZZS101:【総】電子帳簿（総務）</t>
        </is>
      </c>
      <c r="I1550" s="1" t="n">
        <v>45953</v>
      </c>
      <c r="J1550" t="n">
        <v>0.25</v>
      </c>
      <c r="K1550" t="inlineStr">
        <is>
          <t>源泉税、住民税</t>
        </is>
      </c>
      <c r="L1550">
        <f>IFERROR(LEFT(K1550,             FIND(",", K1550) - 1), "-")</f>
        <v/>
      </c>
      <c r="M1550">
        <f>IFERROR(MID(K1550,             FIND(",", K1550) + 1, LEN(K1550) - FIND(",", K1550)), K1550)</f>
        <v/>
      </c>
      <c r="N1550" t="n">
        <v>5</v>
      </c>
      <c r="P1550" t="inlineStr">
        <is>
          <t>13:30</t>
        </is>
      </c>
      <c r="Q1550" t="inlineStr">
        <is>
          <t>13:45</t>
        </is>
      </c>
    </row>
    <row r="1551">
      <c r="A1551" t="inlineStr">
        <is>
          <t>打保 しのぶ</t>
        </is>
      </c>
      <c r="B1551" t="inlineStr">
        <is>
          <t>ZZZS101:【総】電子帳簿（総務）</t>
        </is>
      </c>
      <c r="D1551">
        <f>L1551</f>
        <v/>
      </c>
      <c r="E1551">
        <f>SUMIFS(J:J, G:G,             A1551, H:H, B1551, L:L, L1551)</f>
        <v/>
      </c>
      <c r="F1551" t="inlineStr">
        <is>
          <t>48</t>
        </is>
      </c>
      <c r="G1551" t="inlineStr">
        <is>
          <t>打保 しのぶ</t>
        </is>
      </c>
      <c r="H1551" t="inlineStr">
        <is>
          <t>ZZZS101:【総】電子帳簿（総務）</t>
        </is>
      </c>
      <c r="I1551" s="1" t="n">
        <v>45947</v>
      </c>
      <c r="J1551" t="n">
        <v>0.25</v>
      </c>
      <c r="K1551" t="inlineStr">
        <is>
          <t>窓付き封筒見積書</t>
        </is>
      </c>
      <c r="L1551">
        <f>IFERROR(LEFT(K1551,             FIND(",", K1551) - 1), "-")</f>
        <v/>
      </c>
      <c r="M1551">
        <f>IFERROR(MID(K1551,             FIND(",", K1551) + 1, LEN(K1551) - FIND(",", K1551)), K1551)</f>
        <v/>
      </c>
      <c r="N1551" t="n">
        <v>5</v>
      </c>
      <c r="P1551" t="inlineStr">
        <is>
          <t>11:30</t>
        </is>
      </c>
      <c r="Q1551" t="inlineStr">
        <is>
          <t>11:45</t>
        </is>
      </c>
    </row>
    <row r="1552">
      <c r="A1552" t="inlineStr">
        <is>
          <t>打保 しのぶ</t>
        </is>
      </c>
      <c r="B1552" t="inlineStr">
        <is>
          <t>ZZZS101:【総】電子帳簿（総務）</t>
        </is>
      </c>
      <c r="D1552">
        <f>L1552</f>
        <v/>
      </c>
      <c r="E1552">
        <f>SUMIFS(J:J, G:G,             A1552, H:H, B1552, L:L, L1552)</f>
        <v/>
      </c>
      <c r="F1552" t="inlineStr">
        <is>
          <t>48</t>
        </is>
      </c>
      <c r="G1552" t="inlineStr">
        <is>
          <t>打保 しのぶ</t>
        </is>
      </c>
      <c r="H1552" t="inlineStr">
        <is>
          <t>ZZZS101:【総】電子帳簿（総務）</t>
        </is>
      </c>
      <c r="I1552" s="1" t="n">
        <v>45932</v>
      </c>
      <c r="J1552" t="n">
        <v>0.25</v>
      </c>
      <c r="K1552" t="inlineStr">
        <is>
          <t>経費</t>
        </is>
      </c>
      <c r="L1552">
        <f>IFERROR(LEFT(K1552,             FIND(",", K1552) - 1), "-")</f>
        <v/>
      </c>
      <c r="M1552">
        <f>IFERROR(MID(K1552,             FIND(",", K1552) + 1, LEN(K1552) - FIND(",", K1552)), K1552)</f>
        <v/>
      </c>
      <c r="N1552" t="n">
        <v>5</v>
      </c>
      <c r="P1552" t="inlineStr">
        <is>
          <t>10:30</t>
        </is>
      </c>
      <c r="Q1552" t="inlineStr">
        <is>
          <t>10:45</t>
        </is>
      </c>
    </row>
    <row r="1553">
      <c r="A1553" t="inlineStr">
        <is>
          <t>打保 しのぶ</t>
        </is>
      </c>
      <c r="B1553" t="inlineStr">
        <is>
          <t>ZZZS101:【総】電子帳簿（総務）</t>
        </is>
      </c>
      <c r="D1553">
        <f>L1553</f>
        <v/>
      </c>
      <c r="E1553">
        <f>SUMIFS(J:J, G:G,             A1553, H:H, B1553, L:L, L1553)</f>
        <v/>
      </c>
      <c r="F1553" t="inlineStr">
        <is>
          <t>48</t>
        </is>
      </c>
      <c r="G1553" t="inlineStr">
        <is>
          <t>打保 しのぶ</t>
        </is>
      </c>
      <c r="H1553" t="inlineStr">
        <is>
          <t>ZZZS101:【総】電子帳簿（総務）</t>
        </is>
      </c>
      <c r="I1553" s="1" t="n">
        <v>45953</v>
      </c>
      <c r="J1553" t="n">
        <v>0.25</v>
      </c>
      <c r="K1553" t="inlineStr">
        <is>
          <t>経費</t>
        </is>
      </c>
      <c r="L1553">
        <f>IFERROR(LEFT(K1553,             FIND(",", K1553) - 1), "-")</f>
        <v/>
      </c>
      <c r="M1553">
        <f>IFERROR(MID(K1553,             FIND(",", K1553) + 1, LEN(K1553) - FIND(",", K1553)), K1553)</f>
        <v/>
      </c>
      <c r="N1553" t="n">
        <v>5</v>
      </c>
      <c r="P1553" t="inlineStr">
        <is>
          <t>17:00</t>
        </is>
      </c>
      <c r="Q1553" t="inlineStr">
        <is>
          <t>17:15</t>
        </is>
      </c>
    </row>
    <row r="1554">
      <c r="A1554" t="inlineStr">
        <is>
          <t>打保 しのぶ</t>
        </is>
      </c>
      <c r="B1554" t="inlineStr">
        <is>
          <t>ZZZS101:【総】電子帳簿（総務）</t>
        </is>
      </c>
      <c r="D1554">
        <f>L1554</f>
        <v/>
      </c>
      <c r="E1554">
        <f>SUMIFS(J:J, G:G,             A1554, H:H, B1554, L:L, L1554)</f>
        <v/>
      </c>
      <c r="F1554" t="inlineStr">
        <is>
          <t>48</t>
        </is>
      </c>
      <c r="G1554" t="inlineStr">
        <is>
          <t>打保 しのぶ</t>
        </is>
      </c>
      <c r="H1554" t="inlineStr">
        <is>
          <t>ZZZS101:【総】電子帳簿（総務）</t>
        </is>
      </c>
      <c r="I1554" s="1" t="n">
        <v>45951</v>
      </c>
      <c r="J1554" t="n">
        <v>0.25</v>
      </c>
      <c r="K1554" t="inlineStr">
        <is>
          <t>経費：代理申請</t>
        </is>
      </c>
      <c r="L1554">
        <f>IFERROR(LEFT(K1554,             FIND(",", K1554) - 1), "-")</f>
        <v/>
      </c>
      <c r="M1554">
        <f>IFERROR(MID(K1554,             FIND(",", K1554) + 1, LEN(K1554) - FIND(",", K1554)), K1554)</f>
        <v/>
      </c>
      <c r="N1554" t="n">
        <v>5</v>
      </c>
      <c r="P1554" t="inlineStr">
        <is>
          <t>17:30</t>
        </is>
      </c>
      <c r="Q1554" t="inlineStr">
        <is>
          <t>17:45</t>
        </is>
      </c>
    </row>
    <row r="1555">
      <c r="A1555" t="inlineStr">
        <is>
          <t>打保 しのぶ</t>
        </is>
      </c>
      <c r="B1555" t="inlineStr">
        <is>
          <t>ZZZS101:【総】電子帳簿（総務）</t>
        </is>
      </c>
      <c r="D1555">
        <f>L1555</f>
        <v/>
      </c>
      <c r="E1555">
        <f>SUMIFS(J:J, G:G,             A1555, H:H, B1555, L:L, L1555)</f>
        <v/>
      </c>
      <c r="F1555" t="inlineStr">
        <is>
          <t>48</t>
        </is>
      </c>
      <c r="G1555" t="inlineStr">
        <is>
          <t>打保 しのぶ</t>
        </is>
      </c>
      <c r="H1555" t="inlineStr">
        <is>
          <t>ZZZS101:【総】電子帳簿（総務）</t>
        </is>
      </c>
      <c r="I1555" s="1" t="n">
        <v>45932</v>
      </c>
      <c r="J1555" t="n">
        <v>0.25</v>
      </c>
      <c r="K1555" t="inlineStr">
        <is>
          <t>請求書</t>
        </is>
      </c>
      <c r="L1555">
        <f>IFERROR(LEFT(K1555,             FIND(",", K1555) - 1), "-")</f>
        <v/>
      </c>
      <c r="M1555">
        <f>IFERROR(MID(K1555,             FIND(",", K1555) + 1, LEN(K1555) - FIND(",", K1555)), K1555)</f>
        <v/>
      </c>
      <c r="N1555" t="n">
        <v>5</v>
      </c>
      <c r="P1555" t="inlineStr">
        <is>
          <t>13:30</t>
        </is>
      </c>
      <c r="Q1555" t="inlineStr">
        <is>
          <t>13:45</t>
        </is>
      </c>
    </row>
    <row r="1556">
      <c r="A1556" t="inlineStr">
        <is>
          <t>打保 しのぶ</t>
        </is>
      </c>
      <c r="B1556" t="inlineStr">
        <is>
          <t>ZZZS101:【総】電子帳簿（総務）</t>
        </is>
      </c>
      <c r="D1556">
        <f>L1556</f>
        <v/>
      </c>
      <c r="E1556">
        <f>SUMIFS(J:J, G:G,             A1556, H:H, B1556, L:L, L1556)</f>
        <v/>
      </c>
      <c r="F1556" t="inlineStr">
        <is>
          <t>48</t>
        </is>
      </c>
      <c r="G1556" t="inlineStr">
        <is>
          <t>打保 しのぶ</t>
        </is>
      </c>
      <c r="H1556" t="inlineStr">
        <is>
          <t>ZZZS101:【総】電子帳簿（総務）</t>
        </is>
      </c>
      <c r="I1556" s="1" t="n">
        <v>45947</v>
      </c>
      <c r="J1556" t="n">
        <v>0.25</v>
      </c>
      <c r="K1556" t="inlineStr">
        <is>
          <t>請求書</t>
        </is>
      </c>
      <c r="L1556">
        <f>IFERROR(LEFT(K1556,             FIND(",", K1556) - 1), "-")</f>
        <v/>
      </c>
      <c r="M1556">
        <f>IFERROR(MID(K1556,             FIND(",", K1556) + 1, LEN(K1556) - FIND(",", K1556)), K1556)</f>
        <v/>
      </c>
      <c r="N1556" t="n">
        <v>5</v>
      </c>
      <c r="P1556" t="inlineStr">
        <is>
          <t>16:15</t>
        </is>
      </c>
      <c r="Q1556" t="inlineStr">
        <is>
          <t>16:30</t>
        </is>
      </c>
    </row>
    <row r="1557">
      <c r="A1557" t="inlineStr">
        <is>
          <t>打保 しのぶ</t>
        </is>
      </c>
      <c r="B1557" t="inlineStr">
        <is>
          <t>ZZZS103:【総】入退室管理表作成</t>
        </is>
      </c>
      <c r="C1557">
        <f>SUMIFS(J:J, G:G,             A1557, H:H, B1557)</f>
        <v/>
      </c>
      <c r="D1557">
        <f>L1557</f>
        <v/>
      </c>
      <c r="E1557">
        <f>SUMIFS(J:J, G:G,             A1557, H:H, B1557, L:L, L1557)</f>
        <v/>
      </c>
      <c r="F1557" t="inlineStr">
        <is>
          <t>48</t>
        </is>
      </c>
      <c r="G1557" t="inlineStr">
        <is>
          <t>打保 しのぶ</t>
        </is>
      </c>
      <c r="H1557" t="inlineStr">
        <is>
          <t>ZZZS103:【総】入退室管理表作成</t>
        </is>
      </c>
      <c r="I1557" s="1" t="n">
        <v>45933</v>
      </c>
      <c r="J1557" t="n">
        <v>0.25</v>
      </c>
      <c r="L1557">
        <f>IFERROR(LEFT(K1557,             FIND(",", K1557) - 1), "-")</f>
        <v/>
      </c>
      <c r="M1557">
        <f>IFERROR(MID(K1557,             FIND(",", K1557) + 1, LEN(K1557) - FIND(",", K1557)), K1557)</f>
        <v/>
      </c>
      <c r="N1557" t="n">
        <v>5</v>
      </c>
      <c r="P1557" t="inlineStr">
        <is>
          <t>13:15</t>
        </is>
      </c>
      <c r="Q1557" t="inlineStr">
        <is>
          <t>13:30</t>
        </is>
      </c>
    </row>
    <row r="1558">
      <c r="A1558" t="inlineStr">
        <is>
          <t>打保 しのぶ</t>
        </is>
      </c>
      <c r="B1558" t="inlineStr">
        <is>
          <t>ZZZS103:【総】入退室管理表作成</t>
        </is>
      </c>
      <c r="D1558">
        <f>L1558</f>
        <v/>
      </c>
      <c r="E1558">
        <f>SUMIFS(J:J, G:G,             A1558, H:H, B1558, L:L, L1558)</f>
        <v/>
      </c>
      <c r="F1558" t="inlineStr">
        <is>
          <t>48</t>
        </is>
      </c>
      <c r="G1558" t="inlineStr">
        <is>
          <t>打保 しのぶ</t>
        </is>
      </c>
      <c r="H1558" t="inlineStr">
        <is>
          <t>ZZZS103:【総】入退室管理表作成</t>
        </is>
      </c>
      <c r="I1558" s="1" t="n">
        <v>45940</v>
      </c>
      <c r="J1558" t="n">
        <v>0.25</v>
      </c>
      <c r="L1558">
        <f>IFERROR(LEFT(K1558,             FIND(",", K1558) - 1), "-")</f>
        <v/>
      </c>
      <c r="M1558">
        <f>IFERROR(MID(K1558,             FIND(",", K1558) + 1, LEN(K1558) - FIND(",", K1558)), K1558)</f>
        <v/>
      </c>
      <c r="N1558" t="n">
        <v>5</v>
      </c>
      <c r="P1558" t="inlineStr">
        <is>
          <t>16:00</t>
        </is>
      </c>
      <c r="Q1558" t="inlineStr">
        <is>
          <t>16:15</t>
        </is>
      </c>
    </row>
    <row r="1559">
      <c r="A1559" t="inlineStr">
        <is>
          <t>打保 しのぶ</t>
        </is>
      </c>
      <c r="B1559" t="inlineStr">
        <is>
          <t>ZZZS103:【総】入退室管理表作成</t>
        </is>
      </c>
      <c r="D1559">
        <f>L1559</f>
        <v/>
      </c>
      <c r="E1559">
        <f>SUMIFS(J:J, G:G,             A1559, H:H, B1559, L:L, L1559)</f>
        <v/>
      </c>
      <c r="F1559" t="inlineStr">
        <is>
          <t>48</t>
        </is>
      </c>
      <c r="G1559" t="inlineStr">
        <is>
          <t>打保 しのぶ</t>
        </is>
      </c>
      <c r="H1559" t="inlineStr">
        <is>
          <t>ZZZS103:【総】入退室管理表作成</t>
        </is>
      </c>
      <c r="I1559" s="1" t="n">
        <v>45947</v>
      </c>
      <c r="J1559" t="n">
        <v>0.25</v>
      </c>
      <c r="L1559">
        <f>IFERROR(LEFT(K1559,             FIND(",", K1559) - 1), "-")</f>
        <v/>
      </c>
      <c r="M1559">
        <f>IFERROR(MID(K1559,             FIND(",", K1559) + 1, LEN(K1559) - FIND(",", K1559)), K1559)</f>
        <v/>
      </c>
      <c r="N1559" t="n">
        <v>5</v>
      </c>
      <c r="P1559" t="inlineStr">
        <is>
          <t>16:30</t>
        </is>
      </c>
      <c r="Q1559" t="inlineStr">
        <is>
          <t>16:45</t>
        </is>
      </c>
    </row>
    <row r="1560">
      <c r="A1560" t="inlineStr">
        <is>
          <t>打保 しのぶ</t>
        </is>
      </c>
      <c r="B1560" t="inlineStr">
        <is>
          <t>ZZZS103:【総】入退室管理表作成</t>
        </is>
      </c>
      <c r="D1560">
        <f>L1560</f>
        <v/>
      </c>
      <c r="E1560">
        <f>SUMIFS(J:J, G:G,             A1560, H:H, B1560, L:L, L1560)</f>
        <v/>
      </c>
      <c r="F1560" t="inlineStr">
        <is>
          <t>48</t>
        </is>
      </c>
      <c r="G1560" t="inlineStr">
        <is>
          <t>打保 しのぶ</t>
        </is>
      </c>
      <c r="H1560" t="inlineStr">
        <is>
          <t>ZZZS103:【総】入退室管理表作成</t>
        </is>
      </c>
      <c r="I1560" s="1" t="n">
        <v>45950</v>
      </c>
      <c r="J1560" t="n">
        <v>0.25</v>
      </c>
      <c r="L1560">
        <f>IFERROR(LEFT(K1560,             FIND(",", K1560) - 1), "-")</f>
        <v/>
      </c>
      <c r="M1560">
        <f>IFERROR(MID(K1560,             FIND(",", K1560) + 1, LEN(K1560) - FIND(",", K1560)), K1560)</f>
        <v/>
      </c>
      <c r="N1560" t="n">
        <v>5</v>
      </c>
      <c r="P1560" t="inlineStr">
        <is>
          <t>16:30</t>
        </is>
      </c>
      <c r="Q1560" t="inlineStr">
        <is>
          <t>16:45</t>
        </is>
      </c>
    </row>
    <row r="1561">
      <c r="A1561" t="inlineStr">
        <is>
          <t>打保 しのぶ</t>
        </is>
      </c>
      <c r="B1561" t="inlineStr">
        <is>
          <t>ZZZS103:【総】入退室管理表作成</t>
        </is>
      </c>
      <c r="D1561">
        <f>L1561</f>
        <v/>
      </c>
      <c r="E1561">
        <f>SUMIFS(J:J, G:G,             A1561, H:H, B1561, L:L, L1561)</f>
        <v/>
      </c>
      <c r="F1561" t="inlineStr">
        <is>
          <t>48</t>
        </is>
      </c>
      <c r="G1561" t="inlineStr">
        <is>
          <t>打保 しのぶ</t>
        </is>
      </c>
      <c r="H1561" t="inlineStr">
        <is>
          <t>ZZZS103:【総】入退室管理表作成</t>
        </is>
      </c>
      <c r="I1561" s="1" t="n">
        <v>45951</v>
      </c>
      <c r="J1561" t="n">
        <v>0.25</v>
      </c>
      <c r="L1561">
        <f>IFERROR(LEFT(K1561,             FIND(",", K1561) - 1), "-")</f>
        <v/>
      </c>
      <c r="M1561">
        <f>IFERROR(MID(K1561,             FIND(",", K1561) + 1, LEN(K1561) - FIND(",", K1561)), K1561)</f>
        <v/>
      </c>
      <c r="N1561" t="n">
        <v>5</v>
      </c>
      <c r="P1561" t="inlineStr">
        <is>
          <t>14:15</t>
        </is>
      </c>
      <c r="Q1561" t="inlineStr">
        <is>
          <t>14:30</t>
        </is>
      </c>
    </row>
    <row r="1562">
      <c r="A1562" t="inlineStr">
        <is>
          <t>打保 しのぶ</t>
        </is>
      </c>
      <c r="B1562" t="inlineStr">
        <is>
          <t>ZZZS107:【総】社内備品管理</t>
        </is>
      </c>
      <c r="C1562">
        <f>SUMIFS(J:J, G:G,             A1562, H:H, B1562)</f>
        <v/>
      </c>
      <c r="D1562">
        <f>L1562</f>
        <v/>
      </c>
      <c r="E1562">
        <f>SUMIFS(J:J, G:G,             A1562, H:H, B1562, L:L, L1562)</f>
        <v/>
      </c>
      <c r="F1562" t="inlineStr">
        <is>
          <t>48</t>
        </is>
      </c>
      <c r="G1562" t="inlineStr">
        <is>
          <t>打保 しのぶ</t>
        </is>
      </c>
      <c r="H1562" t="inlineStr">
        <is>
          <t>ZZZS107:【総】社内備品管理</t>
        </is>
      </c>
      <c r="I1562" s="1" t="n">
        <v>45939</v>
      </c>
      <c r="J1562" t="n">
        <v>0.5</v>
      </c>
      <c r="K1562" t="inlineStr">
        <is>
          <t>アスクル注文、ドリンク補充</t>
        </is>
      </c>
      <c r="L1562">
        <f>IFERROR(LEFT(K1562,             FIND(",", K1562) - 1), "-")</f>
        <v/>
      </c>
      <c r="M1562">
        <f>IFERROR(MID(K1562,             FIND(",", K1562) + 1, LEN(K1562) - FIND(",", K1562)), K1562)</f>
        <v/>
      </c>
      <c r="N1562" t="n">
        <v>5</v>
      </c>
      <c r="P1562" t="inlineStr">
        <is>
          <t>10:15</t>
        </is>
      </c>
      <c r="Q1562" t="inlineStr">
        <is>
          <t>10:45</t>
        </is>
      </c>
    </row>
    <row r="1563">
      <c r="A1563" t="inlineStr">
        <is>
          <t>打保 しのぶ</t>
        </is>
      </c>
      <c r="B1563" t="inlineStr">
        <is>
          <t>ZZZS107:【総】社内備品管理</t>
        </is>
      </c>
      <c r="D1563">
        <f>L1563</f>
        <v/>
      </c>
      <c r="E1563">
        <f>SUMIFS(J:J, G:G,             A1563, H:H, B1563, L:L, L1563)</f>
        <v/>
      </c>
      <c r="F1563" t="inlineStr">
        <is>
          <t>48</t>
        </is>
      </c>
      <c r="G1563" t="inlineStr">
        <is>
          <t>打保 しのぶ</t>
        </is>
      </c>
      <c r="H1563" t="inlineStr">
        <is>
          <t>ZZZS107:【総】社内備品管理</t>
        </is>
      </c>
      <c r="I1563" s="1" t="n">
        <v>45940</v>
      </c>
      <c r="J1563" t="n">
        <v>0.25</v>
      </c>
      <c r="K1563" t="inlineStr">
        <is>
          <t>ドリンク補充、段ボール捨て</t>
        </is>
      </c>
      <c r="L1563">
        <f>IFERROR(LEFT(K1563,             FIND(",", K1563) - 1), "-")</f>
        <v/>
      </c>
      <c r="M1563">
        <f>IFERROR(MID(K1563,             FIND(",", K1563) + 1, LEN(K1563) - FIND(",", K1563)), K1563)</f>
        <v/>
      </c>
      <c r="N1563" t="n">
        <v>5</v>
      </c>
      <c r="P1563" t="inlineStr">
        <is>
          <t>15:15</t>
        </is>
      </c>
      <c r="Q1563" t="inlineStr">
        <is>
          <t>15:30</t>
        </is>
      </c>
    </row>
    <row r="1564">
      <c r="A1564" t="inlineStr">
        <is>
          <t>打保 しのぶ</t>
        </is>
      </c>
      <c r="B1564" t="inlineStr">
        <is>
          <t>ZZZS107:【総】社内備品管理</t>
        </is>
      </c>
      <c r="D1564">
        <f>L1564</f>
        <v/>
      </c>
      <c r="E1564">
        <f>SUMIFS(J:J, G:G,             A1564, H:H, B1564, L:L, L1564)</f>
        <v/>
      </c>
      <c r="F1564" t="inlineStr">
        <is>
          <t>48</t>
        </is>
      </c>
      <c r="G1564" t="inlineStr">
        <is>
          <t>打保 しのぶ</t>
        </is>
      </c>
      <c r="H1564" t="inlineStr">
        <is>
          <t>ZZZS107:【総】社内備品管理</t>
        </is>
      </c>
      <c r="I1564" s="1" t="n">
        <v>45940</v>
      </c>
      <c r="J1564" t="n">
        <v>0.25</v>
      </c>
      <c r="K1564" t="inlineStr">
        <is>
          <t>備品補充</t>
        </is>
      </c>
      <c r="L1564">
        <f>IFERROR(LEFT(K1564,             FIND(",", K1564) - 1), "-")</f>
        <v/>
      </c>
      <c r="M1564">
        <f>IFERROR(MID(K1564,             FIND(",", K1564) + 1, LEN(K1564) - FIND(",", K1564)), K1564)</f>
        <v/>
      </c>
      <c r="N1564" t="n">
        <v>5</v>
      </c>
      <c r="P1564" t="inlineStr">
        <is>
          <t>10:15</t>
        </is>
      </c>
      <c r="Q1564" t="inlineStr">
        <is>
          <t>10:30</t>
        </is>
      </c>
    </row>
    <row r="1565">
      <c r="A1565" t="inlineStr">
        <is>
          <t>打保 しのぶ</t>
        </is>
      </c>
      <c r="B1565" t="inlineStr">
        <is>
          <t>ZZZS107:【総】社内備品管理</t>
        </is>
      </c>
      <c r="D1565">
        <f>L1565</f>
        <v/>
      </c>
      <c r="E1565">
        <f>SUMIFS(J:J, G:G,             A1565, H:H, B1565, L:L, L1565)</f>
        <v/>
      </c>
      <c r="F1565" t="inlineStr">
        <is>
          <t>48</t>
        </is>
      </c>
      <c r="G1565" t="inlineStr">
        <is>
          <t>打保 しのぶ</t>
        </is>
      </c>
      <c r="H1565" t="inlineStr">
        <is>
          <t>ZZZS107:【総】社内備品管理</t>
        </is>
      </c>
      <c r="I1565" s="1" t="n">
        <v>45950</v>
      </c>
      <c r="J1565" t="n">
        <v>0.25</v>
      </c>
      <c r="K1565" t="inlineStr">
        <is>
          <t>備品補充</t>
        </is>
      </c>
      <c r="L1565">
        <f>IFERROR(LEFT(K1565,             FIND(",", K1565) - 1), "-")</f>
        <v/>
      </c>
      <c r="M1565">
        <f>IFERROR(MID(K1565,             FIND(",", K1565) + 1, LEN(K1565) - FIND(",", K1565)), K1565)</f>
        <v/>
      </c>
      <c r="N1565" t="n">
        <v>5</v>
      </c>
      <c r="P1565" t="inlineStr">
        <is>
          <t>10:00</t>
        </is>
      </c>
      <c r="Q1565" t="inlineStr">
        <is>
          <t>10:15</t>
        </is>
      </c>
    </row>
    <row r="1566">
      <c r="A1566" t="inlineStr">
        <is>
          <t>打保 しのぶ</t>
        </is>
      </c>
      <c r="B1566" t="inlineStr">
        <is>
          <t>ZZZS107:【総】社内備品管理</t>
        </is>
      </c>
      <c r="D1566">
        <f>L1566</f>
        <v/>
      </c>
      <c r="E1566">
        <f>SUMIFS(J:J, G:G,             A1566, H:H, B1566, L:L, L1566)</f>
        <v/>
      </c>
      <c r="F1566" t="inlineStr">
        <is>
          <t>48</t>
        </is>
      </c>
      <c r="G1566" t="inlineStr">
        <is>
          <t>打保 しのぶ</t>
        </is>
      </c>
      <c r="H1566" t="inlineStr">
        <is>
          <t>ZZZS107:【総】社内備品管理</t>
        </is>
      </c>
      <c r="I1566" s="1" t="n">
        <v>45950</v>
      </c>
      <c r="J1566" t="n">
        <v>0.25</v>
      </c>
      <c r="K1566" t="inlineStr">
        <is>
          <t>備品補充</t>
        </is>
      </c>
      <c r="L1566">
        <f>IFERROR(LEFT(K1566,             FIND(",", K1566) - 1), "-")</f>
        <v/>
      </c>
      <c r="M1566">
        <f>IFERROR(MID(K1566,             FIND(",", K1566) + 1, LEN(K1566) - FIND(",", K1566)), K1566)</f>
        <v/>
      </c>
      <c r="N1566" t="n">
        <v>5</v>
      </c>
      <c r="P1566" t="inlineStr">
        <is>
          <t>14:15</t>
        </is>
      </c>
      <c r="Q1566" t="inlineStr">
        <is>
          <t>14:30</t>
        </is>
      </c>
    </row>
    <row r="1567">
      <c r="A1567" t="inlineStr">
        <is>
          <t>打保 しのぶ</t>
        </is>
      </c>
      <c r="B1567" t="inlineStr">
        <is>
          <t>ZZZS107:【総】社内備品管理</t>
        </is>
      </c>
      <c r="D1567">
        <f>L1567</f>
        <v/>
      </c>
      <c r="E1567">
        <f>SUMIFS(J:J, G:G,             A1567, H:H, B1567, L:L, L1567)</f>
        <v/>
      </c>
      <c r="F1567" t="inlineStr">
        <is>
          <t>48</t>
        </is>
      </c>
      <c r="G1567" t="inlineStr">
        <is>
          <t>打保 しのぶ</t>
        </is>
      </c>
      <c r="H1567" t="inlineStr">
        <is>
          <t>ZZZS107:【総】社内備品管理</t>
        </is>
      </c>
      <c r="I1567" s="1" t="n">
        <v>45947</v>
      </c>
      <c r="J1567" t="n">
        <v>0.25</v>
      </c>
      <c r="L1567">
        <f>IFERROR(LEFT(K1567,             FIND(",", K1567) - 1), "-")</f>
        <v/>
      </c>
      <c r="M1567">
        <f>IFERROR(MID(K1567,             FIND(",", K1567) + 1, LEN(K1567) - FIND(",", K1567)), K1567)</f>
        <v/>
      </c>
      <c r="N1567" t="n">
        <v>5</v>
      </c>
      <c r="P1567" t="inlineStr">
        <is>
          <t>17:15</t>
        </is>
      </c>
      <c r="Q1567" t="inlineStr">
        <is>
          <t>17:30</t>
        </is>
      </c>
    </row>
    <row r="1568">
      <c r="A1568" t="inlineStr">
        <is>
          <t>打保 しのぶ</t>
        </is>
      </c>
      <c r="B1568" t="inlineStr">
        <is>
          <t>ZZZS109:【総】電話応対・取次</t>
        </is>
      </c>
      <c r="C1568">
        <f>SUMIFS(J:J, G:G,             A1568, H:H, B1568)</f>
        <v/>
      </c>
      <c r="D1568">
        <f>L1568</f>
        <v/>
      </c>
      <c r="E1568">
        <f>SUMIFS(J:J, G:G,             A1568, H:H, B1568, L:L, L1568)</f>
        <v/>
      </c>
      <c r="F1568" t="inlineStr">
        <is>
          <t>48</t>
        </is>
      </c>
      <c r="G1568" t="inlineStr">
        <is>
          <t>打保 しのぶ</t>
        </is>
      </c>
      <c r="H1568" t="inlineStr">
        <is>
          <t>ZZZS109:【総】電話応対・取次</t>
        </is>
      </c>
      <c r="I1568" s="1" t="n">
        <v>45947</v>
      </c>
      <c r="J1568" t="n">
        <v>0.25</v>
      </c>
      <c r="L1568">
        <f>IFERROR(LEFT(K1568,             FIND(",", K1568) - 1), "-")</f>
        <v/>
      </c>
      <c r="M1568">
        <f>IFERROR(MID(K1568,             FIND(",", K1568) + 1, LEN(K1568) - FIND(",", K1568)), K1568)</f>
        <v/>
      </c>
      <c r="N1568" t="n">
        <v>5</v>
      </c>
      <c r="P1568" t="inlineStr">
        <is>
          <t>09:30</t>
        </is>
      </c>
      <c r="Q1568" t="inlineStr">
        <is>
          <t>09:45</t>
        </is>
      </c>
    </row>
    <row r="1569">
      <c r="A1569" t="inlineStr">
        <is>
          <t>打保 しのぶ</t>
        </is>
      </c>
      <c r="B1569" t="inlineStr">
        <is>
          <t>ZZZS110:【総】税理士問合せ対応</t>
        </is>
      </c>
      <c r="C1569">
        <f>SUMIFS(J:J, G:G,             A1569, H:H, B1569)</f>
        <v/>
      </c>
      <c r="D1569">
        <f>L1569</f>
        <v/>
      </c>
      <c r="E1569">
        <f>SUMIFS(J:J, G:G,             A1569, H:H, B1569, L:L, L1569)</f>
        <v/>
      </c>
      <c r="F1569" t="inlineStr">
        <is>
          <t>48</t>
        </is>
      </c>
      <c r="G1569" t="inlineStr">
        <is>
          <t>打保 しのぶ</t>
        </is>
      </c>
      <c r="H1569" t="inlineStr">
        <is>
          <t>ZZZS110:【総】税理士問合せ対応</t>
        </is>
      </c>
      <c r="I1569" s="1" t="n">
        <v>45951</v>
      </c>
      <c r="J1569" t="n">
        <v>0.25</v>
      </c>
      <c r="K1569" t="inlineStr">
        <is>
          <t>俊野様確認事項送信</t>
        </is>
      </c>
      <c r="L1569">
        <f>IFERROR(LEFT(K1569,             FIND(",", K1569) - 1), "-")</f>
        <v/>
      </c>
      <c r="M1569">
        <f>IFERROR(MID(K1569,             FIND(",", K1569) + 1, LEN(K1569) - FIND(",", K1569)), K1569)</f>
        <v/>
      </c>
      <c r="N1569" t="n">
        <v>5</v>
      </c>
      <c r="P1569" t="inlineStr">
        <is>
          <t>15:45</t>
        </is>
      </c>
      <c r="Q1569" t="inlineStr">
        <is>
          <t>16:00</t>
        </is>
      </c>
    </row>
    <row r="1570">
      <c r="A1570" t="inlineStr">
        <is>
          <t>打保 しのぶ</t>
        </is>
      </c>
      <c r="B1570" t="inlineStr">
        <is>
          <t>ZZZS112:【総】Pマーク</t>
        </is>
      </c>
      <c r="C1570">
        <f>SUMIFS(J:J, G:G,             A1570, H:H, B1570)</f>
        <v/>
      </c>
      <c r="D1570">
        <f>L1570</f>
        <v/>
      </c>
      <c r="E1570">
        <f>SUMIFS(J:J, G:G,             A1570, H:H, B1570, L:L, L1570)</f>
        <v/>
      </c>
      <c r="F1570" t="inlineStr">
        <is>
          <t>48</t>
        </is>
      </c>
      <c r="G1570" t="inlineStr">
        <is>
          <t>打保 しのぶ</t>
        </is>
      </c>
      <c r="H1570" t="inlineStr">
        <is>
          <t>ZZZS112:【総】Pマーク</t>
        </is>
      </c>
      <c r="I1570" s="1" t="n">
        <v>45937</v>
      </c>
      <c r="J1570" t="n">
        <v>5</v>
      </c>
      <c r="K1570" t="inlineStr">
        <is>
          <t>PMSマニュアル更新（JISQ15001　2023改訂）</t>
        </is>
      </c>
      <c r="L1570">
        <f>IFERROR(LEFT(K1570,             FIND(",", K1570) - 1), "-")</f>
        <v/>
      </c>
      <c r="M1570">
        <f>IFERROR(MID(K1570,             FIND(",", K1570) + 1, LEN(K1570) - FIND(",", K1570)), K1570)</f>
        <v/>
      </c>
      <c r="N1570" t="n">
        <v>5</v>
      </c>
      <c r="P1570" t="inlineStr">
        <is>
          <t>13:00</t>
        </is>
      </c>
      <c r="Q1570" t="inlineStr">
        <is>
          <t>18:00</t>
        </is>
      </c>
    </row>
    <row r="1571">
      <c r="A1571" t="inlineStr">
        <is>
          <t>打保 しのぶ</t>
        </is>
      </c>
      <c r="B1571" t="inlineStr">
        <is>
          <t>ZZZS112:【総】Pマーク</t>
        </is>
      </c>
      <c r="D1571">
        <f>L1571</f>
        <v/>
      </c>
      <c r="E1571">
        <f>SUMIFS(J:J, G:G,             A1571, H:H, B1571, L:L, L1571)</f>
        <v/>
      </c>
      <c r="F1571" t="inlineStr">
        <is>
          <t>48</t>
        </is>
      </c>
      <c r="G1571" t="inlineStr">
        <is>
          <t>打保 しのぶ</t>
        </is>
      </c>
      <c r="H1571" t="inlineStr">
        <is>
          <t>ZZZS112:【総】Pマーク</t>
        </is>
      </c>
      <c r="I1571" s="1" t="n">
        <v>45940</v>
      </c>
      <c r="J1571" t="n">
        <v>0.25</v>
      </c>
      <c r="K1571" t="inlineStr">
        <is>
          <t>フィリピン運用チェック格納</t>
        </is>
      </c>
      <c r="L1571">
        <f>IFERROR(LEFT(K1571,             FIND(",", K1571) - 1), "-")</f>
        <v/>
      </c>
      <c r="M1571">
        <f>IFERROR(MID(K1571,             FIND(",", K1571) + 1, LEN(K1571) - FIND(",", K1571)), K1571)</f>
        <v/>
      </c>
      <c r="N1571" t="n">
        <v>5</v>
      </c>
      <c r="P1571" t="inlineStr">
        <is>
          <t>15:00</t>
        </is>
      </c>
      <c r="Q1571" t="inlineStr">
        <is>
          <t>15:15</t>
        </is>
      </c>
    </row>
    <row r="1572">
      <c r="A1572" t="inlineStr">
        <is>
          <t>打保 しのぶ</t>
        </is>
      </c>
      <c r="B1572" t="inlineStr">
        <is>
          <t>ZZZS112:【総】Pマーク</t>
        </is>
      </c>
      <c r="D1572">
        <f>L1572</f>
        <v/>
      </c>
      <c r="E1572">
        <f>SUMIFS(J:J, G:G,             A1572, H:H, B1572, L:L, L1572)</f>
        <v/>
      </c>
      <c r="F1572" t="inlineStr">
        <is>
          <t>48</t>
        </is>
      </c>
      <c r="G1572" t="inlineStr">
        <is>
          <t>打保 しのぶ</t>
        </is>
      </c>
      <c r="H1572" t="inlineStr">
        <is>
          <t>ZZZS112:【総】Pマーク</t>
        </is>
      </c>
      <c r="I1572" s="1" t="n">
        <v>45937</v>
      </c>
      <c r="J1572" t="n">
        <v>0.75</v>
      </c>
      <c r="L1572">
        <f>IFERROR(LEFT(K1572,             FIND(",", K1572) - 1), "-")</f>
        <v/>
      </c>
      <c r="M1572">
        <f>IFERROR(MID(K1572,             FIND(",", K1572) + 1, LEN(K1572) - FIND(",", K1572)), K1572)</f>
        <v/>
      </c>
      <c r="N1572" t="n">
        <v>5</v>
      </c>
      <c r="P1572" t="inlineStr">
        <is>
          <t>10:45</t>
        </is>
      </c>
      <c r="Q1572" t="inlineStr">
        <is>
          <t>11:30</t>
        </is>
      </c>
    </row>
    <row r="1573">
      <c r="A1573" t="inlineStr">
        <is>
          <t>新井 雅之</t>
        </is>
      </c>
      <c r="B1573" t="inlineStr">
        <is>
          <t>CIAS001:チアリーサポート</t>
        </is>
      </c>
      <c r="C1573">
        <f>SUMIFS(J:J, G:G,             A1573, H:H, B1573)</f>
        <v/>
      </c>
      <c r="D1573">
        <f>L1573</f>
        <v/>
      </c>
      <c r="E1573">
        <f>SUMIFS(J:J, G:G,             A1573, H:H, B1573, L:L, L1573)</f>
        <v/>
      </c>
      <c r="F1573" t="inlineStr">
        <is>
          <t>43</t>
        </is>
      </c>
      <c r="G1573" t="inlineStr">
        <is>
          <t>新井 雅之</t>
        </is>
      </c>
      <c r="H1573" t="inlineStr">
        <is>
          <t>CIAS001:チアリーサポート</t>
        </is>
      </c>
      <c r="I1573" s="1" t="n">
        <v>45931</v>
      </c>
      <c r="J1573" t="n">
        <v>3</v>
      </c>
      <c r="L1573">
        <f>IFERROR(LEFT(K1573,             FIND(",", K1573) - 1), "-")</f>
        <v/>
      </c>
      <c r="M1573">
        <f>IFERROR(MID(K1573,             FIND(",", K1573) + 1, LEN(K1573) - FIND(",", K1573)), K1573)</f>
        <v/>
      </c>
      <c r="N1573" t="n">
        <v>3</v>
      </c>
      <c r="P1573" t="inlineStr">
        <is>
          <t>13:00</t>
        </is>
      </c>
      <c r="Q1573" t="inlineStr">
        <is>
          <t>16:00</t>
        </is>
      </c>
    </row>
    <row r="1574">
      <c r="A1574" t="inlineStr">
        <is>
          <t>新井 雅之</t>
        </is>
      </c>
      <c r="B1574" t="inlineStr">
        <is>
          <t>ITJS002:伊藤塾サーバ保守</t>
        </is>
      </c>
      <c r="C1574">
        <f>SUMIFS(J:J, G:G,             A1574, H:H, B1574)</f>
        <v/>
      </c>
      <c r="D1574">
        <f>L1574</f>
        <v/>
      </c>
      <c r="E1574">
        <f>SUMIFS(J:J, G:G,             A1574, H:H, B1574, L:L, L1574)</f>
        <v/>
      </c>
      <c r="F1574" t="inlineStr">
        <is>
          <t>43</t>
        </is>
      </c>
      <c r="G1574" t="inlineStr">
        <is>
          <t>新井 雅之</t>
        </is>
      </c>
      <c r="H1574" t="inlineStr">
        <is>
          <t>ITJS002:伊藤塾サーバ保守</t>
        </is>
      </c>
      <c r="I1574" s="1" t="n">
        <v>45931</v>
      </c>
      <c r="J1574" t="n">
        <v>1</v>
      </c>
      <c r="L1574">
        <f>IFERROR(LEFT(K1574,             FIND(",", K1574) - 1), "-")</f>
        <v/>
      </c>
      <c r="M1574">
        <f>IFERROR(MID(K1574,             FIND(",", K1574) + 1, LEN(K1574) - FIND(",", K1574)), K1574)</f>
        <v/>
      </c>
      <c r="N1574" t="n">
        <v>13</v>
      </c>
      <c r="P1574" t="inlineStr">
        <is>
          <t>17:00</t>
        </is>
      </c>
      <c r="Q1574" t="inlineStr">
        <is>
          <t>18:00</t>
        </is>
      </c>
    </row>
    <row r="1575">
      <c r="A1575" t="inlineStr">
        <is>
          <t>新井 雅之</t>
        </is>
      </c>
      <c r="B1575" t="inlineStr">
        <is>
          <t>SSKs001:酒類総研 サポート</t>
        </is>
      </c>
      <c r="C1575">
        <f>SUMIFS(J:J, G:G,             A1575, H:H, B1575)</f>
        <v/>
      </c>
      <c r="D1575">
        <f>L1575</f>
        <v/>
      </c>
      <c r="E1575">
        <f>SUMIFS(J:J, G:G,             A1575, H:H, B1575, L:L, L1575)</f>
        <v/>
      </c>
      <c r="F1575" t="inlineStr">
        <is>
          <t>43</t>
        </is>
      </c>
      <c r="G1575" t="inlineStr">
        <is>
          <t>新井 雅之</t>
        </is>
      </c>
      <c r="H1575" t="inlineStr">
        <is>
          <t>SSKs001:酒類総研 サポート</t>
        </is>
      </c>
      <c r="I1575" s="1" t="n">
        <v>45931</v>
      </c>
      <c r="J1575" t="n">
        <v>1</v>
      </c>
      <c r="L1575">
        <f>IFERROR(LEFT(K1575,             FIND(",", K1575) - 1), "-")</f>
        <v/>
      </c>
      <c r="M1575">
        <f>IFERROR(MID(K1575,             FIND(",", K1575) + 1, LEN(K1575) - FIND(",", K1575)), K1575)</f>
        <v/>
      </c>
      <c r="N1575" t="n">
        <v>3</v>
      </c>
      <c r="P1575" t="inlineStr">
        <is>
          <t>16:00</t>
        </is>
      </c>
      <c r="Q1575" t="inlineStr">
        <is>
          <t>17:00</t>
        </is>
      </c>
    </row>
    <row r="1576">
      <c r="A1576" t="inlineStr">
        <is>
          <t>新井 雅之</t>
        </is>
      </c>
      <c r="B1576" t="inlineStr">
        <is>
          <t>TCNZ001:社内業務等</t>
        </is>
      </c>
      <c r="C1576">
        <f>SUMIFS(J:J, G:G,             A1576, H:H, B1576)</f>
        <v/>
      </c>
      <c r="D1576">
        <f>L1576</f>
        <v/>
      </c>
      <c r="E1576">
        <f>SUMIFS(J:J, G:G,             A1576, H:H, B1576, L:L, L1576)</f>
        <v/>
      </c>
      <c r="F1576" t="inlineStr">
        <is>
          <t>43</t>
        </is>
      </c>
      <c r="G1576" t="inlineStr">
        <is>
          <t>新井 雅之</t>
        </is>
      </c>
      <c r="H1576" t="inlineStr">
        <is>
          <t>TCNZ001:社内業務等</t>
        </is>
      </c>
      <c r="I1576" s="1" t="n">
        <v>45931</v>
      </c>
      <c r="J1576" t="n">
        <v>1</v>
      </c>
      <c r="L1576">
        <f>IFERROR(LEFT(K1576,             FIND(",", K1576) - 1), "-")</f>
        <v/>
      </c>
      <c r="M1576">
        <f>IFERROR(MID(K1576,             FIND(",", K1576) + 1, LEN(K1576) - FIND(",", K1576)), K1576)</f>
        <v/>
      </c>
      <c r="N1576" t="n">
        <v>5</v>
      </c>
      <c r="P1576" t="inlineStr">
        <is>
          <t>09:00</t>
        </is>
      </c>
      <c r="Q1576" t="inlineStr">
        <is>
          <t>10:00</t>
        </is>
      </c>
    </row>
    <row r="1577">
      <c r="A1577" t="inlineStr">
        <is>
          <t>新井 雅之</t>
        </is>
      </c>
      <c r="B1577" t="inlineStr">
        <is>
          <t>TCNZ001:社内業務等</t>
        </is>
      </c>
      <c r="D1577">
        <f>L1577</f>
        <v/>
      </c>
      <c r="E1577">
        <f>SUMIFS(J:J, G:G,             A1577, H:H, B1577, L:L, L1577)</f>
        <v/>
      </c>
      <c r="F1577" t="inlineStr">
        <is>
          <t>43</t>
        </is>
      </c>
      <c r="G1577" t="inlineStr">
        <is>
          <t>新井 雅之</t>
        </is>
      </c>
      <c r="H1577" t="inlineStr">
        <is>
          <t>TCNZ001:社内業務等</t>
        </is>
      </c>
      <c r="I1577" s="1" t="n">
        <v>45932</v>
      </c>
      <c r="J1577" t="n">
        <v>2</v>
      </c>
      <c r="L1577">
        <f>IFERROR(LEFT(K1577,             FIND(",", K1577) - 1), "-")</f>
        <v/>
      </c>
      <c r="M1577">
        <f>IFERROR(MID(K1577,             FIND(",", K1577) + 1, LEN(K1577) - FIND(",", K1577)), K1577)</f>
        <v/>
      </c>
      <c r="N1577" t="n">
        <v>5</v>
      </c>
      <c r="P1577" t="inlineStr">
        <is>
          <t>10:00</t>
        </is>
      </c>
      <c r="Q1577" t="inlineStr">
        <is>
          <t>12:00</t>
        </is>
      </c>
    </row>
    <row r="1578">
      <c r="A1578" t="inlineStr">
        <is>
          <t>新井 雅之</t>
        </is>
      </c>
      <c r="B1578" t="inlineStr">
        <is>
          <t>TCNZ090:技術学習・資料作成</t>
        </is>
      </c>
      <c r="C1578">
        <f>SUMIFS(J:J, G:G,             A1578, H:H, B1578)</f>
        <v/>
      </c>
      <c r="D1578">
        <f>L1578</f>
        <v/>
      </c>
      <c r="E1578">
        <f>SUMIFS(J:J, G:G,             A1578, H:H, B1578, L:L, L1578)</f>
        <v/>
      </c>
      <c r="F1578" t="inlineStr">
        <is>
          <t>43</t>
        </is>
      </c>
      <c r="G1578" t="inlineStr">
        <is>
          <t>新井 雅之</t>
        </is>
      </c>
      <c r="H1578" t="inlineStr">
        <is>
          <t>TCNZ090:技術学習・資料作成</t>
        </is>
      </c>
      <c r="I1578" s="1" t="n">
        <v>45931</v>
      </c>
      <c r="J1578" t="n">
        <v>2</v>
      </c>
      <c r="K1578" t="inlineStr">
        <is>
          <t>ノーボーダーズ移行</t>
        </is>
      </c>
      <c r="L1578">
        <f>IFERROR(LEFT(K1578,             FIND(",", K1578) - 1), "-")</f>
        <v/>
      </c>
      <c r="M1578">
        <f>IFERROR(MID(K1578,             FIND(",", K1578) + 1, LEN(K1578) - FIND(",", K1578)), K1578)</f>
        <v/>
      </c>
      <c r="N1578" t="n">
        <v>5</v>
      </c>
      <c r="P1578" t="inlineStr">
        <is>
          <t>10:00</t>
        </is>
      </c>
      <c r="Q1578" t="inlineStr">
        <is>
          <t>12:00</t>
        </is>
      </c>
    </row>
    <row r="1579">
      <c r="A1579" t="inlineStr">
        <is>
          <t>新井 雅之</t>
        </is>
      </c>
      <c r="B1579" t="inlineStr">
        <is>
          <t>WAKS001:ウエイクアップサポート</t>
        </is>
      </c>
      <c r="C1579">
        <f>SUMIFS(J:J, G:G,             A1579, H:H, B1579)</f>
        <v/>
      </c>
      <c r="D1579">
        <f>L1579</f>
        <v/>
      </c>
      <c r="E1579">
        <f>SUMIFS(J:J, G:G,             A1579, H:H, B1579, L:L, L1579)</f>
        <v/>
      </c>
      <c r="F1579" t="inlineStr">
        <is>
          <t>43</t>
        </is>
      </c>
      <c r="G1579" t="inlineStr">
        <is>
          <t>新井 雅之</t>
        </is>
      </c>
      <c r="H1579" t="inlineStr">
        <is>
          <t>WAKS001:ウエイクアップサポート</t>
        </is>
      </c>
      <c r="I1579" s="1" t="n">
        <v>45932</v>
      </c>
      <c r="J1579" t="n">
        <v>1</v>
      </c>
      <c r="L1579">
        <f>IFERROR(LEFT(K1579,             FIND(",", K1579) - 1), "-")</f>
        <v/>
      </c>
      <c r="M1579">
        <f>IFERROR(MID(K1579,             FIND(",", K1579) + 1, LEN(K1579) - FIND(",", K1579)), K1579)</f>
        <v/>
      </c>
      <c r="N1579" t="n">
        <v>3</v>
      </c>
      <c r="P1579" t="inlineStr">
        <is>
          <t>16:00</t>
        </is>
      </c>
      <c r="Q1579" t="inlineStr">
        <is>
          <t>17:00</t>
        </is>
      </c>
    </row>
    <row r="1580">
      <c r="A1580" t="inlineStr">
        <is>
          <t>新井 雅之</t>
        </is>
      </c>
      <c r="B1580" t="inlineStr">
        <is>
          <t>WSDN001:早稲田 新規開発</t>
        </is>
      </c>
      <c r="C1580">
        <f>SUMIFS(J:J, G:G,             A1580, H:H, B1580)</f>
        <v/>
      </c>
      <c r="D1580">
        <f>L1580</f>
        <v/>
      </c>
      <c r="E1580">
        <f>SUMIFS(J:J, G:G,             A1580, H:H, B1580, L:L, L1580)</f>
        <v/>
      </c>
      <c r="F1580" t="inlineStr">
        <is>
          <t>43</t>
        </is>
      </c>
      <c r="G1580" t="inlineStr">
        <is>
          <t>新井 雅之</t>
        </is>
      </c>
      <c r="H1580" t="inlineStr">
        <is>
          <t>WSDN001:早稲田 新規開発</t>
        </is>
      </c>
      <c r="I1580" s="1" t="n">
        <v>45932</v>
      </c>
      <c r="J1580" t="n">
        <v>1</v>
      </c>
      <c r="L1580">
        <f>IFERROR(LEFT(K1580,             FIND(",", K1580) - 1), "-")</f>
        <v/>
      </c>
      <c r="M1580">
        <f>IFERROR(MID(K1580,             FIND(",", K1580) + 1, LEN(K1580) - FIND(",", K1580)), K1580)</f>
        <v/>
      </c>
      <c r="N1580" t="n">
        <v>1</v>
      </c>
      <c r="P1580" t="inlineStr">
        <is>
          <t>09:00</t>
        </is>
      </c>
      <c r="Q1580" t="inlineStr">
        <is>
          <t>10:00</t>
        </is>
      </c>
    </row>
    <row r="1581">
      <c r="A1581" t="inlineStr">
        <is>
          <t>新井 雅之</t>
        </is>
      </c>
      <c r="B1581" t="inlineStr">
        <is>
          <t>ZZZS001:サポート全般(取引先別に管理しないサポート)</t>
        </is>
      </c>
      <c r="C1581">
        <f>SUMIFS(J:J, G:G,             A1581, H:H, B1581)</f>
        <v/>
      </c>
      <c r="D1581">
        <f>L1581</f>
        <v/>
      </c>
      <c r="E1581">
        <f>SUMIFS(J:J, G:G,             A1581, H:H, B1581, L:L, L1581)</f>
        <v/>
      </c>
      <c r="F1581" t="inlineStr">
        <is>
          <t>43</t>
        </is>
      </c>
      <c r="G1581" t="inlineStr">
        <is>
          <t>新井 雅之</t>
        </is>
      </c>
      <c r="H1581" t="inlineStr">
        <is>
          <t>ZZZS001:サポート全般(取引先別に管理しないサポート)</t>
        </is>
      </c>
      <c r="I1581" s="1" t="n">
        <v>45932</v>
      </c>
      <c r="J1581" t="n">
        <v>1</v>
      </c>
      <c r="K1581" t="inlineStr">
        <is>
          <t>ここち</t>
        </is>
      </c>
      <c r="L1581">
        <f>IFERROR(LEFT(K1581,             FIND(",", K1581) - 1), "-")</f>
        <v/>
      </c>
      <c r="M1581">
        <f>IFERROR(MID(K1581,             FIND(",", K1581) + 1, LEN(K1581) - FIND(",", K1581)), K1581)</f>
        <v/>
      </c>
      <c r="N1581" t="n">
        <v>3</v>
      </c>
      <c r="P1581" t="inlineStr">
        <is>
          <t>17:00</t>
        </is>
      </c>
      <c r="Q1581" t="inlineStr">
        <is>
          <t>18:00</t>
        </is>
      </c>
    </row>
    <row r="1582">
      <c r="A1582" t="inlineStr">
        <is>
          <t>新井 雅之</t>
        </is>
      </c>
      <c r="B1582" t="inlineStr">
        <is>
          <t>ZZZS004:共有サーバ保守（206、210、207、249）</t>
        </is>
      </c>
      <c r="C1582">
        <f>SUMIFS(J:J, G:G,             A1582, H:H, B1582)</f>
        <v/>
      </c>
      <c r="D1582">
        <f>L1582</f>
        <v/>
      </c>
      <c r="E1582">
        <f>SUMIFS(J:J, G:G,             A1582, H:H, B1582, L:L, L1582)</f>
        <v/>
      </c>
      <c r="F1582" t="inlineStr">
        <is>
          <t>43</t>
        </is>
      </c>
      <c r="G1582" t="inlineStr">
        <is>
          <t>新井 雅之</t>
        </is>
      </c>
      <c r="H1582" t="inlineStr">
        <is>
          <t>ZZZS004:共有サーバ保守（206、210、207、249）</t>
        </is>
      </c>
      <c r="I1582" s="1" t="n">
        <v>45932</v>
      </c>
      <c r="J1582" t="n">
        <v>3</v>
      </c>
      <c r="L1582">
        <f>IFERROR(LEFT(K1582,             FIND(",", K1582) - 1), "-")</f>
        <v/>
      </c>
      <c r="M1582">
        <f>IFERROR(MID(K1582,             FIND(",", K1582) + 1, LEN(K1582) - FIND(",", K1582)), K1582)</f>
        <v/>
      </c>
      <c r="N1582" t="n">
        <v>13</v>
      </c>
      <c r="P1582" t="inlineStr">
        <is>
          <t>13:00</t>
        </is>
      </c>
      <c r="Q1582" t="inlineStr">
        <is>
          <t>16:00</t>
        </is>
      </c>
    </row>
    <row r="1583">
      <c r="A1583" t="inlineStr">
        <is>
          <t>景山 朋美</t>
        </is>
      </c>
      <c r="B1583" t="inlineStr">
        <is>
          <t>SMMN004:島村楽器:瑕疵対応</t>
        </is>
      </c>
      <c r="C1583">
        <f>SUMIFS(J:J, G:G,             A1583, H:H, B1583)</f>
        <v/>
      </c>
      <c r="D1583">
        <f>L1583</f>
        <v/>
      </c>
      <c r="E1583">
        <f>SUMIFS(J:J, G:G,             A1583, H:H, B1583, L:L, L1583)</f>
        <v/>
      </c>
      <c r="F1583" t="inlineStr">
        <is>
          <t>37</t>
        </is>
      </c>
      <c r="G1583" t="inlineStr">
        <is>
          <t>景山 朋美</t>
        </is>
      </c>
      <c r="H1583" t="inlineStr">
        <is>
          <t>SMMN004:島村楽器:瑕疵対応</t>
        </is>
      </c>
      <c r="I1583" s="1" t="n">
        <v>45944</v>
      </c>
      <c r="J1583" t="n">
        <v>2.5</v>
      </c>
      <c r="K1583" t="inlineStr">
        <is>
          <t>Tframe設計_レビュー前確認</t>
        </is>
      </c>
      <c r="L1583">
        <f>IFERROR(LEFT(K1583,             FIND(",", K1583) - 1), "-")</f>
        <v/>
      </c>
      <c r="M1583">
        <f>IFERROR(MID(K1583,             FIND(",", K1583) + 1, LEN(K1583) - FIND(",", K1583)), K1583)</f>
        <v/>
      </c>
      <c r="N1583" t="n">
        <v>1</v>
      </c>
      <c r="P1583" t="inlineStr">
        <is>
          <t>09:30</t>
        </is>
      </c>
      <c r="Q1583" t="inlineStr">
        <is>
          <t>12:00</t>
        </is>
      </c>
    </row>
    <row r="1584">
      <c r="A1584" t="inlineStr">
        <is>
          <t>景山 朋美</t>
        </is>
      </c>
      <c r="B1584" t="inlineStr">
        <is>
          <t>SMMs001:島村楽器サポート</t>
        </is>
      </c>
      <c r="C1584">
        <f>SUMIFS(J:J, G:G,             A1584, H:H, B1584)</f>
        <v/>
      </c>
      <c r="D1584">
        <f>L1584</f>
        <v/>
      </c>
      <c r="E1584">
        <f>SUMIFS(J:J, G:G,             A1584, H:H, B1584, L:L, L1584)</f>
        <v/>
      </c>
      <c r="F1584" t="inlineStr">
        <is>
          <t>37</t>
        </is>
      </c>
      <c r="G1584" t="inlineStr">
        <is>
          <t>景山 朋美</t>
        </is>
      </c>
      <c r="H1584" t="inlineStr">
        <is>
          <t>SMMs001:島村楽器サポート</t>
        </is>
      </c>
      <c r="I1584" s="1" t="n">
        <v>45933</v>
      </c>
      <c r="J1584" t="n">
        <v>2.5</v>
      </c>
      <c r="K1584" t="inlineStr">
        <is>
          <t xml:space="preserve"> API設計 </t>
        </is>
      </c>
      <c r="L1584">
        <f>IFERROR(LEFT(K1584,             FIND(",", K1584) - 1), "-")</f>
        <v/>
      </c>
      <c r="M1584">
        <f>IFERROR(MID(K1584,             FIND(",", K1584) + 1, LEN(K1584) - FIND(",", K1584)), K1584)</f>
        <v/>
      </c>
      <c r="N1584" t="n">
        <v>3</v>
      </c>
      <c r="P1584" t="inlineStr">
        <is>
          <t>09:30</t>
        </is>
      </c>
      <c r="Q1584" t="inlineStr">
        <is>
          <t>12:00</t>
        </is>
      </c>
    </row>
    <row r="1585">
      <c r="A1585" t="inlineStr">
        <is>
          <t>景山 朋美</t>
        </is>
      </c>
      <c r="B1585" t="inlineStr">
        <is>
          <t>SMMs001:島村楽器サポート</t>
        </is>
      </c>
      <c r="D1585">
        <f>L1585</f>
        <v/>
      </c>
      <c r="E1585">
        <f>SUMIFS(J:J, G:G,             A1585, H:H, B1585, L:L, L1585)</f>
        <v/>
      </c>
      <c r="F1585" t="inlineStr">
        <is>
          <t>37</t>
        </is>
      </c>
      <c r="G1585" t="inlineStr">
        <is>
          <t>景山 朋美</t>
        </is>
      </c>
      <c r="H1585" t="inlineStr">
        <is>
          <t>SMMs001:島村楽器サポート</t>
        </is>
      </c>
      <c r="I1585" s="1" t="n">
        <v>45936</v>
      </c>
      <c r="J1585" t="n">
        <v>3</v>
      </c>
      <c r="K1585" t="inlineStr">
        <is>
          <t xml:space="preserve"> 教育,ディレクトリ運用</t>
        </is>
      </c>
      <c r="L1585">
        <f>IFERROR(LEFT(K1585,             FIND(",", K1585) - 1), "-")</f>
        <v/>
      </c>
      <c r="M1585">
        <f>IFERROR(MID(K1585,             FIND(",", K1585) + 1, LEN(K1585) - FIND(",", K1585)), K1585)</f>
        <v/>
      </c>
      <c r="N1585" t="n">
        <v>3</v>
      </c>
      <c r="P1585" t="inlineStr">
        <is>
          <t>13:00</t>
        </is>
      </c>
      <c r="Q1585" t="inlineStr">
        <is>
          <t>16:00</t>
        </is>
      </c>
    </row>
    <row r="1586">
      <c r="A1586" t="inlineStr">
        <is>
          <t>景山 朋美</t>
        </is>
      </c>
      <c r="B1586" t="inlineStr">
        <is>
          <t>SMMs001:島村楽器サポート</t>
        </is>
      </c>
      <c r="D1586">
        <f>L1586</f>
        <v/>
      </c>
      <c r="E1586">
        <f>SUMIFS(J:J, G:G,             A1586, H:H, B1586, L:L, L1586)</f>
        <v/>
      </c>
      <c r="F1586" t="inlineStr">
        <is>
          <t>37</t>
        </is>
      </c>
      <c r="G1586" t="inlineStr">
        <is>
          <t>景山 朋美</t>
        </is>
      </c>
      <c r="H1586" t="inlineStr">
        <is>
          <t>SMMs001:島村楽器サポート</t>
        </is>
      </c>
      <c r="I1586" s="1" t="n">
        <v>45931</v>
      </c>
      <c r="J1586" t="n">
        <v>2.5</v>
      </c>
      <c r="K1586" t="inlineStr">
        <is>
          <t xml:space="preserve"> 調査,オプティズマイズテーブル</t>
        </is>
      </c>
      <c r="L1586">
        <f>IFERROR(LEFT(K1586,             FIND(",", K1586) - 1), "-")</f>
        <v/>
      </c>
      <c r="M1586">
        <f>IFERROR(MID(K1586,             FIND(",", K1586) + 1, LEN(K1586) - FIND(",", K1586)), K1586)</f>
        <v/>
      </c>
      <c r="N1586" t="n">
        <v>3</v>
      </c>
      <c r="P1586" t="inlineStr">
        <is>
          <t>09:30</t>
        </is>
      </c>
      <c r="Q1586" t="inlineStr">
        <is>
          <t>12:00</t>
        </is>
      </c>
    </row>
    <row r="1587">
      <c r="A1587" t="inlineStr">
        <is>
          <t>景山 朋美</t>
        </is>
      </c>
      <c r="B1587" t="inlineStr">
        <is>
          <t>SMMs001:島村楽器サポート</t>
        </is>
      </c>
      <c r="D1587">
        <f>L1587</f>
        <v/>
      </c>
      <c r="E1587">
        <f>SUMIFS(J:J, G:G,             A1587, H:H, B1587, L:L, L1587)</f>
        <v/>
      </c>
      <c r="F1587" t="inlineStr">
        <is>
          <t>37</t>
        </is>
      </c>
      <c r="G1587" t="inlineStr">
        <is>
          <t>景山 朋美</t>
        </is>
      </c>
      <c r="H1587" t="inlineStr">
        <is>
          <t>SMMs001:島村楽器サポート</t>
        </is>
      </c>
      <c r="I1587" s="1" t="n">
        <v>45931</v>
      </c>
      <c r="J1587" t="n">
        <v>3</v>
      </c>
      <c r="K1587" t="inlineStr">
        <is>
          <t xml:space="preserve"> 調査,オプティズマイズテーブル</t>
        </is>
      </c>
      <c r="L1587">
        <f>IFERROR(LEFT(K1587,             FIND(",", K1587) - 1), "-")</f>
        <v/>
      </c>
      <c r="M1587">
        <f>IFERROR(MID(K1587,             FIND(",", K1587) + 1, LEN(K1587) - FIND(",", K1587)), K1587)</f>
        <v/>
      </c>
      <c r="N1587" t="n">
        <v>3</v>
      </c>
      <c r="P1587" t="inlineStr">
        <is>
          <t>13:00</t>
        </is>
      </c>
      <c r="Q1587" t="inlineStr">
        <is>
          <t>16:00</t>
        </is>
      </c>
    </row>
    <row r="1588">
      <c r="A1588" t="inlineStr">
        <is>
          <t>景山 朋美</t>
        </is>
      </c>
      <c r="B1588" t="inlineStr">
        <is>
          <t>SMMs001:島村楽器サポート</t>
        </is>
      </c>
      <c r="D1588">
        <f>L1588</f>
        <v/>
      </c>
      <c r="E1588">
        <f>SUMIFS(J:J, G:G,             A1588, H:H, B1588, L:L, L1588)</f>
        <v/>
      </c>
      <c r="F1588" t="inlineStr">
        <is>
          <t>37</t>
        </is>
      </c>
      <c r="G1588" t="inlineStr">
        <is>
          <t>景山 朋美</t>
        </is>
      </c>
      <c r="H1588" t="inlineStr">
        <is>
          <t>SMMs001:島村楽器サポート</t>
        </is>
      </c>
      <c r="I1588" s="1" t="n">
        <v>45932</v>
      </c>
      <c r="J1588" t="n">
        <v>1.5</v>
      </c>
      <c r="K1588" t="inlineStr">
        <is>
          <t>API設計</t>
        </is>
      </c>
      <c r="L1588">
        <f>IFERROR(LEFT(K1588,             FIND(",", K1588) - 1), "-")</f>
        <v/>
      </c>
      <c r="M1588">
        <f>IFERROR(MID(K1588,             FIND(",", K1588) + 1, LEN(K1588) - FIND(",", K1588)), K1588)</f>
        <v/>
      </c>
      <c r="N1588" t="n">
        <v>3</v>
      </c>
      <c r="P1588" t="inlineStr">
        <is>
          <t>14:30</t>
        </is>
      </c>
      <c r="Q1588" t="inlineStr">
        <is>
          <t>16:00</t>
        </is>
      </c>
    </row>
    <row r="1589">
      <c r="A1589" t="inlineStr">
        <is>
          <t>景山 朋美</t>
        </is>
      </c>
      <c r="B1589" t="inlineStr">
        <is>
          <t>SMMs001:島村楽器サポート</t>
        </is>
      </c>
      <c r="D1589">
        <f>L1589</f>
        <v/>
      </c>
      <c r="E1589">
        <f>SUMIFS(J:J, G:G,             A1589, H:H, B1589, L:L, L1589)</f>
        <v/>
      </c>
      <c r="F1589" t="inlineStr">
        <is>
          <t>37</t>
        </is>
      </c>
      <c r="G1589" t="inlineStr">
        <is>
          <t>景山 朋美</t>
        </is>
      </c>
      <c r="H1589" t="inlineStr">
        <is>
          <t>SMMs001:島村楽器サポート</t>
        </is>
      </c>
      <c r="I1589" s="1" t="n">
        <v>45936</v>
      </c>
      <c r="J1589" t="n">
        <v>1</v>
      </c>
      <c r="K1589" t="inlineStr">
        <is>
          <t>API設計書修正</t>
        </is>
      </c>
      <c r="L1589">
        <f>IFERROR(LEFT(K1589,             FIND(",", K1589) - 1), "-")</f>
        <v/>
      </c>
      <c r="M1589">
        <f>IFERROR(MID(K1589,             FIND(",", K1589) + 1, LEN(K1589) - FIND(",", K1589)), K1589)</f>
        <v/>
      </c>
      <c r="N1589" t="n">
        <v>3</v>
      </c>
      <c r="P1589" t="inlineStr">
        <is>
          <t>17:00</t>
        </is>
      </c>
      <c r="Q1589" t="inlineStr">
        <is>
          <t>18:00</t>
        </is>
      </c>
    </row>
    <row r="1590">
      <c r="A1590" t="inlineStr">
        <is>
          <t>景山 朋美</t>
        </is>
      </c>
      <c r="B1590" t="inlineStr">
        <is>
          <t>SMMs001:島村楽器サポート</t>
        </is>
      </c>
      <c r="D1590">
        <f>L1590</f>
        <v/>
      </c>
      <c r="E1590">
        <f>SUMIFS(J:J, G:G,             A1590, H:H, B1590, L:L, L1590)</f>
        <v/>
      </c>
      <c r="F1590" t="inlineStr">
        <is>
          <t>37</t>
        </is>
      </c>
      <c r="G1590" t="inlineStr">
        <is>
          <t>景山 朋美</t>
        </is>
      </c>
      <c r="H1590" t="inlineStr">
        <is>
          <t>SMMs001:島村楽器サポート</t>
        </is>
      </c>
      <c r="I1590" s="1" t="n">
        <v>45950</v>
      </c>
      <c r="J1590" t="n">
        <v>3</v>
      </c>
      <c r="K1590" t="inlineStr">
        <is>
          <t>DB更新,OptimizeTable作業</t>
        </is>
      </c>
      <c r="L1590">
        <f>IFERROR(LEFT(K1590,             FIND(",", K1590) - 1), "-")</f>
        <v/>
      </c>
      <c r="M1590">
        <f>IFERROR(MID(K1590,             FIND(",", K1590) + 1, LEN(K1590) - FIND(",", K1590)), K1590)</f>
        <v/>
      </c>
      <c r="N1590" t="n">
        <v>3</v>
      </c>
      <c r="P1590" t="inlineStr">
        <is>
          <t>09:00</t>
        </is>
      </c>
      <c r="Q1590" t="inlineStr">
        <is>
          <t>12:00</t>
        </is>
      </c>
    </row>
    <row r="1591">
      <c r="A1591" t="inlineStr">
        <is>
          <t>景山 朋美</t>
        </is>
      </c>
      <c r="B1591" t="inlineStr">
        <is>
          <t>SMMs001:島村楽器サポート</t>
        </is>
      </c>
      <c r="D1591">
        <f>L1591</f>
        <v/>
      </c>
      <c r="E1591">
        <f>SUMIFS(J:J, G:G,             A1591, H:H, B1591, L:L, L1591)</f>
        <v/>
      </c>
      <c r="F1591" t="inlineStr">
        <is>
          <t>37</t>
        </is>
      </c>
      <c r="G1591" t="inlineStr">
        <is>
          <t>景山 朋美</t>
        </is>
      </c>
      <c r="H1591" t="inlineStr">
        <is>
          <t>SMMs001:島村楽器サポート</t>
        </is>
      </c>
      <c r="I1591" s="1" t="n">
        <v>45947</v>
      </c>
      <c r="J1591" t="n">
        <v>2</v>
      </c>
      <c r="K1591" t="inlineStr">
        <is>
          <t>DB更新,事前準備</t>
        </is>
      </c>
      <c r="L1591">
        <f>IFERROR(LEFT(K1591,             FIND(",", K1591) - 1), "-")</f>
        <v/>
      </c>
      <c r="M1591">
        <f>IFERROR(MID(K1591,             FIND(",", K1591) + 1, LEN(K1591) - FIND(",", K1591)), K1591)</f>
        <v/>
      </c>
      <c r="N1591" t="n">
        <v>3</v>
      </c>
      <c r="P1591" t="inlineStr">
        <is>
          <t>13:00</t>
        </is>
      </c>
      <c r="Q1591" t="inlineStr">
        <is>
          <t>15:00</t>
        </is>
      </c>
    </row>
    <row r="1592">
      <c r="A1592" t="inlineStr">
        <is>
          <t>景山 朋美</t>
        </is>
      </c>
      <c r="B1592" t="inlineStr">
        <is>
          <t>SMMs001:島村楽器サポート</t>
        </is>
      </c>
      <c r="D1592">
        <f>L1592</f>
        <v/>
      </c>
      <c r="E1592">
        <f>SUMIFS(J:J, G:G,             A1592, H:H, B1592, L:L, L1592)</f>
        <v/>
      </c>
      <c r="F1592" t="inlineStr">
        <is>
          <t>37</t>
        </is>
      </c>
      <c r="G1592" t="inlineStr">
        <is>
          <t>景山 朋美</t>
        </is>
      </c>
      <c r="H1592" t="inlineStr">
        <is>
          <t>SMMs001:島村楽器サポート</t>
        </is>
      </c>
      <c r="I1592" s="1" t="n">
        <v>45947</v>
      </c>
      <c r="J1592" t="n">
        <v>2.5</v>
      </c>
      <c r="K1592" t="inlineStr">
        <is>
          <t>UAT課題,課題内容整理</t>
        </is>
      </c>
      <c r="L1592">
        <f>IFERROR(LEFT(K1592,             FIND(",", K1592) - 1), "-")</f>
        <v/>
      </c>
      <c r="M1592">
        <f>IFERROR(MID(K1592,             FIND(",", K1592) + 1, LEN(K1592) - FIND(",", K1592)), K1592)</f>
        <v/>
      </c>
      <c r="N1592" t="n">
        <v>3</v>
      </c>
      <c r="P1592" t="inlineStr">
        <is>
          <t>09:30</t>
        </is>
      </c>
      <c r="Q1592" t="inlineStr">
        <is>
          <t>12:00</t>
        </is>
      </c>
    </row>
    <row r="1593">
      <c r="A1593" t="inlineStr">
        <is>
          <t>景山 朋美</t>
        </is>
      </c>
      <c r="B1593" t="inlineStr">
        <is>
          <t>SMMs001:島村楽器サポート</t>
        </is>
      </c>
      <c r="D1593">
        <f>L1593</f>
        <v/>
      </c>
      <c r="E1593">
        <f>SUMIFS(J:J, G:G,             A1593, H:H, B1593, L:L, L1593)</f>
        <v/>
      </c>
      <c r="F1593" t="inlineStr">
        <is>
          <t>37</t>
        </is>
      </c>
      <c r="G1593" t="inlineStr">
        <is>
          <t>景山 朋美</t>
        </is>
      </c>
      <c r="H1593" t="inlineStr">
        <is>
          <t>SMMs001:島村楽器サポート</t>
        </is>
      </c>
      <c r="I1593" s="1" t="n">
        <v>45946</v>
      </c>
      <c r="J1593" t="n">
        <v>5</v>
      </c>
      <c r="K1593" t="inlineStr">
        <is>
          <t>UAT課題,課題整理</t>
        </is>
      </c>
      <c r="L1593">
        <f>IFERROR(LEFT(K1593,             FIND(",", K1593) - 1), "-")</f>
        <v/>
      </c>
      <c r="M1593">
        <f>IFERROR(MID(K1593,             FIND(",", K1593) + 1, LEN(K1593) - FIND(",", K1593)), K1593)</f>
        <v/>
      </c>
      <c r="N1593" t="n">
        <v>3</v>
      </c>
      <c r="P1593" t="inlineStr">
        <is>
          <t>13:00</t>
        </is>
      </c>
      <c r="Q1593" t="inlineStr">
        <is>
          <t>18:00</t>
        </is>
      </c>
    </row>
    <row r="1594">
      <c r="A1594" t="inlineStr">
        <is>
          <t>景山 朋美</t>
        </is>
      </c>
      <c r="B1594" t="inlineStr">
        <is>
          <t>SMMs001:島村楽器サポート</t>
        </is>
      </c>
      <c r="D1594">
        <f>L1594</f>
        <v/>
      </c>
      <c r="E1594">
        <f>SUMIFS(J:J, G:G,             A1594, H:H, B1594, L:L, L1594)</f>
        <v/>
      </c>
      <c r="F1594" t="inlineStr">
        <is>
          <t>37</t>
        </is>
      </c>
      <c r="G1594" t="inlineStr">
        <is>
          <t>景山 朋美</t>
        </is>
      </c>
      <c r="H1594" t="inlineStr">
        <is>
          <t>SMMs001:島村楽器サポート</t>
        </is>
      </c>
      <c r="I1594" s="1" t="n">
        <v>45946</v>
      </c>
      <c r="J1594" t="n">
        <v>0.5</v>
      </c>
      <c r="K1594" t="inlineStr">
        <is>
          <t>教育,(島村)状況報告</t>
        </is>
      </c>
      <c r="L1594">
        <f>IFERROR(LEFT(K1594,             FIND(",", K1594) - 1), "-")</f>
        <v/>
      </c>
      <c r="M1594">
        <f>IFERROR(MID(K1594,             FIND(",", K1594) + 1, LEN(K1594) - FIND(",", K1594)), K1594)</f>
        <v/>
      </c>
      <c r="N1594" t="n">
        <v>3</v>
      </c>
      <c r="P1594" t="inlineStr">
        <is>
          <t>10:00</t>
        </is>
      </c>
      <c r="Q1594" t="inlineStr">
        <is>
          <t>10:30</t>
        </is>
      </c>
    </row>
    <row r="1595">
      <c r="A1595" t="inlineStr">
        <is>
          <t>景山 朋美</t>
        </is>
      </c>
      <c r="B1595" t="inlineStr">
        <is>
          <t>SMMs001:島村楽器サポート</t>
        </is>
      </c>
      <c r="D1595">
        <f>L1595</f>
        <v/>
      </c>
      <c r="E1595">
        <f>SUMIFS(J:J, G:G,             A1595, H:H, B1595, L:L, L1595)</f>
        <v/>
      </c>
      <c r="F1595" t="inlineStr">
        <is>
          <t>37</t>
        </is>
      </c>
      <c r="G1595" t="inlineStr">
        <is>
          <t>景山 朋美</t>
        </is>
      </c>
      <c r="H1595" t="inlineStr">
        <is>
          <t>SMMs001:島村楽器サポート</t>
        </is>
      </c>
      <c r="I1595" s="1" t="n">
        <v>45936</v>
      </c>
      <c r="J1595" t="n">
        <v>1.5</v>
      </c>
      <c r="K1595" t="inlineStr">
        <is>
          <t>教育,ディレクトリ運用</t>
        </is>
      </c>
      <c r="L1595">
        <f>IFERROR(LEFT(K1595,             FIND(",", K1595) - 1), "-")</f>
        <v/>
      </c>
      <c r="M1595">
        <f>IFERROR(MID(K1595,             FIND(",", K1595) + 1, LEN(K1595) - FIND(",", K1595)), K1595)</f>
        <v/>
      </c>
      <c r="N1595" t="n">
        <v>3</v>
      </c>
      <c r="P1595" t="inlineStr">
        <is>
          <t>10:30</t>
        </is>
      </c>
      <c r="Q1595" t="inlineStr">
        <is>
          <t>12:00</t>
        </is>
      </c>
    </row>
    <row r="1596">
      <c r="A1596" t="inlineStr">
        <is>
          <t>景山 朋美</t>
        </is>
      </c>
      <c r="B1596" t="inlineStr">
        <is>
          <t>SMMs001:島村楽器サポート</t>
        </is>
      </c>
      <c r="D1596">
        <f>L1596</f>
        <v/>
      </c>
      <c r="E1596">
        <f>SUMIFS(J:J, G:G,             A1596, H:H, B1596, L:L, L1596)</f>
        <v/>
      </c>
      <c r="F1596" t="inlineStr">
        <is>
          <t>37</t>
        </is>
      </c>
      <c r="G1596" t="inlineStr">
        <is>
          <t>景山 朋美</t>
        </is>
      </c>
      <c r="H1596" t="inlineStr">
        <is>
          <t>SMMs001:島村楽器サポート</t>
        </is>
      </c>
      <c r="I1596" s="1" t="n">
        <v>45946</v>
      </c>
      <c r="J1596" t="n">
        <v>1.5</v>
      </c>
      <c r="K1596" t="inlineStr">
        <is>
          <t>教育,レビュー関連やりとり</t>
        </is>
      </c>
      <c r="L1596">
        <f>IFERROR(LEFT(K1596,             FIND(",", K1596) - 1), "-")</f>
        <v/>
      </c>
      <c r="M1596">
        <f>IFERROR(MID(K1596,             FIND(",", K1596) + 1, LEN(K1596) - FIND(",", K1596)), K1596)</f>
        <v/>
      </c>
      <c r="N1596" t="n">
        <v>3</v>
      </c>
      <c r="P1596" t="inlineStr">
        <is>
          <t>10:30</t>
        </is>
      </c>
      <c r="Q1596" t="inlineStr">
        <is>
          <t>12:00</t>
        </is>
      </c>
    </row>
    <row r="1597">
      <c r="A1597" t="inlineStr">
        <is>
          <t>景山 朋美</t>
        </is>
      </c>
      <c r="B1597" t="inlineStr">
        <is>
          <t>SMMs001:島村楽器サポート</t>
        </is>
      </c>
      <c r="D1597">
        <f>L1597</f>
        <v/>
      </c>
      <c r="E1597">
        <f>SUMIFS(J:J, G:G,             A1597, H:H, B1597, L:L, L1597)</f>
        <v/>
      </c>
      <c r="F1597" t="inlineStr">
        <is>
          <t>37</t>
        </is>
      </c>
      <c r="G1597" t="inlineStr">
        <is>
          <t>景山 朋美</t>
        </is>
      </c>
      <c r="H1597" t="inlineStr">
        <is>
          <t>SMMs001:島村楽器サポート</t>
        </is>
      </c>
      <c r="I1597" s="1" t="n">
        <v>45939</v>
      </c>
      <c r="J1597" t="n">
        <v>0.5</v>
      </c>
      <c r="K1597" t="inlineStr">
        <is>
          <t>社内MTG,(島村)状況報告</t>
        </is>
      </c>
      <c r="L1597">
        <f>IFERROR(LEFT(K1597,             FIND(",", K1597) - 1), "-")</f>
        <v/>
      </c>
      <c r="M1597">
        <f>IFERROR(MID(K1597,             FIND(",", K1597) + 1, LEN(K1597) - FIND(",", K1597)), K1597)</f>
        <v/>
      </c>
      <c r="N1597" t="n">
        <v>3</v>
      </c>
      <c r="P1597" t="inlineStr">
        <is>
          <t>10:00</t>
        </is>
      </c>
      <c r="Q1597" t="inlineStr">
        <is>
          <t>10:30</t>
        </is>
      </c>
    </row>
    <row r="1598">
      <c r="A1598" t="inlineStr">
        <is>
          <t>景山 朋美</t>
        </is>
      </c>
      <c r="B1598" t="inlineStr">
        <is>
          <t>SMMs001:島村楽器サポート</t>
        </is>
      </c>
      <c r="D1598">
        <f>L1598</f>
        <v/>
      </c>
      <c r="E1598">
        <f>SUMIFS(J:J, G:G,             A1598, H:H, B1598, L:L, L1598)</f>
        <v/>
      </c>
      <c r="F1598" t="inlineStr">
        <is>
          <t>37</t>
        </is>
      </c>
      <c r="G1598" t="inlineStr">
        <is>
          <t>景山 朋美</t>
        </is>
      </c>
      <c r="H1598" t="inlineStr">
        <is>
          <t>SMMs001:島村楽器サポート</t>
        </is>
      </c>
      <c r="I1598" s="1" t="n">
        <v>45932</v>
      </c>
      <c r="J1598" t="n">
        <v>1</v>
      </c>
      <c r="K1598" t="inlineStr">
        <is>
          <t>調査,オプティズマイズテーブル</t>
        </is>
      </c>
      <c r="L1598">
        <f>IFERROR(LEFT(K1598,             FIND(",", K1598) - 1), "-")</f>
        <v/>
      </c>
      <c r="M1598">
        <f>IFERROR(MID(K1598,             FIND(",", K1598) + 1, LEN(K1598) - FIND(",", K1598)), K1598)</f>
        <v/>
      </c>
      <c r="N1598" t="n">
        <v>3</v>
      </c>
      <c r="P1598" t="inlineStr">
        <is>
          <t>11:00</t>
        </is>
      </c>
      <c r="Q1598" t="inlineStr">
        <is>
          <t>12:00</t>
        </is>
      </c>
    </row>
    <row r="1599">
      <c r="A1599" t="inlineStr">
        <is>
          <t>景山 朋美</t>
        </is>
      </c>
      <c r="B1599" t="inlineStr">
        <is>
          <t>SMMs001:島村楽器サポート</t>
        </is>
      </c>
      <c r="D1599">
        <f>L1599</f>
        <v/>
      </c>
      <c r="E1599">
        <f>SUMIFS(J:J, G:G,             A1599, H:H, B1599, L:L, L1599)</f>
        <v/>
      </c>
      <c r="F1599" t="inlineStr">
        <is>
          <t>37</t>
        </is>
      </c>
      <c r="G1599" t="inlineStr">
        <is>
          <t>景山 朋美</t>
        </is>
      </c>
      <c r="H1599" t="inlineStr">
        <is>
          <t>SMMs001:島村楽器サポート</t>
        </is>
      </c>
      <c r="I1599" s="1" t="n">
        <v>45932</v>
      </c>
      <c r="J1599" t="n">
        <v>1.5</v>
      </c>
      <c r="K1599" t="inlineStr">
        <is>
          <t>調査,料金（預り金ロジック整理）</t>
        </is>
      </c>
      <c r="L1599">
        <f>IFERROR(LEFT(K1599,             FIND(",", K1599) - 1), "-")</f>
        <v/>
      </c>
      <c r="M1599">
        <f>IFERROR(MID(K1599,             FIND(",", K1599) + 1, LEN(K1599) - FIND(",", K1599)), K1599)</f>
        <v/>
      </c>
      <c r="N1599" t="n">
        <v>3</v>
      </c>
      <c r="P1599" t="inlineStr">
        <is>
          <t>13:00</t>
        </is>
      </c>
      <c r="Q1599" t="inlineStr">
        <is>
          <t>14:30</t>
        </is>
      </c>
    </row>
    <row r="1600">
      <c r="A1600" t="inlineStr">
        <is>
          <t>景山 朋美</t>
        </is>
      </c>
      <c r="B1600" t="inlineStr">
        <is>
          <t>SMMs001:島村楽器サポート</t>
        </is>
      </c>
      <c r="D1600">
        <f>L1600</f>
        <v/>
      </c>
      <c r="E1600">
        <f>SUMIFS(J:J, G:G,             A1600, H:H, B1600, L:L, L1600)</f>
        <v/>
      </c>
      <c r="F1600" t="inlineStr">
        <is>
          <t>37</t>
        </is>
      </c>
      <c r="G1600" t="inlineStr">
        <is>
          <t>景山 朋美</t>
        </is>
      </c>
      <c r="H1600" t="inlineStr">
        <is>
          <t>SMMs001:島村楽器サポート</t>
        </is>
      </c>
      <c r="I1600" s="1" t="n">
        <v>45936</v>
      </c>
      <c r="J1600" t="n">
        <v>1</v>
      </c>
      <c r="K1600" t="inlineStr">
        <is>
          <t>調査,本番SQLエラー</t>
        </is>
      </c>
      <c r="L1600">
        <f>IFERROR(LEFT(K1600,             FIND(",", K1600) - 1), "-")</f>
        <v/>
      </c>
      <c r="M1600">
        <f>IFERROR(MID(K1600,             FIND(",", K1600) + 1, LEN(K1600) - FIND(",", K1600)), K1600)</f>
        <v/>
      </c>
      <c r="N1600" t="n">
        <v>3</v>
      </c>
      <c r="P1600" t="inlineStr">
        <is>
          <t>09:30</t>
        </is>
      </c>
      <c r="Q1600" t="inlineStr">
        <is>
          <t>10:30</t>
        </is>
      </c>
    </row>
    <row r="1601">
      <c r="A1601" t="inlineStr">
        <is>
          <t>景山 朋美</t>
        </is>
      </c>
      <c r="B1601" t="inlineStr">
        <is>
          <t>SMMs001:島村楽器サポート</t>
        </is>
      </c>
      <c r="D1601">
        <f>L1601</f>
        <v/>
      </c>
      <c r="E1601">
        <f>SUMIFS(J:J, G:G,             A1601, H:H, B1601, L:L, L1601)</f>
        <v/>
      </c>
      <c r="F1601" t="inlineStr">
        <is>
          <t>37</t>
        </is>
      </c>
      <c r="G1601" t="inlineStr">
        <is>
          <t>景山 朋美</t>
        </is>
      </c>
      <c r="H1601" t="inlineStr">
        <is>
          <t>SMMs001:島村楽器サポート</t>
        </is>
      </c>
      <c r="I1601" s="1" t="n">
        <v>45950</v>
      </c>
      <c r="J1601" t="n">
        <v>1.5</v>
      </c>
      <c r="K1601" t="inlineStr">
        <is>
          <t>調査,本番環境で発生したSQLエラーの正体</t>
        </is>
      </c>
      <c r="L1601">
        <f>IFERROR(LEFT(K1601,             FIND(",", K1601) - 1), "-")</f>
        <v/>
      </c>
      <c r="M1601">
        <f>IFERROR(MID(K1601,             FIND(",", K1601) + 1, LEN(K1601) - FIND(",", K1601)), K1601)</f>
        <v/>
      </c>
      <c r="N1601" t="n">
        <v>3</v>
      </c>
      <c r="P1601" t="inlineStr">
        <is>
          <t>15:00</t>
        </is>
      </c>
      <c r="Q1601" t="inlineStr">
        <is>
          <t>16:30</t>
        </is>
      </c>
    </row>
    <row r="1602">
      <c r="A1602" t="inlineStr">
        <is>
          <t>景山 朋美</t>
        </is>
      </c>
      <c r="B1602" t="inlineStr">
        <is>
          <t>SMMs001:島村楽器サポート</t>
        </is>
      </c>
      <c r="D1602">
        <f>L1602</f>
        <v/>
      </c>
      <c r="E1602">
        <f>SUMIFS(J:J, G:G,             A1602, H:H, B1602, L:L, L1602)</f>
        <v/>
      </c>
      <c r="F1602" t="inlineStr">
        <is>
          <t>37</t>
        </is>
      </c>
      <c r="G1602" t="inlineStr">
        <is>
          <t>景山 朋美</t>
        </is>
      </c>
      <c r="H1602" t="inlineStr">
        <is>
          <t>SMMs001:島村楽器サポート</t>
        </is>
      </c>
      <c r="I1602" s="1" t="n">
        <v>45944</v>
      </c>
      <c r="J1602" t="n">
        <v>2</v>
      </c>
      <c r="K1602" t="inlineStr">
        <is>
          <t>資料作成（内部向け）,CRUD図</t>
        </is>
      </c>
      <c r="L1602">
        <f>IFERROR(LEFT(K1602,             FIND(",", K1602) - 1), "-")</f>
        <v/>
      </c>
      <c r="M1602">
        <f>IFERROR(MID(K1602,             FIND(",", K1602) + 1, LEN(K1602) - FIND(",", K1602)), K1602)</f>
        <v/>
      </c>
      <c r="N1602" t="n">
        <v>3</v>
      </c>
      <c r="P1602" t="inlineStr">
        <is>
          <t>16:00</t>
        </is>
      </c>
      <c r="Q1602" t="inlineStr">
        <is>
          <t>18:00</t>
        </is>
      </c>
    </row>
    <row r="1603">
      <c r="A1603" t="inlineStr">
        <is>
          <t>景山 朋美</t>
        </is>
      </c>
      <c r="B1603" t="inlineStr">
        <is>
          <t>SMMs001:島村楽器サポート</t>
        </is>
      </c>
      <c r="D1603">
        <f>L1603</f>
        <v/>
      </c>
      <c r="E1603">
        <f>SUMIFS(J:J, G:G,             A1603, H:H, B1603, L:L, L1603)</f>
        <v/>
      </c>
      <c r="F1603" t="inlineStr">
        <is>
          <t>37</t>
        </is>
      </c>
      <c r="G1603" t="inlineStr">
        <is>
          <t>景山 朋美</t>
        </is>
      </c>
      <c r="H1603" t="inlineStr">
        <is>
          <t>SMMs001:島村楽器サポート</t>
        </is>
      </c>
      <c r="I1603" s="1" t="n">
        <v>45937</v>
      </c>
      <c r="J1603" t="n">
        <v>2</v>
      </c>
      <c r="K1603" t="inlineStr">
        <is>
          <t>資料作成（内部向け）,CRUD図の更新</t>
        </is>
      </c>
      <c r="L1603">
        <f>IFERROR(LEFT(K1603,             FIND(",", K1603) - 1), "-")</f>
        <v/>
      </c>
      <c r="M1603">
        <f>IFERROR(MID(K1603,             FIND(",", K1603) + 1, LEN(K1603) - FIND(",", K1603)), K1603)</f>
        <v/>
      </c>
      <c r="N1603" t="n">
        <v>3</v>
      </c>
      <c r="P1603" t="inlineStr">
        <is>
          <t>13:00</t>
        </is>
      </c>
      <c r="Q1603" t="inlineStr">
        <is>
          <t>15:00</t>
        </is>
      </c>
    </row>
    <row r="1604">
      <c r="A1604" t="inlineStr">
        <is>
          <t>景山 朋美</t>
        </is>
      </c>
      <c r="B1604" t="inlineStr">
        <is>
          <t>SMMs001:島村楽器サポート</t>
        </is>
      </c>
      <c r="D1604">
        <f>L1604</f>
        <v/>
      </c>
      <c r="E1604">
        <f>SUMIFS(J:J, G:G,             A1604, H:H, B1604, L:L, L1604)</f>
        <v/>
      </c>
      <c r="F1604" t="inlineStr">
        <is>
          <t>37</t>
        </is>
      </c>
      <c r="G1604" t="inlineStr">
        <is>
          <t>景山 朋美</t>
        </is>
      </c>
      <c r="H1604" t="inlineStr">
        <is>
          <t>SMMs001:島村楽器サポート</t>
        </is>
      </c>
      <c r="I1604" s="1" t="n">
        <v>45932</v>
      </c>
      <c r="J1604" t="n">
        <v>1</v>
      </c>
      <c r="K1604" t="inlineStr">
        <is>
          <t>進捗管理,(島村)状況報告</t>
        </is>
      </c>
      <c r="L1604">
        <f>IFERROR(LEFT(K1604,             FIND(",", K1604) - 1), "-")</f>
        <v/>
      </c>
      <c r="M1604">
        <f>IFERROR(MID(K1604,             FIND(",", K1604) + 1, LEN(K1604) - FIND(",", K1604)), K1604)</f>
        <v/>
      </c>
      <c r="N1604" t="n">
        <v>3</v>
      </c>
      <c r="P1604" t="inlineStr">
        <is>
          <t>10:00</t>
        </is>
      </c>
      <c r="Q1604" t="inlineStr">
        <is>
          <t>11:00</t>
        </is>
      </c>
    </row>
    <row r="1605">
      <c r="A1605" t="inlineStr">
        <is>
          <t>景山 朋美</t>
        </is>
      </c>
      <c r="B1605" t="inlineStr">
        <is>
          <t>SMMs001:島村楽器サポート</t>
        </is>
      </c>
      <c r="D1605">
        <f>L1605</f>
        <v/>
      </c>
      <c r="E1605">
        <f>SUMIFS(J:J, G:G,             A1605, H:H, B1605, L:L, L1605)</f>
        <v/>
      </c>
      <c r="F1605" t="inlineStr">
        <is>
          <t>37</t>
        </is>
      </c>
      <c r="G1605" t="inlineStr">
        <is>
          <t>景山 朋美</t>
        </is>
      </c>
      <c r="H1605" t="inlineStr">
        <is>
          <t>SMMs001:島村楽器サポート</t>
        </is>
      </c>
      <c r="I1605" s="1" t="n">
        <v>45939</v>
      </c>
      <c r="J1605" t="n">
        <v>0.5</v>
      </c>
      <c r="K1605" t="inlineStr">
        <is>
          <t>進捗管理,毎週状況確認</t>
        </is>
      </c>
      <c r="L1605">
        <f>IFERROR(LEFT(K1605,             FIND(",", K1605) - 1), "-")</f>
        <v/>
      </c>
      <c r="M1605">
        <f>IFERROR(MID(K1605,             FIND(",", K1605) + 1, LEN(K1605) - FIND(",", K1605)), K1605)</f>
        <v/>
      </c>
      <c r="N1605" t="n">
        <v>3</v>
      </c>
      <c r="P1605" t="inlineStr">
        <is>
          <t>10:30</t>
        </is>
      </c>
      <c r="Q1605" t="inlineStr">
        <is>
          <t>11:00</t>
        </is>
      </c>
    </row>
    <row r="1606">
      <c r="A1606" t="inlineStr">
        <is>
          <t>景山 朋美</t>
        </is>
      </c>
      <c r="B1606" t="inlineStr">
        <is>
          <t>TCNZ001:社内業務等</t>
        </is>
      </c>
      <c r="C1606">
        <f>SUMIFS(J:J, G:G,             A1606, H:H, B1606)</f>
        <v/>
      </c>
      <c r="D1606">
        <f>L1606</f>
        <v/>
      </c>
      <c r="E1606">
        <f>SUMIFS(J:J, G:G,             A1606, H:H, B1606, L:L, L1606)</f>
        <v/>
      </c>
      <c r="F1606" t="inlineStr">
        <is>
          <t>37</t>
        </is>
      </c>
      <c r="G1606" t="inlineStr">
        <is>
          <t>景山 朋美</t>
        </is>
      </c>
      <c r="H1606" t="inlineStr">
        <is>
          <t>TCNZ001:社内業務等</t>
        </is>
      </c>
      <c r="I1606" s="1" t="n">
        <v>45931</v>
      </c>
      <c r="J1606" t="n">
        <v>2</v>
      </c>
      <c r="K1606" t="inlineStr">
        <is>
          <t>AI勉強会</t>
        </is>
      </c>
      <c r="L1606">
        <f>IFERROR(LEFT(K1606,             FIND(",", K1606) - 1), "-")</f>
        <v/>
      </c>
      <c r="M1606">
        <f>IFERROR(MID(K1606,             FIND(",", K1606) + 1, LEN(K1606) - FIND(",", K1606)), K1606)</f>
        <v/>
      </c>
      <c r="N1606" t="n">
        <v>5</v>
      </c>
      <c r="P1606" t="inlineStr">
        <is>
          <t>16:00</t>
        </is>
      </c>
      <c r="Q1606" t="inlineStr">
        <is>
          <t>18:00</t>
        </is>
      </c>
    </row>
    <row r="1607">
      <c r="A1607" t="inlineStr">
        <is>
          <t>景山 朋美</t>
        </is>
      </c>
      <c r="B1607" t="inlineStr">
        <is>
          <t>TCNZ001:社内業務等</t>
        </is>
      </c>
      <c r="D1607">
        <f>L1607</f>
        <v/>
      </c>
      <c r="E1607">
        <f>SUMIFS(J:J, G:G,             A1607, H:H, B1607, L:L, L1607)</f>
        <v/>
      </c>
      <c r="F1607" t="inlineStr">
        <is>
          <t>37</t>
        </is>
      </c>
      <c r="G1607" t="inlineStr">
        <is>
          <t>景山 朋美</t>
        </is>
      </c>
      <c r="H1607" t="inlineStr">
        <is>
          <t>TCNZ001:社内業務等</t>
        </is>
      </c>
      <c r="I1607" s="1" t="n">
        <v>45933</v>
      </c>
      <c r="J1607" t="n">
        <v>1</v>
      </c>
      <c r="K1607" t="inlineStr">
        <is>
          <t>AI勉強会_1回目</t>
        </is>
      </c>
      <c r="L1607">
        <f>IFERROR(LEFT(K1607,             FIND(",", K1607) - 1), "-")</f>
        <v/>
      </c>
      <c r="M1607">
        <f>IFERROR(MID(K1607,             FIND(",", K1607) + 1, LEN(K1607) - FIND(",", K1607)), K1607)</f>
        <v/>
      </c>
      <c r="N1607" t="n">
        <v>5</v>
      </c>
      <c r="P1607" t="inlineStr">
        <is>
          <t>15:00</t>
        </is>
      </c>
      <c r="Q1607" t="inlineStr">
        <is>
          <t>16:00</t>
        </is>
      </c>
    </row>
    <row r="1608">
      <c r="A1608" t="inlineStr">
        <is>
          <t>景山 朋美</t>
        </is>
      </c>
      <c r="B1608" t="inlineStr">
        <is>
          <t>TCNZ001:社内業務等</t>
        </is>
      </c>
      <c r="D1608">
        <f>L1608</f>
        <v/>
      </c>
      <c r="E1608">
        <f>SUMIFS(J:J, G:G,             A1608, H:H, B1608, L:L, L1608)</f>
        <v/>
      </c>
      <c r="F1608" t="inlineStr">
        <is>
          <t>37</t>
        </is>
      </c>
      <c r="G1608" t="inlineStr">
        <is>
          <t>景山 朋美</t>
        </is>
      </c>
      <c r="H1608" t="inlineStr">
        <is>
          <t>TCNZ001:社内業務等</t>
        </is>
      </c>
      <c r="I1608" s="1" t="n">
        <v>45936</v>
      </c>
      <c r="J1608" t="n">
        <v>1</v>
      </c>
      <c r="K1608" t="inlineStr">
        <is>
          <t>AI勉強会_内容整理</t>
        </is>
      </c>
      <c r="L1608">
        <f>IFERROR(LEFT(K1608,             FIND(",", K1608) - 1), "-")</f>
        <v/>
      </c>
      <c r="M1608">
        <f>IFERROR(MID(K1608,             FIND(",", K1608) + 1, LEN(K1608) - FIND(",", K1608)), K1608)</f>
        <v/>
      </c>
      <c r="N1608" t="n">
        <v>5</v>
      </c>
      <c r="P1608" t="inlineStr">
        <is>
          <t>16:00</t>
        </is>
      </c>
      <c r="Q1608" t="inlineStr">
        <is>
          <t>17:00</t>
        </is>
      </c>
    </row>
    <row r="1609">
      <c r="A1609" t="inlineStr">
        <is>
          <t>景山 朋美</t>
        </is>
      </c>
      <c r="B1609" t="inlineStr">
        <is>
          <t>TCNZ001:社内業務等</t>
        </is>
      </c>
      <c r="D1609">
        <f>L1609</f>
        <v/>
      </c>
      <c r="E1609">
        <f>SUMIFS(J:J, G:G,             A1609, H:H, B1609, L:L, L1609)</f>
        <v/>
      </c>
      <c r="F1609" t="inlineStr">
        <is>
          <t>37</t>
        </is>
      </c>
      <c r="G1609" t="inlineStr">
        <is>
          <t>景山 朋美</t>
        </is>
      </c>
      <c r="H1609" t="inlineStr">
        <is>
          <t>TCNZ001:社内業務等</t>
        </is>
      </c>
      <c r="I1609" s="1" t="n">
        <v>45933</v>
      </c>
      <c r="J1609" t="n">
        <v>2</v>
      </c>
      <c r="K1609" t="inlineStr">
        <is>
          <t>AI勉強会の後処理</t>
        </is>
      </c>
      <c r="L1609">
        <f>IFERROR(LEFT(K1609,             FIND(",", K1609) - 1), "-")</f>
        <v/>
      </c>
      <c r="M1609">
        <f>IFERROR(MID(K1609,             FIND(",", K1609) + 1, LEN(K1609) - FIND(",", K1609)), K1609)</f>
        <v/>
      </c>
      <c r="N1609" t="n">
        <v>5</v>
      </c>
      <c r="P1609" t="inlineStr">
        <is>
          <t>16:00</t>
        </is>
      </c>
      <c r="Q1609" t="inlineStr">
        <is>
          <t>18:00</t>
        </is>
      </c>
    </row>
    <row r="1610">
      <c r="A1610" t="inlineStr">
        <is>
          <t>景山 朋美</t>
        </is>
      </c>
      <c r="B1610" t="inlineStr">
        <is>
          <t>TCNZ001:社内業務等</t>
        </is>
      </c>
      <c r="D1610">
        <f>L1610</f>
        <v/>
      </c>
      <c r="E1610">
        <f>SUMIFS(J:J, G:G,             A1610, H:H, B1610, L:L, L1610)</f>
        <v/>
      </c>
      <c r="F1610" t="inlineStr">
        <is>
          <t>37</t>
        </is>
      </c>
      <c r="G1610" t="inlineStr">
        <is>
          <t>景山 朋美</t>
        </is>
      </c>
      <c r="H1610" t="inlineStr">
        <is>
          <t>TCNZ001:社内業務等</t>
        </is>
      </c>
      <c r="I1610" s="1" t="n">
        <v>45932</v>
      </c>
      <c r="J1610" t="n">
        <v>2</v>
      </c>
      <c r="K1610" t="inlineStr">
        <is>
          <t>AI勉強会の準備</t>
        </is>
      </c>
      <c r="L1610">
        <f>IFERROR(LEFT(K1610,             FIND(",", K1610) - 1), "-")</f>
        <v/>
      </c>
      <c r="M1610">
        <f>IFERROR(MID(K1610,             FIND(",", K1610) + 1, LEN(K1610) - FIND(",", K1610)), K1610)</f>
        <v/>
      </c>
      <c r="N1610" t="n">
        <v>5</v>
      </c>
      <c r="P1610" t="inlineStr">
        <is>
          <t>16:00</t>
        </is>
      </c>
      <c r="Q1610" t="inlineStr">
        <is>
          <t>18:00</t>
        </is>
      </c>
    </row>
    <row r="1611">
      <c r="A1611" t="inlineStr">
        <is>
          <t>景山 朋美</t>
        </is>
      </c>
      <c r="B1611" t="inlineStr">
        <is>
          <t>TCNZ001:社内業務等</t>
        </is>
      </c>
      <c r="D1611">
        <f>L1611</f>
        <v/>
      </c>
      <c r="E1611">
        <f>SUMIFS(J:J, G:G,             A1611, H:H, B1611, L:L, L1611)</f>
        <v/>
      </c>
      <c r="F1611" t="inlineStr">
        <is>
          <t>37</t>
        </is>
      </c>
      <c r="G1611" t="inlineStr">
        <is>
          <t>景山 朋美</t>
        </is>
      </c>
      <c r="H1611" t="inlineStr">
        <is>
          <t>TCNZ001:社内業務等</t>
        </is>
      </c>
      <c r="I1611" s="1" t="n">
        <v>45950</v>
      </c>
      <c r="J1611" t="n">
        <v>1.5</v>
      </c>
      <c r="K1611" t="inlineStr">
        <is>
          <t>AI活用パターンの検討</t>
        </is>
      </c>
      <c r="L1611">
        <f>IFERROR(LEFT(K1611,             FIND(",", K1611) - 1), "-")</f>
        <v/>
      </c>
      <c r="M1611">
        <f>IFERROR(MID(K1611,             FIND(",", K1611) + 1, LEN(K1611) - FIND(",", K1611)), K1611)</f>
        <v/>
      </c>
      <c r="N1611" t="n">
        <v>5</v>
      </c>
      <c r="P1611" t="inlineStr">
        <is>
          <t>16:30</t>
        </is>
      </c>
      <c r="Q1611" t="inlineStr">
        <is>
          <t>18:00</t>
        </is>
      </c>
    </row>
    <row r="1612">
      <c r="A1612" t="inlineStr">
        <is>
          <t>景山 朋美</t>
        </is>
      </c>
      <c r="B1612" t="inlineStr">
        <is>
          <t>TCNZ001:社内業務等</t>
        </is>
      </c>
      <c r="D1612">
        <f>L1612</f>
        <v/>
      </c>
      <c r="E1612">
        <f>SUMIFS(J:J, G:G,             A1612, H:H, B1612, L:L, L1612)</f>
        <v/>
      </c>
      <c r="F1612" t="inlineStr">
        <is>
          <t>37</t>
        </is>
      </c>
      <c r="G1612" t="inlineStr">
        <is>
          <t>景山 朋美</t>
        </is>
      </c>
      <c r="H1612" t="inlineStr">
        <is>
          <t>TCNZ001:社内業務等</t>
        </is>
      </c>
      <c r="I1612" s="1" t="n">
        <v>45937</v>
      </c>
      <c r="J1612" t="n">
        <v>2.5</v>
      </c>
      <c r="K1612" t="inlineStr">
        <is>
          <t>AI活用方法_検討</t>
        </is>
      </c>
      <c r="L1612">
        <f>IFERROR(LEFT(K1612,             FIND(",", K1612) - 1), "-")</f>
        <v/>
      </c>
      <c r="M1612">
        <f>IFERROR(MID(K1612,             FIND(",", K1612) + 1, LEN(K1612) - FIND(",", K1612)), K1612)</f>
        <v/>
      </c>
      <c r="N1612" t="n">
        <v>5</v>
      </c>
      <c r="P1612" t="inlineStr">
        <is>
          <t>09:30</t>
        </is>
      </c>
      <c r="Q1612" t="inlineStr">
        <is>
          <t>12:00</t>
        </is>
      </c>
    </row>
    <row r="1613">
      <c r="A1613" t="inlineStr">
        <is>
          <t>景山 朋美</t>
        </is>
      </c>
      <c r="B1613" t="inlineStr">
        <is>
          <t>TCNZ001:社内業務等</t>
        </is>
      </c>
      <c r="D1613">
        <f>L1613</f>
        <v/>
      </c>
      <c r="E1613">
        <f>SUMIFS(J:J, G:G,             A1613, H:H, B1613, L:L, L1613)</f>
        <v/>
      </c>
      <c r="F1613" t="inlineStr">
        <is>
          <t>37</t>
        </is>
      </c>
      <c r="G1613" t="inlineStr">
        <is>
          <t>景山 朋美</t>
        </is>
      </c>
      <c r="H1613" t="inlineStr">
        <is>
          <t>TCNZ001:社内業務等</t>
        </is>
      </c>
      <c r="I1613" s="1" t="n">
        <v>45947</v>
      </c>
      <c r="J1613" t="n">
        <v>2</v>
      </c>
      <c r="K1613" t="inlineStr">
        <is>
          <t>サポートMTG内容理解</t>
        </is>
      </c>
      <c r="L1613">
        <f>IFERROR(LEFT(K1613,             FIND(",", K1613) - 1), "-")</f>
        <v/>
      </c>
      <c r="M1613">
        <f>IFERROR(MID(K1613,             FIND(",", K1613) + 1, LEN(K1613) - FIND(",", K1613)), K1613)</f>
        <v/>
      </c>
      <c r="N1613" t="n">
        <v>5</v>
      </c>
      <c r="P1613" t="inlineStr">
        <is>
          <t>16:00</t>
        </is>
      </c>
      <c r="Q1613" t="inlineStr">
        <is>
          <t>18:00</t>
        </is>
      </c>
    </row>
    <row r="1614">
      <c r="A1614" t="inlineStr">
        <is>
          <t>景山 朋美</t>
        </is>
      </c>
      <c r="B1614" t="inlineStr">
        <is>
          <t>TCNZ001:社内業務等</t>
        </is>
      </c>
      <c r="D1614">
        <f>L1614</f>
        <v/>
      </c>
      <c r="E1614">
        <f>SUMIFS(J:J, G:G,             A1614, H:H, B1614, L:L, L1614)</f>
        <v/>
      </c>
      <c r="F1614" t="inlineStr">
        <is>
          <t>37</t>
        </is>
      </c>
      <c r="G1614" t="inlineStr">
        <is>
          <t>景山 朋美</t>
        </is>
      </c>
      <c r="H1614" t="inlineStr">
        <is>
          <t>TCNZ001:社内業務等</t>
        </is>
      </c>
      <c r="I1614" s="1" t="n">
        <v>45947</v>
      </c>
      <c r="J1614" t="n">
        <v>1</v>
      </c>
      <c r="K1614" t="inlineStr">
        <is>
          <t>サポート全体MTG</t>
        </is>
      </c>
      <c r="L1614">
        <f>IFERROR(LEFT(K1614,             FIND(",", K1614) - 1), "-")</f>
        <v/>
      </c>
      <c r="M1614">
        <f>IFERROR(MID(K1614,             FIND(",", K1614) + 1, LEN(K1614) - FIND(",", K1614)), K1614)</f>
        <v/>
      </c>
      <c r="N1614" t="n">
        <v>5</v>
      </c>
      <c r="P1614" t="inlineStr">
        <is>
          <t>15:00</t>
        </is>
      </c>
      <c r="Q1614" t="inlineStr">
        <is>
          <t>16:00</t>
        </is>
      </c>
    </row>
    <row r="1615">
      <c r="A1615" t="inlineStr">
        <is>
          <t>景山 朋美</t>
        </is>
      </c>
      <c r="B1615" t="inlineStr">
        <is>
          <t>TCNZ001:社内業務等</t>
        </is>
      </c>
      <c r="D1615">
        <f>L1615</f>
        <v/>
      </c>
      <c r="E1615">
        <f>SUMIFS(J:J, G:G,             A1615, H:H, B1615, L:L, L1615)</f>
        <v/>
      </c>
      <c r="F1615" t="inlineStr">
        <is>
          <t>37</t>
        </is>
      </c>
      <c r="G1615" t="inlineStr">
        <is>
          <t>景山 朋美</t>
        </is>
      </c>
      <c r="H1615" t="inlineStr">
        <is>
          <t>TCNZ001:社内業務等</t>
        </is>
      </c>
      <c r="I1615" s="1" t="n">
        <v>45931</v>
      </c>
      <c r="J1615" t="n">
        <v>0.5</v>
      </c>
      <c r="K1615" t="inlineStr">
        <is>
          <t>各種雑務</t>
        </is>
      </c>
      <c r="L1615">
        <f>IFERROR(LEFT(K1615,             FIND(",", K1615) - 1), "-")</f>
        <v/>
      </c>
      <c r="M1615">
        <f>IFERROR(MID(K1615,             FIND(",", K1615) + 1, LEN(K1615) - FIND(",", K1615)), K1615)</f>
        <v/>
      </c>
      <c r="N1615" t="n">
        <v>5</v>
      </c>
      <c r="P1615" t="inlineStr">
        <is>
          <t>09:00</t>
        </is>
      </c>
      <c r="Q1615" t="inlineStr">
        <is>
          <t>09:30</t>
        </is>
      </c>
    </row>
    <row r="1616">
      <c r="A1616" t="inlineStr">
        <is>
          <t>景山 朋美</t>
        </is>
      </c>
      <c r="B1616" t="inlineStr">
        <is>
          <t>TCNZ001:社内業務等</t>
        </is>
      </c>
      <c r="D1616">
        <f>L1616</f>
        <v/>
      </c>
      <c r="E1616">
        <f>SUMIFS(J:J, G:G,             A1616, H:H, B1616, L:L, L1616)</f>
        <v/>
      </c>
      <c r="F1616" t="inlineStr">
        <is>
          <t>37</t>
        </is>
      </c>
      <c r="G1616" t="inlineStr">
        <is>
          <t>景山 朋美</t>
        </is>
      </c>
      <c r="H1616" t="inlineStr">
        <is>
          <t>TCNZ001:社内業務等</t>
        </is>
      </c>
      <c r="I1616" s="1" t="n">
        <v>45932</v>
      </c>
      <c r="J1616" t="n">
        <v>0.5</v>
      </c>
      <c r="K1616" t="inlineStr">
        <is>
          <t>各種雑務</t>
        </is>
      </c>
      <c r="L1616">
        <f>IFERROR(LEFT(K1616,             FIND(",", K1616) - 1), "-")</f>
        <v/>
      </c>
      <c r="M1616">
        <f>IFERROR(MID(K1616,             FIND(",", K1616) + 1, LEN(K1616) - FIND(",", K1616)), K1616)</f>
        <v/>
      </c>
      <c r="N1616" t="n">
        <v>5</v>
      </c>
      <c r="P1616" t="inlineStr">
        <is>
          <t>09:00</t>
        </is>
      </c>
      <c r="Q1616" t="inlineStr">
        <is>
          <t>09:30</t>
        </is>
      </c>
    </row>
    <row r="1617">
      <c r="A1617" t="inlineStr">
        <is>
          <t>景山 朋美</t>
        </is>
      </c>
      <c r="B1617" t="inlineStr">
        <is>
          <t>TCNZ001:社内業務等</t>
        </is>
      </c>
      <c r="D1617">
        <f>L1617</f>
        <v/>
      </c>
      <c r="E1617">
        <f>SUMIFS(J:J, G:G,             A1617, H:H, B1617, L:L, L1617)</f>
        <v/>
      </c>
      <c r="F1617" t="inlineStr">
        <is>
          <t>37</t>
        </is>
      </c>
      <c r="G1617" t="inlineStr">
        <is>
          <t>景山 朋美</t>
        </is>
      </c>
      <c r="H1617" t="inlineStr">
        <is>
          <t>TCNZ001:社内業務等</t>
        </is>
      </c>
      <c r="I1617" s="1" t="n">
        <v>45933</v>
      </c>
      <c r="J1617" t="n">
        <v>0.5</v>
      </c>
      <c r="K1617" t="inlineStr">
        <is>
          <t>各種雑務</t>
        </is>
      </c>
      <c r="L1617">
        <f>IFERROR(LEFT(K1617,             FIND(",", K1617) - 1), "-")</f>
        <v/>
      </c>
      <c r="M1617">
        <f>IFERROR(MID(K1617,             FIND(",", K1617) + 1, LEN(K1617) - FIND(",", K1617)), K1617)</f>
        <v/>
      </c>
      <c r="N1617" t="n">
        <v>5</v>
      </c>
      <c r="P1617" t="inlineStr">
        <is>
          <t>09:00</t>
        </is>
      </c>
      <c r="Q1617" t="inlineStr">
        <is>
          <t>09:30</t>
        </is>
      </c>
    </row>
    <row r="1618">
      <c r="A1618" t="inlineStr">
        <is>
          <t>景山 朋美</t>
        </is>
      </c>
      <c r="B1618" t="inlineStr">
        <is>
          <t>TCNZ001:社内業務等</t>
        </is>
      </c>
      <c r="D1618">
        <f>L1618</f>
        <v/>
      </c>
      <c r="E1618">
        <f>SUMIFS(J:J, G:G,             A1618, H:H, B1618, L:L, L1618)</f>
        <v/>
      </c>
      <c r="F1618" t="inlineStr">
        <is>
          <t>37</t>
        </is>
      </c>
      <c r="G1618" t="inlineStr">
        <is>
          <t>景山 朋美</t>
        </is>
      </c>
      <c r="H1618" t="inlineStr">
        <is>
          <t>TCNZ001:社内業務等</t>
        </is>
      </c>
      <c r="I1618" s="1" t="n">
        <v>45936</v>
      </c>
      <c r="J1618" t="n">
        <v>0.5</v>
      </c>
      <c r="K1618" t="inlineStr">
        <is>
          <t>各種雑務</t>
        </is>
      </c>
      <c r="L1618">
        <f>IFERROR(LEFT(K1618,             FIND(",", K1618) - 1), "-")</f>
        <v/>
      </c>
      <c r="M1618">
        <f>IFERROR(MID(K1618,             FIND(",", K1618) + 1, LEN(K1618) - FIND(",", K1618)), K1618)</f>
        <v/>
      </c>
      <c r="N1618" t="n">
        <v>5</v>
      </c>
      <c r="P1618" t="inlineStr">
        <is>
          <t>09:00</t>
        </is>
      </c>
      <c r="Q1618" t="inlineStr">
        <is>
          <t>09:30</t>
        </is>
      </c>
    </row>
    <row r="1619">
      <c r="A1619" t="inlineStr">
        <is>
          <t>景山 朋美</t>
        </is>
      </c>
      <c r="B1619" t="inlineStr">
        <is>
          <t>TCNZ001:社内業務等</t>
        </is>
      </c>
      <c r="D1619">
        <f>L1619</f>
        <v/>
      </c>
      <c r="E1619">
        <f>SUMIFS(J:J, G:G,             A1619, H:H, B1619, L:L, L1619)</f>
        <v/>
      </c>
      <c r="F1619" t="inlineStr">
        <is>
          <t>37</t>
        </is>
      </c>
      <c r="G1619" t="inlineStr">
        <is>
          <t>景山 朋美</t>
        </is>
      </c>
      <c r="H1619" t="inlineStr">
        <is>
          <t>TCNZ001:社内業務等</t>
        </is>
      </c>
      <c r="I1619" s="1" t="n">
        <v>45937</v>
      </c>
      <c r="J1619" t="n">
        <v>0.5</v>
      </c>
      <c r="K1619" t="inlineStr">
        <is>
          <t>各種雑務</t>
        </is>
      </c>
      <c r="L1619">
        <f>IFERROR(LEFT(K1619,             FIND(",", K1619) - 1), "-")</f>
        <v/>
      </c>
      <c r="M1619">
        <f>IFERROR(MID(K1619,             FIND(",", K1619) + 1, LEN(K1619) - FIND(",", K1619)), K1619)</f>
        <v/>
      </c>
      <c r="N1619" t="n">
        <v>5</v>
      </c>
      <c r="P1619" t="inlineStr">
        <is>
          <t>09:00</t>
        </is>
      </c>
      <c r="Q1619" t="inlineStr">
        <is>
          <t>09:30</t>
        </is>
      </c>
    </row>
    <row r="1620">
      <c r="A1620" t="inlineStr">
        <is>
          <t>景山 朋美</t>
        </is>
      </c>
      <c r="B1620" t="inlineStr">
        <is>
          <t>TCNZ001:社内業務等</t>
        </is>
      </c>
      <c r="D1620">
        <f>L1620</f>
        <v/>
      </c>
      <c r="E1620">
        <f>SUMIFS(J:J, G:G,             A1620, H:H, B1620, L:L, L1620)</f>
        <v/>
      </c>
      <c r="F1620" t="inlineStr">
        <is>
          <t>37</t>
        </is>
      </c>
      <c r="G1620" t="inlineStr">
        <is>
          <t>景山 朋美</t>
        </is>
      </c>
      <c r="H1620" t="inlineStr">
        <is>
          <t>TCNZ001:社内業務等</t>
        </is>
      </c>
      <c r="I1620" s="1" t="n">
        <v>45938</v>
      </c>
      <c r="J1620" t="n">
        <v>0.5</v>
      </c>
      <c r="K1620" t="inlineStr">
        <is>
          <t>各種雑務</t>
        </is>
      </c>
      <c r="L1620">
        <f>IFERROR(LEFT(K1620,             FIND(",", K1620) - 1), "-")</f>
        <v/>
      </c>
      <c r="M1620">
        <f>IFERROR(MID(K1620,             FIND(",", K1620) + 1, LEN(K1620) - FIND(",", K1620)), K1620)</f>
        <v/>
      </c>
      <c r="N1620" t="n">
        <v>5</v>
      </c>
      <c r="P1620" t="inlineStr">
        <is>
          <t>09:00</t>
        </is>
      </c>
      <c r="Q1620" t="inlineStr">
        <is>
          <t>09:30</t>
        </is>
      </c>
    </row>
    <row r="1621">
      <c r="A1621" t="inlineStr">
        <is>
          <t>景山 朋美</t>
        </is>
      </c>
      <c r="B1621" t="inlineStr">
        <is>
          <t>TCNZ001:社内業務等</t>
        </is>
      </c>
      <c r="D1621">
        <f>L1621</f>
        <v/>
      </c>
      <c r="E1621">
        <f>SUMIFS(J:J, G:G,             A1621, H:H, B1621, L:L, L1621)</f>
        <v/>
      </c>
      <c r="F1621" t="inlineStr">
        <is>
          <t>37</t>
        </is>
      </c>
      <c r="G1621" t="inlineStr">
        <is>
          <t>景山 朋美</t>
        </is>
      </c>
      <c r="H1621" t="inlineStr">
        <is>
          <t>TCNZ001:社内業務等</t>
        </is>
      </c>
      <c r="I1621" s="1" t="n">
        <v>45939</v>
      </c>
      <c r="J1621" t="n">
        <v>0.5</v>
      </c>
      <c r="K1621" t="inlineStr">
        <is>
          <t>各種雑務</t>
        </is>
      </c>
      <c r="L1621">
        <f>IFERROR(LEFT(K1621,             FIND(",", K1621) - 1), "-")</f>
        <v/>
      </c>
      <c r="M1621">
        <f>IFERROR(MID(K1621,             FIND(",", K1621) + 1, LEN(K1621) - FIND(",", K1621)), K1621)</f>
        <v/>
      </c>
      <c r="N1621" t="n">
        <v>5</v>
      </c>
      <c r="P1621" t="inlineStr">
        <is>
          <t>09:00</t>
        </is>
      </c>
      <c r="Q1621" t="inlineStr">
        <is>
          <t>09:30</t>
        </is>
      </c>
    </row>
    <row r="1622">
      <c r="A1622" t="inlineStr">
        <is>
          <t>景山 朋美</t>
        </is>
      </c>
      <c r="B1622" t="inlineStr">
        <is>
          <t>TCNZ001:社内業務等</t>
        </is>
      </c>
      <c r="D1622">
        <f>L1622</f>
        <v/>
      </c>
      <c r="E1622">
        <f>SUMIFS(J:J, G:G,             A1622, H:H, B1622, L:L, L1622)</f>
        <v/>
      </c>
      <c r="F1622" t="inlineStr">
        <is>
          <t>37</t>
        </is>
      </c>
      <c r="G1622" t="inlineStr">
        <is>
          <t>景山 朋美</t>
        </is>
      </c>
      <c r="H1622" t="inlineStr">
        <is>
          <t>TCNZ001:社内業務等</t>
        </is>
      </c>
      <c r="I1622" s="1" t="n">
        <v>45944</v>
      </c>
      <c r="J1622" t="n">
        <v>0.5</v>
      </c>
      <c r="K1622" t="inlineStr">
        <is>
          <t>各種雑務</t>
        </is>
      </c>
      <c r="L1622">
        <f>IFERROR(LEFT(K1622,             FIND(",", K1622) - 1), "-")</f>
        <v/>
      </c>
      <c r="M1622">
        <f>IFERROR(MID(K1622,             FIND(",", K1622) + 1, LEN(K1622) - FIND(",", K1622)), K1622)</f>
        <v/>
      </c>
      <c r="N1622" t="n">
        <v>5</v>
      </c>
      <c r="P1622" t="inlineStr">
        <is>
          <t>09:00</t>
        </is>
      </c>
      <c r="Q1622" t="inlineStr">
        <is>
          <t>09:30</t>
        </is>
      </c>
    </row>
    <row r="1623">
      <c r="A1623" t="inlineStr">
        <is>
          <t>景山 朋美</t>
        </is>
      </c>
      <c r="B1623" t="inlineStr">
        <is>
          <t>TCNZ001:社内業務等</t>
        </is>
      </c>
      <c r="D1623">
        <f>L1623</f>
        <v/>
      </c>
      <c r="E1623">
        <f>SUMIFS(J:J, G:G,             A1623, H:H, B1623, L:L, L1623)</f>
        <v/>
      </c>
      <c r="F1623" t="inlineStr">
        <is>
          <t>37</t>
        </is>
      </c>
      <c r="G1623" t="inlineStr">
        <is>
          <t>景山 朋美</t>
        </is>
      </c>
      <c r="H1623" t="inlineStr">
        <is>
          <t>TCNZ001:社内業務等</t>
        </is>
      </c>
      <c r="I1623" s="1" t="n">
        <v>45945</v>
      </c>
      <c r="J1623" t="n">
        <v>0.5</v>
      </c>
      <c r="K1623" t="inlineStr">
        <is>
          <t>各種雑務</t>
        </is>
      </c>
      <c r="L1623">
        <f>IFERROR(LEFT(K1623,             FIND(",", K1623) - 1), "-")</f>
        <v/>
      </c>
      <c r="M1623">
        <f>IFERROR(MID(K1623,             FIND(",", K1623) + 1, LEN(K1623) - FIND(",", K1623)), K1623)</f>
        <v/>
      </c>
      <c r="N1623" t="n">
        <v>5</v>
      </c>
      <c r="P1623" t="inlineStr">
        <is>
          <t>09:00</t>
        </is>
      </c>
      <c r="Q1623" t="inlineStr">
        <is>
          <t>09:30</t>
        </is>
      </c>
    </row>
    <row r="1624">
      <c r="A1624" t="inlineStr">
        <is>
          <t>景山 朋美</t>
        </is>
      </c>
      <c r="B1624" t="inlineStr">
        <is>
          <t>TCNZ001:社内業務等</t>
        </is>
      </c>
      <c r="D1624">
        <f>L1624</f>
        <v/>
      </c>
      <c r="E1624">
        <f>SUMIFS(J:J, G:G,             A1624, H:H, B1624, L:L, L1624)</f>
        <v/>
      </c>
      <c r="F1624" t="inlineStr">
        <is>
          <t>37</t>
        </is>
      </c>
      <c r="G1624" t="inlineStr">
        <is>
          <t>景山 朋美</t>
        </is>
      </c>
      <c r="H1624" t="inlineStr">
        <is>
          <t>TCNZ001:社内業務等</t>
        </is>
      </c>
      <c r="I1624" s="1" t="n">
        <v>45946</v>
      </c>
      <c r="J1624" t="n">
        <v>1</v>
      </c>
      <c r="K1624" t="inlineStr">
        <is>
          <t>各種雑務</t>
        </is>
      </c>
      <c r="L1624">
        <f>IFERROR(LEFT(K1624,             FIND(",", K1624) - 1), "-")</f>
        <v/>
      </c>
      <c r="M1624">
        <f>IFERROR(MID(K1624,             FIND(",", K1624) + 1, LEN(K1624) - FIND(",", K1624)), K1624)</f>
        <v/>
      </c>
      <c r="N1624" t="n">
        <v>5</v>
      </c>
      <c r="P1624" t="inlineStr">
        <is>
          <t>09:00</t>
        </is>
      </c>
      <c r="Q1624" t="inlineStr">
        <is>
          <t>10:00</t>
        </is>
      </c>
    </row>
    <row r="1625">
      <c r="A1625" t="inlineStr">
        <is>
          <t>景山 朋美</t>
        </is>
      </c>
      <c r="B1625" t="inlineStr">
        <is>
          <t>TCNZ001:社内業務等</t>
        </is>
      </c>
      <c r="D1625">
        <f>L1625</f>
        <v/>
      </c>
      <c r="E1625">
        <f>SUMIFS(J:J, G:G,             A1625, H:H, B1625, L:L, L1625)</f>
        <v/>
      </c>
      <c r="F1625" t="inlineStr">
        <is>
          <t>37</t>
        </is>
      </c>
      <c r="G1625" t="inlineStr">
        <is>
          <t>景山 朋美</t>
        </is>
      </c>
      <c r="H1625" t="inlineStr">
        <is>
          <t>TCNZ001:社内業務等</t>
        </is>
      </c>
      <c r="I1625" s="1" t="n">
        <v>45947</v>
      </c>
      <c r="J1625" t="n">
        <v>0.5</v>
      </c>
      <c r="K1625" t="inlineStr">
        <is>
          <t>各種雑務</t>
        </is>
      </c>
      <c r="L1625">
        <f>IFERROR(LEFT(K1625,             FIND(",", K1625) - 1), "-")</f>
        <v/>
      </c>
      <c r="M1625">
        <f>IFERROR(MID(K1625,             FIND(",", K1625) + 1, LEN(K1625) - FIND(",", K1625)), K1625)</f>
        <v/>
      </c>
      <c r="N1625" t="n">
        <v>5</v>
      </c>
      <c r="P1625" t="inlineStr">
        <is>
          <t>09:00</t>
        </is>
      </c>
      <c r="Q1625" t="inlineStr">
        <is>
          <t>09:30</t>
        </is>
      </c>
    </row>
    <row r="1626">
      <c r="A1626" t="inlineStr">
        <is>
          <t>景山 朋美</t>
        </is>
      </c>
      <c r="B1626" t="inlineStr">
        <is>
          <t>TCNZ001:社内業務等</t>
        </is>
      </c>
      <c r="D1626">
        <f>L1626</f>
        <v/>
      </c>
      <c r="E1626">
        <f>SUMIFS(J:J, G:G,             A1626, H:H, B1626, L:L, L1626)</f>
        <v/>
      </c>
      <c r="F1626" t="inlineStr">
        <is>
          <t>37</t>
        </is>
      </c>
      <c r="G1626" t="inlineStr">
        <is>
          <t>景山 朋美</t>
        </is>
      </c>
      <c r="H1626" t="inlineStr">
        <is>
          <t>TCNZ001:社内業務等</t>
        </is>
      </c>
      <c r="I1626" s="1" t="n">
        <v>45951</v>
      </c>
      <c r="J1626" t="n">
        <v>0.5</v>
      </c>
      <c r="K1626" t="inlineStr">
        <is>
          <t>各種雑務</t>
        </is>
      </c>
      <c r="L1626">
        <f>IFERROR(LEFT(K1626,             FIND(",", K1626) - 1), "-")</f>
        <v/>
      </c>
      <c r="M1626">
        <f>IFERROR(MID(K1626,             FIND(",", K1626) + 1, LEN(K1626) - FIND(",", K1626)), K1626)</f>
        <v/>
      </c>
      <c r="N1626" t="n">
        <v>5</v>
      </c>
      <c r="P1626" t="inlineStr">
        <is>
          <t>09:00</t>
        </is>
      </c>
      <c r="Q1626" t="inlineStr">
        <is>
          <t>09:30</t>
        </is>
      </c>
    </row>
    <row r="1627">
      <c r="A1627" t="inlineStr">
        <is>
          <t>景山 朋美</t>
        </is>
      </c>
      <c r="B1627" t="inlineStr">
        <is>
          <t>TCNz004:新SMS開発</t>
        </is>
      </c>
      <c r="C1627">
        <f>SUMIFS(J:J, G:G,             A1627, H:H, B1627)</f>
        <v/>
      </c>
      <c r="D1627">
        <f>L1627</f>
        <v/>
      </c>
      <c r="E1627">
        <f>SUMIFS(J:J, G:G,             A1627, H:H, B1627, L:L, L1627)</f>
        <v/>
      </c>
      <c r="F1627" t="inlineStr">
        <is>
          <t>37</t>
        </is>
      </c>
      <c r="G1627" t="inlineStr">
        <is>
          <t>景山 朋美</t>
        </is>
      </c>
      <c r="H1627" t="inlineStr">
        <is>
          <t>TCNz004:新SMS開発</t>
        </is>
      </c>
      <c r="I1627" s="1" t="n">
        <v>45933</v>
      </c>
      <c r="J1627" t="n">
        <v>2</v>
      </c>
      <c r="K1627" t="inlineStr">
        <is>
          <t xml:space="preserve"> API設計</t>
        </is>
      </c>
      <c r="L1627">
        <f>IFERROR(LEFT(K1627,             FIND(",", K1627) - 1), "-")</f>
        <v/>
      </c>
      <c r="M1627">
        <f>IFERROR(MID(K1627,             FIND(",", K1627) + 1, LEN(K1627) - FIND(",", K1627)), K1627)</f>
        <v/>
      </c>
      <c r="N1627" t="n">
        <v>5</v>
      </c>
      <c r="P1627" t="inlineStr">
        <is>
          <t>13:00</t>
        </is>
      </c>
      <c r="Q1627" t="inlineStr">
        <is>
          <t>15:00</t>
        </is>
      </c>
    </row>
    <row r="1628">
      <c r="A1628" t="inlineStr">
        <is>
          <t>景山 朋美</t>
        </is>
      </c>
      <c r="B1628" t="inlineStr">
        <is>
          <t>TCNz004:新SMS開発</t>
        </is>
      </c>
      <c r="D1628">
        <f>L1628</f>
        <v/>
      </c>
      <c r="E1628">
        <f>SUMIFS(J:J, G:G,             A1628, H:H, B1628, L:L, L1628)</f>
        <v/>
      </c>
      <c r="F1628" t="inlineStr">
        <is>
          <t>37</t>
        </is>
      </c>
      <c r="G1628" t="inlineStr">
        <is>
          <t>景山 朋美</t>
        </is>
      </c>
      <c r="H1628" t="inlineStr">
        <is>
          <t>TCNz004:新SMS開発</t>
        </is>
      </c>
      <c r="I1628" s="1" t="n">
        <v>45944</v>
      </c>
      <c r="J1628" t="n">
        <v>3</v>
      </c>
      <c r="K1628" t="inlineStr">
        <is>
          <t xml:space="preserve"> Tframe設計_レビュー後対応</t>
        </is>
      </c>
      <c r="L1628">
        <f>IFERROR(LEFT(K1628,             FIND(",", K1628) - 1), "-")</f>
        <v/>
      </c>
      <c r="M1628">
        <f>IFERROR(MID(K1628,             FIND(",", K1628) + 1, LEN(K1628) - FIND(",", K1628)), K1628)</f>
        <v/>
      </c>
      <c r="N1628" t="n">
        <v>5</v>
      </c>
      <c r="P1628" t="inlineStr">
        <is>
          <t>13:00</t>
        </is>
      </c>
      <c r="Q1628" t="inlineStr">
        <is>
          <t>16:00</t>
        </is>
      </c>
    </row>
    <row r="1629">
      <c r="A1629" t="inlineStr">
        <is>
          <t>景山 朋美</t>
        </is>
      </c>
      <c r="B1629" t="inlineStr">
        <is>
          <t>TCNz004:新SMS開発</t>
        </is>
      </c>
      <c r="D1629">
        <f>L1629</f>
        <v/>
      </c>
      <c r="E1629">
        <f>SUMIFS(J:J, G:G,             A1629, H:H, B1629, L:L, L1629)</f>
        <v/>
      </c>
      <c r="F1629" t="inlineStr">
        <is>
          <t>37</t>
        </is>
      </c>
      <c r="G1629" t="inlineStr">
        <is>
          <t>景山 朋美</t>
        </is>
      </c>
      <c r="H1629" t="inlineStr">
        <is>
          <t>TCNz004:新SMS開発</t>
        </is>
      </c>
      <c r="I1629" s="1" t="n">
        <v>45932</v>
      </c>
      <c r="J1629" t="n">
        <v>0.5</v>
      </c>
      <c r="K1629" t="inlineStr">
        <is>
          <t>API設計</t>
        </is>
      </c>
      <c r="L1629">
        <f>IFERROR(LEFT(K1629,             FIND(",", K1629) - 1), "-")</f>
        <v/>
      </c>
      <c r="M1629">
        <f>IFERROR(MID(K1629,             FIND(",", K1629) + 1, LEN(K1629) - FIND(",", K1629)), K1629)</f>
        <v/>
      </c>
      <c r="N1629" t="n">
        <v>5</v>
      </c>
      <c r="P1629" t="inlineStr">
        <is>
          <t>09:30</t>
        </is>
      </c>
      <c r="Q1629" t="inlineStr">
        <is>
          <t>10:00</t>
        </is>
      </c>
    </row>
    <row r="1630">
      <c r="A1630" t="inlineStr">
        <is>
          <t>景山 朋美</t>
        </is>
      </c>
      <c r="B1630" t="inlineStr">
        <is>
          <t>TCNz004:新SMS開発</t>
        </is>
      </c>
      <c r="D1630">
        <f>L1630</f>
        <v/>
      </c>
      <c r="E1630">
        <f>SUMIFS(J:J, G:G,             A1630, H:H, B1630, L:L, L1630)</f>
        <v/>
      </c>
      <c r="F1630" t="inlineStr">
        <is>
          <t>37</t>
        </is>
      </c>
      <c r="G1630" t="inlineStr">
        <is>
          <t>景山 朋美</t>
        </is>
      </c>
      <c r="H1630" t="inlineStr">
        <is>
          <t>TCNz004:新SMS開発</t>
        </is>
      </c>
      <c r="I1630" s="1" t="n">
        <v>45938</v>
      </c>
      <c r="J1630" t="n">
        <v>2.5</v>
      </c>
      <c r="K1630" t="inlineStr">
        <is>
          <t>API設計書</t>
        </is>
      </c>
      <c r="L1630">
        <f>IFERROR(LEFT(K1630,             FIND(",", K1630) - 1), "-")</f>
        <v/>
      </c>
      <c r="M1630">
        <f>IFERROR(MID(K1630,             FIND(",", K1630) + 1, LEN(K1630) - FIND(",", K1630)), K1630)</f>
        <v/>
      </c>
      <c r="N1630" t="n">
        <v>5</v>
      </c>
      <c r="P1630" t="inlineStr">
        <is>
          <t>09:30</t>
        </is>
      </c>
      <c r="Q1630" t="inlineStr">
        <is>
          <t>12:00</t>
        </is>
      </c>
    </row>
    <row r="1631">
      <c r="A1631" t="inlineStr">
        <is>
          <t>景山 朋美</t>
        </is>
      </c>
      <c r="B1631" t="inlineStr">
        <is>
          <t>TCNz004:新SMS開発</t>
        </is>
      </c>
      <c r="D1631">
        <f>L1631</f>
        <v/>
      </c>
      <c r="E1631">
        <f>SUMIFS(J:J, G:G,             A1631, H:H, B1631, L:L, L1631)</f>
        <v/>
      </c>
      <c r="F1631" t="inlineStr">
        <is>
          <t>37</t>
        </is>
      </c>
      <c r="G1631" t="inlineStr">
        <is>
          <t>景山 朋美</t>
        </is>
      </c>
      <c r="H1631" t="inlineStr">
        <is>
          <t>TCNz004:新SMS開発</t>
        </is>
      </c>
      <c r="I1631" s="1" t="n">
        <v>45938</v>
      </c>
      <c r="J1631" t="n">
        <v>5</v>
      </c>
      <c r="K1631" t="inlineStr">
        <is>
          <t>API設計書</t>
        </is>
      </c>
      <c r="L1631">
        <f>IFERROR(LEFT(K1631,             FIND(",", K1631) - 1), "-")</f>
        <v/>
      </c>
      <c r="M1631">
        <f>IFERROR(MID(K1631,             FIND(",", K1631) + 1, LEN(K1631) - FIND(",", K1631)), K1631)</f>
        <v/>
      </c>
      <c r="N1631" t="n">
        <v>5</v>
      </c>
      <c r="P1631" t="inlineStr">
        <is>
          <t>13:00</t>
        </is>
      </c>
      <c r="Q1631" t="inlineStr">
        <is>
          <t>18:00</t>
        </is>
      </c>
    </row>
    <row r="1632">
      <c r="A1632" t="inlineStr">
        <is>
          <t>景山 朋美</t>
        </is>
      </c>
      <c r="B1632" t="inlineStr">
        <is>
          <t>TCNz004:新SMS開発</t>
        </is>
      </c>
      <c r="D1632">
        <f>L1632</f>
        <v/>
      </c>
      <c r="E1632">
        <f>SUMIFS(J:J, G:G,             A1632, H:H, B1632, L:L, L1632)</f>
        <v/>
      </c>
      <c r="F1632" t="inlineStr">
        <is>
          <t>37</t>
        </is>
      </c>
      <c r="G1632" t="inlineStr">
        <is>
          <t>景山 朋美</t>
        </is>
      </c>
      <c r="H1632" t="inlineStr">
        <is>
          <t>TCNz004:新SMS開発</t>
        </is>
      </c>
      <c r="I1632" s="1" t="n">
        <v>45939</v>
      </c>
      <c r="J1632" t="n">
        <v>0.5</v>
      </c>
      <c r="K1632" t="inlineStr">
        <is>
          <t>API設計書</t>
        </is>
      </c>
      <c r="L1632">
        <f>IFERROR(LEFT(K1632,             FIND(",", K1632) - 1), "-")</f>
        <v/>
      </c>
      <c r="M1632">
        <f>IFERROR(MID(K1632,             FIND(",", K1632) + 1, LEN(K1632) - FIND(",", K1632)), K1632)</f>
        <v/>
      </c>
      <c r="N1632" t="n">
        <v>5</v>
      </c>
      <c r="P1632" t="inlineStr">
        <is>
          <t>09:30</t>
        </is>
      </c>
      <c r="Q1632" t="inlineStr">
        <is>
          <t>10:00</t>
        </is>
      </c>
    </row>
    <row r="1633">
      <c r="A1633" t="inlineStr">
        <is>
          <t>景山 朋美</t>
        </is>
      </c>
      <c r="B1633" t="inlineStr">
        <is>
          <t>TCNz004:新SMS開発</t>
        </is>
      </c>
      <c r="D1633">
        <f>L1633</f>
        <v/>
      </c>
      <c r="E1633">
        <f>SUMIFS(J:J, G:G,             A1633, H:H, B1633, L:L, L1633)</f>
        <v/>
      </c>
      <c r="F1633" t="inlineStr">
        <is>
          <t>37</t>
        </is>
      </c>
      <c r="G1633" t="inlineStr">
        <is>
          <t>景山 朋美</t>
        </is>
      </c>
      <c r="H1633" t="inlineStr">
        <is>
          <t>TCNz004:新SMS開発</t>
        </is>
      </c>
      <c r="I1633" s="1" t="n">
        <v>45939</v>
      </c>
      <c r="J1633" t="n">
        <v>1</v>
      </c>
      <c r="K1633" t="inlineStr">
        <is>
          <t>API設計書</t>
        </is>
      </c>
      <c r="L1633">
        <f>IFERROR(LEFT(K1633,             FIND(",", K1633) - 1), "-")</f>
        <v/>
      </c>
      <c r="M1633">
        <f>IFERROR(MID(K1633,             FIND(",", K1633) + 1, LEN(K1633) - FIND(",", K1633)), K1633)</f>
        <v/>
      </c>
      <c r="N1633" t="n">
        <v>5</v>
      </c>
      <c r="P1633" t="inlineStr">
        <is>
          <t>11:00</t>
        </is>
      </c>
      <c r="Q1633" t="inlineStr">
        <is>
          <t>12:00</t>
        </is>
      </c>
    </row>
    <row r="1634">
      <c r="A1634" t="inlineStr">
        <is>
          <t>景山 朋美</t>
        </is>
      </c>
      <c r="B1634" t="inlineStr">
        <is>
          <t>TCNz004:新SMS開発</t>
        </is>
      </c>
      <c r="D1634">
        <f>L1634</f>
        <v/>
      </c>
      <c r="E1634">
        <f>SUMIFS(J:J, G:G,             A1634, H:H, B1634, L:L, L1634)</f>
        <v/>
      </c>
      <c r="F1634" t="inlineStr">
        <is>
          <t>37</t>
        </is>
      </c>
      <c r="G1634" t="inlineStr">
        <is>
          <t>景山 朋美</t>
        </is>
      </c>
      <c r="H1634" t="inlineStr">
        <is>
          <t>TCNz004:新SMS開発</t>
        </is>
      </c>
      <c r="I1634" s="1" t="n">
        <v>45939</v>
      </c>
      <c r="J1634" t="n">
        <v>1</v>
      </c>
      <c r="K1634" t="inlineStr">
        <is>
          <t>API設計書</t>
        </is>
      </c>
      <c r="L1634">
        <f>IFERROR(LEFT(K1634,             FIND(",", K1634) - 1), "-")</f>
        <v/>
      </c>
      <c r="M1634">
        <f>IFERROR(MID(K1634,             FIND(",", K1634) + 1, LEN(K1634) - FIND(",", K1634)), K1634)</f>
        <v/>
      </c>
      <c r="N1634" t="n">
        <v>5</v>
      </c>
      <c r="P1634" t="inlineStr">
        <is>
          <t>12:00</t>
        </is>
      </c>
      <c r="Q1634" t="inlineStr">
        <is>
          <t>13:00</t>
        </is>
      </c>
    </row>
    <row r="1635">
      <c r="A1635" t="inlineStr">
        <is>
          <t>景山 朋美</t>
        </is>
      </c>
      <c r="B1635" t="inlineStr">
        <is>
          <t>TCNz004:新SMS開発</t>
        </is>
      </c>
      <c r="D1635">
        <f>L1635</f>
        <v/>
      </c>
      <c r="E1635">
        <f>SUMIFS(J:J, G:G,             A1635, H:H, B1635, L:L, L1635)</f>
        <v/>
      </c>
      <c r="F1635" t="inlineStr">
        <is>
          <t>37</t>
        </is>
      </c>
      <c r="G1635" t="inlineStr">
        <is>
          <t>景山 朋美</t>
        </is>
      </c>
      <c r="H1635" t="inlineStr">
        <is>
          <t>TCNz004:新SMS開発</t>
        </is>
      </c>
      <c r="I1635" s="1" t="n">
        <v>45945</v>
      </c>
      <c r="J1635" t="n">
        <v>2.5</v>
      </c>
      <c r="K1635" t="inlineStr">
        <is>
          <t>Tframe_設計書</t>
        </is>
      </c>
      <c r="L1635">
        <f>IFERROR(LEFT(K1635,             FIND(",", K1635) - 1), "-")</f>
        <v/>
      </c>
      <c r="M1635">
        <f>IFERROR(MID(K1635,             FIND(",", K1635) + 1, LEN(K1635) - FIND(",", K1635)), K1635)</f>
        <v/>
      </c>
      <c r="N1635" t="n">
        <v>5</v>
      </c>
      <c r="P1635" t="inlineStr">
        <is>
          <t>09:30</t>
        </is>
      </c>
      <c r="Q1635" t="inlineStr">
        <is>
          <t>12:00</t>
        </is>
      </c>
    </row>
    <row r="1636">
      <c r="A1636" t="inlineStr">
        <is>
          <t>景山 朋美</t>
        </is>
      </c>
      <c r="B1636" t="inlineStr">
        <is>
          <t>TCNz004:新SMS開発</t>
        </is>
      </c>
      <c r="D1636">
        <f>L1636</f>
        <v/>
      </c>
      <c r="E1636">
        <f>SUMIFS(J:J, G:G,             A1636, H:H, B1636, L:L, L1636)</f>
        <v/>
      </c>
      <c r="F1636" t="inlineStr">
        <is>
          <t>37</t>
        </is>
      </c>
      <c r="G1636" t="inlineStr">
        <is>
          <t>景山 朋美</t>
        </is>
      </c>
      <c r="H1636" t="inlineStr">
        <is>
          <t>TCNz004:新SMS開発</t>
        </is>
      </c>
      <c r="I1636" s="1" t="n">
        <v>45945</v>
      </c>
      <c r="J1636" t="n">
        <v>5</v>
      </c>
      <c r="K1636" t="inlineStr">
        <is>
          <t>Tframe_設計書</t>
        </is>
      </c>
      <c r="L1636">
        <f>IFERROR(LEFT(K1636,             FIND(",", K1636) - 1), "-")</f>
        <v/>
      </c>
      <c r="M1636">
        <f>IFERROR(MID(K1636,             FIND(",", K1636) + 1, LEN(K1636) - FIND(",", K1636)), K1636)</f>
        <v/>
      </c>
      <c r="N1636" t="n">
        <v>5</v>
      </c>
      <c r="P1636" t="inlineStr">
        <is>
          <t>13:00</t>
        </is>
      </c>
      <c r="Q1636" t="inlineStr">
        <is>
          <t>18:00</t>
        </is>
      </c>
    </row>
    <row r="1637">
      <c r="A1637" t="inlineStr">
        <is>
          <t>景山 朋美</t>
        </is>
      </c>
      <c r="B1637" t="inlineStr">
        <is>
          <t>TCNz004:新SMS開発</t>
        </is>
      </c>
      <c r="D1637">
        <f>L1637</f>
        <v/>
      </c>
      <c r="E1637">
        <f>SUMIFS(J:J, G:G,             A1637, H:H, B1637, L:L, L1637)</f>
        <v/>
      </c>
      <c r="F1637" t="inlineStr">
        <is>
          <t>37</t>
        </is>
      </c>
      <c r="G1637" t="inlineStr">
        <is>
          <t>景山 朋美</t>
        </is>
      </c>
      <c r="H1637" t="inlineStr">
        <is>
          <t>TCNz004:新SMS開発</t>
        </is>
      </c>
      <c r="I1637" s="1" t="n">
        <v>45950</v>
      </c>
      <c r="J1637" t="n">
        <v>2</v>
      </c>
      <c r="K1637" t="inlineStr">
        <is>
          <t>テストデータ準備</t>
        </is>
      </c>
      <c r="L1637">
        <f>IFERROR(LEFT(K1637,             FIND(",", K1637) - 1), "-")</f>
        <v/>
      </c>
      <c r="M1637">
        <f>IFERROR(MID(K1637,             FIND(",", K1637) + 1, LEN(K1637) - FIND(",", K1637)), K1637)</f>
        <v/>
      </c>
      <c r="N1637" t="n">
        <v>5</v>
      </c>
      <c r="P1637" t="inlineStr">
        <is>
          <t>13:00</t>
        </is>
      </c>
      <c r="Q1637" t="inlineStr">
        <is>
          <t>15:00</t>
        </is>
      </c>
    </row>
    <row r="1638">
      <c r="A1638" t="inlineStr">
        <is>
          <t>景山 朋美</t>
        </is>
      </c>
      <c r="B1638" t="inlineStr">
        <is>
          <t>TCNz004:新SMS開発</t>
        </is>
      </c>
      <c r="D1638">
        <f>L1638</f>
        <v/>
      </c>
      <c r="E1638">
        <f>SUMIFS(J:J, G:G,             A1638, H:H, B1638, L:L, L1638)</f>
        <v/>
      </c>
      <c r="F1638" t="inlineStr">
        <is>
          <t>37</t>
        </is>
      </c>
      <c r="G1638" t="inlineStr">
        <is>
          <t>景山 朋美</t>
        </is>
      </c>
      <c r="H1638" t="inlineStr">
        <is>
          <t>TCNz004:新SMS開発</t>
        </is>
      </c>
      <c r="I1638" s="1" t="n">
        <v>45937</v>
      </c>
      <c r="J1638" t="n">
        <v>3</v>
      </c>
      <c r="K1638" t="inlineStr">
        <is>
          <t>設計:Tframe</t>
        </is>
      </c>
      <c r="L1638">
        <f>IFERROR(LEFT(K1638,             FIND(",", K1638) - 1), "-")</f>
        <v/>
      </c>
      <c r="M1638">
        <f>IFERROR(MID(K1638,             FIND(",", K1638) + 1, LEN(K1638) - FIND(",", K1638)), K1638)</f>
        <v/>
      </c>
      <c r="N1638" t="n">
        <v>5</v>
      </c>
      <c r="P1638" t="inlineStr">
        <is>
          <t>15:00</t>
        </is>
      </c>
      <c r="Q1638" t="inlineStr">
        <is>
          <t>18:00</t>
        </is>
      </c>
    </row>
    <row r="1639">
      <c r="A1639" t="inlineStr">
        <is>
          <t>栗原 欧一郎</t>
        </is>
      </c>
      <c r="B1639" t="inlineStr">
        <is>
          <t>ITJS001:伊藤塾 サポート</t>
        </is>
      </c>
      <c r="C1639">
        <f>SUMIFS(J:J, G:G,             A1639, H:H, B1639)</f>
        <v/>
      </c>
      <c r="D1639">
        <f>L1639</f>
        <v/>
      </c>
      <c r="E1639">
        <f>SUMIFS(J:J, G:G,             A1639, H:H, B1639, L:L, L1639)</f>
        <v/>
      </c>
      <c r="F1639" t="inlineStr">
        <is>
          <t>P-20</t>
        </is>
      </c>
      <c r="G1639" t="inlineStr">
        <is>
          <t>栗原 欧一郎</t>
        </is>
      </c>
      <c r="H1639" t="inlineStr">
        <is>
          <t>ITJS001:伊藤塾 サポート</t>
        </is>
      </c>
      <c r="I1639" s="1" t="n">
        <v>45948</v>
      </c>
      <c r="J1639" t="n">
        <v>2</v>
      </c>
      <c r="L1639">
        <f>IFERROR(LEFT(K1639,             FIND(",", K1639) - 1), "-")</f>
        <v/>
      </c>
      <c r="M1639">
        <f>IFERROR(MID(K1639,             FIND(",", K1639) + 1, LEN(K1639) - FIND(",", K1639)), K1639)</f>
        <v/>
      </c>
      <c r="N1639" t="n">
        <v>3</v>
      </c>
      <c r="P1639" t="inlineStr">
        <is>
          <t>10:00</t>
        </is>
      </c>
      <c r="Q1639" t="inlineStr">
        <is>
          <t>12:00</t>
        </is>
      </c>
    </row>
    <row r="1640">
      <c r="A1640" t="inlineStr">
        <is>
          <t>栗原 欧一郎</t>
        </is>
      </c>
      <c r="B1640" t="inlineStr">
        <is>
          <t>ITJS001:伊藤塾 サポート</t>
        </is>
      </c>
      <c r="D1640">
        <f>L1640</f>
        <v/>
      </c>
      <c r="E1640">
        <f>SUMIFS(J:J, G:G,             A1640, H:H, B1640, L:L, L1640)</f>
        <v/>
      </c>
      <c r="F1640" t="inlineStr">
        <is>
          <t>P-20</t>
        </is>
      </c>
      <c r="G1640" t="inlineStr">
        <is>
          <t>栗原 欧一郎</t>
        </is>
      </c>
      <c r="H1640" t="inlineStr">
        <is>
          <t>ITJS001:伊藤塾 サポート</t>
        </is>
      </c>
      <c r="I1640" s="1" t="n">
        <v>45948</v>
      </c>
      <c r="J1640" t="n">
        <v>4</v>
      </c>
      <c r="L1640">
        <f>IFERROR(LEFT(K1640,             FIND(",", K1640) - 1), "-")</f>
        <v/>
      </c>
      <c r="M1640">
        <f>IFERROR(MID(K1640,             FIND(",", K1640) + 1, LEN(K1640) - FIND(",", K1640)), K1640)</f>
        <v/>
      </c>
      <c r="N1640" t="n">
        <v>3</v>
      </c>
      <c r="P1640" t="inlineStr">
        <is>
          <t>13:00</t>
        </is>
      </c>
      <c r="Q1640" t="inlineStr">
        <is>
          <t>17:00</t>
        </is>
      </c>
    </row>
    <row r="1641">
      <c r="A1641" t="inlineStr">
        <is>
          <t>石井 良隆</t>
        </is>
      </c>
      <c r="B1641" t="inlineStr">
        <is>
          <t>ITJS001:伊藤塾 サポート</t>
        </is>
      </c>
      <c r="C1641">
        <f>SUMIFS(J:J, G:G,             A1641, H:H, B1641)</f>
        <v/>
      </c>
      <c r="D1641">
        <f>L1641</f>
        <v/>
      </c>
      <c r="E1641">
        <f>SUMIFS(J:J, G:G,             A1641, H:H, B1641, L:L, L1641)</f>
        <v/>
      </c>
      <c r="F1641" t="inlineStr">
        <is>
          <t>30</t>
        </is>
      </c>
      <c r="G1641" t="inlineStr">
        <is>
          <t>石井 良隆</t>
        </is>
      </c>
      <c r="H1641" t="inlineStr">
        <is>
          <t>ITJS001:伊藤塾 サポート</t>
        </is>
      </c>
      <c r="I1641" s="1" t="n">
        <v>45931</v>
      </c>
      <c r="J1641" t="n">
        <v>2.5</v>
      </c>
      <c r="L1641">
        <f>IFERROR(LEFT(K1641,             FIND(",", K1641) - 1), "-")</f>
        <v/>
      </c>
      <c r="M1641">
        <f>IFERROR(MID(K1641,             FIND(",", K1641) + 1, LEN(K1641) - FIND(",", K1641)), K1641)</f>
        <v/>
      </c>
      <c r="N1641" t="n">
        <v>3</v>
      </c>
      <c r="P1641" t="inlineStr">
        <is>
          <t>09:30</t>
        </is>
      </c>
      <c r="Q1641" t="inlineStr">
        <is>
          <t>12:00</t>
        </is>
      </c>
    </row>
    <row r="1642">
      <c r="A1642" t="inlineStr">
        <is>
          <t>石井 良隆</t>
        </is>
      </c>
      <c r="B1642" t="inlineStr">
        <is>
          <t>ITJS001:伊藤塾 サポート</t>
        </is>
      </c>
      <c r="D1642">
        <f>L1642</f>
        <v/>
      </c>
      <c r="E1642">
        <f>SUMIFS(J:J, G:G,             A1642, H:H, B1642, L:L, L1642)</f>
        <v/>
      </c>
      <c r="F1642" t="inlineStr">
        <is>
          <t>30</t>
        </is>
      </c>
      <c r="G1642" t="inlineStr">
        <is>
          <t>石井 良隆</t>
        </is>
      </c>
      <c r="H1642" t="inlineStr">
        <is>
          <t>ITJS001:伊藤塾 サポート</t>
        </is>
      </c>
      <c r="I1642" s="1" t="n">
        <v>45932</v>
      </c>
      <c r="J1642" t="n">
        <v>0.5</v>
      </c>
      <c r="L1642">
        <f>IFERROR(LEFT(K1642,             FIND(",", K1642) - 1), "-")</f>
        <v/>
      </c>
      <c r="M1642">
        <f>IFERROR(MID(K1642,             FIND(",", K1642) + 1, LEN(K1642) - FIND(",", K1642)), K1642)</f>
        <v/>
      </c>
      <c r="N1642" t="n">
        <v>3</v>
      </c>
      <c r="P1642" t="inlineStr">
        <is>
          <t>11:30</t>
        </is>
      </c>
      <c r="Q1642" t="inlineStr">
        <is>
          <t>12:00</t>
        </is>
      </c>
    </row>
    <row r="1643">
      <c r="A1643" t="inlineStr">
        <is>
          <t>石井 良隆</t>
        </is>
      </c>
      <c r="B1643" t="inlineStr">
        <is>
          <t>ITJS001:伊藤塾 サポート</t>
        </is>
      </c>
      <c r="D1643">
        <f>L1643</f>
        <v/>
      </c>
      <c r="E1643">
        <f>SUMIFS(J:J, G:G,             A1643, H:H, B1643, L:L, L1643)</f>
        <v/>
      </c>
      <c r="F1643" t="inlineStr">
        <is>
          <t>30</t>
        </is>
      </c>
      <c r="G1643" t="inlineStr">
        <is>
          <t>石井 良隆</t>
        </is>
      </c>
      <c r="H1643" t="inlineStr">
        <is>
          <t>ITJS001:伊藤塾 サポート</t>
        </is>
      </c>
      <c r="I1643" s="1" t="n">
        <v>45932</v>
      </c>
      <c r="J1643" t="n">
        <v>0.5</v>
      </c>
      <c r="L1643">
        <f>IFERROR(LEFT(K1643,             FIND(",", K1643) - 1), "-")</f>
        <v/>
      </c>
      <c r="M1643">
        <f>IFERROR(MID(K1643,             FIND(",", K1643) + 1, LEN(K1643) - FIND(",", K1643)), K1643)</f>
        <v/>
      </c>
      <c r="N1643" t="n">
        <v>3</v>
      </c>
      <c r="P1643" t="inlineStr">
        <is>
          <t>17:30</t>
        </is>
      </c>
      <c r="Q1643" t="inlineStr">
        <is>
          <t>18:00</t>
        </is>
      </c>
    </row>
    <row r="1644">
      <c r="A1644" t="inlineStr">
        <is>
          <t>石井 良隆</t>
        </is>
      </c>
      <c r="B1644" t="inlineStr">
        <is>
          <t>ITJS002:伊藤塾サーバ保守</t>
        </is>
      </c>
      <c r="C1644">
        <f>SUMIFS(J:J, G:G,             A1644, H:H, B1644)</f>
        <v/>
      </c>
      <c r="D1644">
        <f>L1644</f>
        <v/>
      </c>
      <c r="E1644">
        <f>SUMIFS(J:J, G:G,             A1644, H:H, B1644, L:L, L1644)</f>
        <v/>
      </c>
      <c r="F1644" t="inlineStr">
        <is>
          <t>30</t>
        </is>
      </c>
      <c r="G1644" t="inlineStr">
        <is>
          <t>石井 良隆</t>
        </is>
      </c>
      <c r="H1644" t="inlineStr">
        <is>
          <t>ITJS002:伊藤塾サーバ保守</t>
        </is>
      </c>
      <c r="I1644" s="1" t="n">
        <v>45931</v>
      </c>
      <c r="J1644" t="n">
        <v>2</v>
      </c>
      <c r="K1644" t="inlineStr">
        <is>
          <t>ログファイル消去用シェルスクリプト実装に関する討議等</t>
        </is>
      </c>
      <c r="L1644">
        <f>IFERROR(LEFT(K1644,             FIND(",", K1644) - 1), "-")</f>
        <v/>
      </c>
      <c r="M1644">
        <f>IFERROR(MID(K1644,             FIND(",", K1644) + 1, LEN(K1644) - FIND(",", K1644)), K1644)</f>
        <v/>
      </c>
      <c r="N1644" t="n">
        <v>13</v>
      </c>
      <c r="P1644" t="inlineStr">
        <is>
          <t>13:00</t>
        </is>
      </c>
      <c r="Q1644" t="inlineStr">
        <is>
          <t>15:00</t>
        </is>
      </c>
    </row>
    <row r="1645">
      <c r="A1645" t="inlineStr">
        <is>
          <t>石井 良隆</t>
        </is>
      </c>
      <c r="B1645" t="inlineStr">
        <is>
          <t>ITJS002:伊藤塾サーバ保守</t>
        </is>
      </c>
      <c r="D1645">
        <f>L1645</f>
        <v/>
      </c>
      <c r="E1645">
        <f>SUMIFS(J:J, G:G,             A1645, H:H, B1645, L:L, L1645)</f>
        <v/>
      </c>
      <c r="F1645" t="inlineStr">
        <is>
          <t>30</t>
        </is>
      </c>
      <c r="G1645" t="inlineStr">
        <is>
          <t>石井 良隆</t>
        </is>
      </c>
      <c r="H1645" t="inlineStr">
        <is>
          <t>ITJS002:伊藤塾サーバ保守</t>
        </is>
      </c>
      <c r="I1645" s="1" t="n">
        <v>45932</v>
      </c>
      <c r="J1645" t="n">
        <v>2</v>
      </c>
      <c r="L1645">
        <f>IFERROR(LEFT(K1645,             FIND(",", K1645) - 1), "-")</f>
        <v/>
      </c>
      <c r="M1645">
        <f>IFERROR(MID(K1645,             FIND(",", K1645) + 1, LEN(K1645) - FIND(",", K1645)), K1645)</f>
        <v/>
      </c>
      <c r="N1645" t="n">
        <v>13</v>
      </c>
      <c r="P1645" t="inlineStr">
        <is>
          <t>09:30</t>
        </is>
      </c>
      <c r="Q1645" t="inlineStr">
        <is>
          <t>11:30</t>
        </is>
      </c>
    </row>
    <row r="1646">
      <c r="A1646" t="inlineStr">
        <is>
          <t>石井 良隆</t>
        </is>
      </c>
      <c r="B1646" t="inlineStr">
        <is>
          <t>TCNZ001:社内業務等</t>
        </is>
      </c>
      <c r="C1646">
        <f>SUMIFS(J:J, G:G,             A1646, H:H, B1646)</f>
        <v/>
      </c>
      <c r="D1646">
        <f>L1646</f>
        <v/>
      </c>
      <c r="E1646">
        <f>SUMIFS(J:J, G:G,             A1646, H:H, B1646, L:L, L1646)</f>
        <v/>
      </c>
      <c r="F1646" t="inlineStr">
        <is>
          <t>30</t>
        </is>
      </c>
      <c r="G1646" t="inlineStr">
        <is>
          <t>石井 良隆</t>
        </is>
      </c>
      <c r="H1646" t="inlineStr">
        <is>
          <t>TCNZ001:社内業務等</t>
        </is>
      </c>
      <c r="I1646" s="1" t="n">
        <v>45931</v>
      </c>
      <c r="J1646" t="n">
        <v>0.5</v>
      </c>
      <c r="L1646">
        <f>IFERROR(LEFT(K1646,             FIND(",", K1646) - 1), "-")</f>
        <v/>
      </c>
      <c r="M1646">
        <f>IFERROR(MID(K1646,             FIND(",", K1646) + 1, LEN(K1646) - FIND(",", K1646)), K1646)</f>
        <v/>
      </c>
      <c r="N1646" t="n">
        <v>5</v>
      </c>
      <c r="P1646" t="inlineStr">
        <is>
          <t>20:00</t>
        </is>
      </c>
      <c r="Q1646" t="inlineStr">
        <is>
          <t>20:30</t>
        </is>
      </c>
    </row>
    <row r="1647">
      <c r="A1647" t="inlineStr">
        <is>
          <t>石井 良隆</t>
        </is>
      </c>
      <c r="B1647" t="inlineStr">
        <is>
          <t>TCNz004:新SMS開発</t>
        </is>
      </c>
      <c r="C1647">
        <f>SUMIFS(J:J, G:G,             A1647, H:H, B1647)</f>
        <v/>
      </c>
      <c r="D1647">
        <f>L1647</f>
        <v/>
      </c>
      <c r="E1647">
        <f>SUMIFS(J:J, G:G,             A1647, H:H, B1647, L:L, L1647)</f>
        <v/>
      </c>
      <c r="F1647" t="inlineStr">
        <is>
          <t>30</t>
        </is>
      </c>
      <c r="G1647" t="inlineStr">
        <is>
          <t>石井 良隆</t>
        </is>
      </c>
      <c r="H1647" t="inlineStr">
        <is>
          <t>TCNz004:新SMS開発</t>
        </is>
      </c>
      <c r="I1647" s="1" t="n">
        <v>45931</v>
      </c>
      <c r="J1647" t="n">
        <v>5</v>
      </c>
      <c r="K1647" t="inlineStr">
        <is>
          <t>ノーボーダーズ移行マッピング確認</t>
        </is>
      </c>
      <c r="L1647">
        <f>IFERROR(LEFT(K1647,             FIND(",", K1647) - 1), "-")</f>
        <v/>
      </c>
      <c r="M1647">
        <f>IFERROR(MID(K1647,             FIND(",", K1647) + 1, LEN(K1647) - FIND(",", K1647)), K1647)</f>
        <v/>
      </c>
      <c r="N1647" t="n">
        <v>5</v>
      </c>
      <c r="P1647" t="inlineStr">
        <is>
          <t>15:00</t>
        </is>
      </c>
      <c r="Q1647" t="inlineStr">
        <is>
          <t>20:00</t>
        </is>
      </c>
    </row>
    <row r="1648">
      <c r="A1648" t="inlineStr">
        <is>
          <t>石井 良隆</t>
        </is>
      </c>
      <c r="B1648" t="inlineStr">
        <is>
          <t>TCNz004:新SMS開発</t>
        </is>
      </c>
      <c r="D1648">
        <f>L1648</f>
        <v/>
      </c>
      <c r="E1648">
        <f>SUMIFS(J:J, G:G,             A1648, H:H, B1648, L:L, L1648)</f>
        <v/>
      </c>
      <c r="F1648" t="inlineStr">
        <is>
          <t>30</t>
        </is>
      </c>
      <c r="G1648" t="inlineStr">
        <is>
          <t>石井 良隆</t>
        </is>
      </c>
      <c r="H1648" t="inlineStr">
        <is>
          <t>TCNz004:新SMS開発</t>
        </is>
      </c>
      <c r="I1648" s="1" t="n">
        <v>45932</v>
      </c>
      <c r="J1648" t="n">
        <v>4.5</v>
      </c>
      <c r="K1648" t="inlineStr">
        <is>
          <t>ノーボーダーズ移行マッピング確認</t>
        </is>
      </c>
      <c r="L1648">
        <f>IFERROR(LEFT(K1648,             FIND(",", K1648) - 1), "-")</f>
        <v/>
      </c>
      <c r="M1648">
        <f>IFERROR(MID(K1648,             FIND(",", K1648) + 1, LEN(K1648) - FIND(",", K1648)), K1648)</f>
        <v/>
      </c>
      <c r="N1648" t="n">
        <v>5</v>
      </c>
      <c r="P1648" t="inlineStr">
        <is>
          <t>13:00</t>
        </is>
      </c>
      <c r="Q1648" t="inlineStr">
        <is>
          <t>17:30</t>
        </is>
      </c>
    </row>
    <row r="1649">
      <c r="A1649" t="inlineStr">
        <is>
          <t>藤野 雄介</t>
        </is>
      </c>
      <c r="B1649" t="inlineStr">
        <is>
          <t>ITJS001:伊藤塾 サポート</t>
        </is>
      </c>
      <c r="C1649">
        <f>SUMIFS(J:J, G:G,             A1649, H:H, B1649)</f>
        <v/>
      </c>
      <c r="D1649">
        <f>L1649</f>
        <v/>
      </c>
      <c r="E1649">
        <f>SUMIFS(J:J, G:G,             A1649, H:H, B1649, L:L, L1649)</f>
        <v/>
      </c>
      <c r="F1649" t="inlineStr">
        <is>
          <t>P-21</t>
        </is>
      </c>
      <c r="G1649" t="inlineStr">
        <is>
          <t>藤野 雄介</t>
        </is>
      </c>
      <c r="H1649" t="inlineStr">
        <is>
          <t>ITJS001:伊藤塾 サポート</t>
        </is>
      </c>
      <c r="I1649" s="1" t="n">
        <v>45941</v>
      </c>
      <c r="J1649" t="n">
        <v>2</v>
      </c>
      <c r="K1649" t="inlineStr">
        <is>
          <t>伊藤塾サポート、テクノピアンオンラインデモ保守</t>
        </is>
      </c>
      <c r="L1649">
        <f>IFERROR(LEFT(K1649,             FIND(",", K1649) - 1), "-")</f>
        <v/>
      </c>
      <c r="M1649">
        <f>IFERROR(MID(K1649,             FIND(",", K1649) + 1, LEN(K1649) - FIND(",", K1649)), K1649)</f>
        <v/>
      </c>
      <c r="N1649" t="n">
        <v>3</v>
      </c>
      <c r="P1649" t="inlineStr">
        <is>
          <t>10:00</t>
        </is>
      </c>
      <c r="Q1649" t="inlineStr">
        <is>
          <t>12:00</t>
        </is>
      </c>
    </row>
    <row r="1650">
      <c r="A1650" t="inlineStr">
        <is>
          <t>藤野 雄介</t>
        </is>
      </c>
      <c r="B1650" t="inlineStr">
        <is>
          <t>ITJS001:伊藤塾 サポート</t>
        </is>
      </c>
      <c r="D1650">
        <f>L1650</f>
        <v/>
      </c>
      <c r="E1650">
        <f>SUMIFS(J:J, G:G,             A1650, H:H, B1650, L:L, L1650)</f>
        <v/>
      </c>
      <c r="F1650" t="inlineStr">
        <is>
          <t>P-21</t>
        </is>
      </c>
      <c r="G1650" t="inlineStr">
        <is>
          <t>藤野 雄介</t>
        </is>
      </c>
      <c r="H1650" t="inlineStr">
        <is>
          <t>ITJS001:伊藤塾 サポート</t>
        </is>
      </c>
      <c r="I1650" s="1" t="n">
        <v>45941</v>
      </c>
      <c r="J1650" t="n">
        <v>4</v>
      </c>
      <c r="K1650" t="inlineStr">
        <is>
          <t>伊藤塾サポート、テクノピアンオンラインデモ保守</t>
        </is>
      </c>
      <c r="L1650">
        <f>IFERROR(LEFT(K1650,             FIND(",", K1650) - 1), "-")</f>
        <v/>
      </c>
      <c r="M1650">
        <f>IFERROR(MID(K1650,             FIND(",", K1650) + 1, LEN(K1650) - FIND(",", K1650)), K1650)</f>
        <v/>
      </c>
      <c r="N1650" t="n">
        <v>3</v>
      </c>
      <c r="P1650" t="inlineStr">
        <is>
          <t>13:00</t>
        </is>
      </c>
      <c r="Q1650" t="inlineStr">
        <is>
          <t>17:00</t>
        </is>
      </c>
    </row>
    <row r="1651">
      <c r="A1651" t="inlineStr">
        <is>
          <t>藤野 雄介</t>
        </is>
      </c>
      <c r="B1651" t="inlineStr">
        <is>
          <t>ITJS001:伊藤塾 サポート</t>
        </is>
      </c>
      <c r="D1651">
        <f>L1651</f>
        <v/>
      </c>
      <c r="E1651">
        <f>SUMIFS(J:J, G:G,             A1651, H:H, B1651, L:L, L1651)</f>
        <v/>
      </c>
      <c r="F1651" t="inlineStr">
        <is>
          <t>P-21</t>
        </is>
      </c>
      <c r="G1651" t="inlineStr">
        <is>
          <t>藤野 雄介</t>
        </is>
      </c>
      <c r="H1651" t="inlineStr">
        <is>
          <t>ITJS001:伊藤塾 サポート</t>
        </is>
      </c>
      <c r="I1651" s="1" t="n">
        <v>45943</v>
      </c>
      <c r="J1651" t="n">
        <v>2</v>
      </c>
      <c r="K1651" t="inlineStr">
        <is>
          <t>伊藤塾サポート、テクノピアンオンラインデモ保守</t>
        </is>
      </c>
      <c r="L1651">
        <f>IFERROR(LEFT(K1651,             FIND(",", K1651) - 1), "-")</f>
        <v/>
      </c>
      <c r="M1651">
        <f>IFERROR(MID(K1651,             FIND(",", K1651) + 1, LEN(K1651) - FIND(",", K1651)), K1651)</f>
        <v/>
      </c>
      <c r="N1651" t="n">
        <v>3</v>
      </c>
      <c r="P1651" t="inlineStr">
        <is>
          <t>10:00</t>
        </is>
      </c>
      <c r="Q1651" t="inlineStr">
        <is>
          <t>12:00</t>
        </is>
      </c>
    </row>
    <row r="1652">
      <c r="A1652" t="inlineStr">
        <is>
          <t>藤野 雄介</t>
        </is>
      </c>
      <c r="B1652" t="inlineStr">
        <is>
          <t>ITJS001:伊藤塾 サポート</t>
        </is>
      </c>
      <c r="D1652">
        <f>L1652</f>
        <v/>
      </c>
      <c r="E1652">
        <f>SUMIFS(J:J, G:G,             A1652, H:H, B1652, L:L, L1652)</f>
        <v/>
      </c>
      <c r="F1652" t="inlineStr">
        <is>
          <t>P-21</t>
        </is>
      </c>
      <c r="G1652" t="inlineStr">
        <is>
          <t>藤野 雄介</t>
        </is>
      </c>
      <c r="H1652" t="inlineStr">
        <is>
          <t>ITJS001:伊藤塾 サポート</t>
        </is>
      </c>
      <c r="I1652" s="1" t="n">
        <v>45943</v>
      </c>
      <c r="J1652" t="n">
        <v>4</v>
      </c>
      <c r="K1652" t="inlineStr">
        <is>
          <t>伊藤塾サポート、テクノピアンオンラインデモ保守</t>
        </is>
      </c>
      <c r="L1652">
        <f>IFERROR(LEFT(K1652,             FIND(",", K1652) - 1), "-")</f>
        <v/>
      </c>
      <c r="M1652">
        <f>IFERROR(MID(K1652,             FIND(",", K1652) + 1, LEN(K1652) - FIND(",", K1652)), K1652)</f>
        <v/>
      </c>
      <c r="N1652" t="n">
        <v>3</v>
      </c>
      <c r="P1652" t="inlineStr">
        <is>
          <t>13:00</t>
        </is>
      </c>
      <c r="Q1652" t="inlineStr">
        <is>
          <t>17:00</t>
        </is>
      </c>
    </row>
    <row r="1653">
      <c r="A1653" t="inlineStr">
        <is>
          <t>西村 俊行</t>
        </is>
      </c>
      <c r="B1653" t="inlineStr">
        <is>
          <t>ZZZE101:【営】新規問合せ対応</t>
        </is>
      </c>
      <c r="C1653">
        <f>SUMIFS(J:J, G:G,             A1653, H:H, B1653)</f>
        <v/>
      </c>
      <c r="D1653">
        <f>L1653</f>
        <v/>
      </c>
      <c r="E1653">
        <f>SUMIFS(J:J, G:G,             A1653, H:H, B1653, L:L, L1653)</f>
        <v/>
      </c>
      <c r="F1653" t="inlineStr">
        <is>
          <t>25</t>
        </is>
      </c>
      <c r="G1653" t="inlineStr">
        <is>
          <t>西村 俊行</t>
        </is>
      </c>
      <c r="H1653" t="inlineStr">
        <is>
          <t>ZZZE101:【営】新規問合せ対応</t>
        </is>
      </c>
      <c r="I1653" s="1" t="n">
        <v>45931</v>
      </c>
      <c r="J1653" t="n">
        <v>2.75</v>
      </c>
      <c r="L1653">
        <f>IFERROR(LEFT(K1653,             FIND(",", K1653) - 1), "-")</f>
        <v/>
      </c>
      <c r="M1653">
        <f>IFERROR(MID(K1653,             FIND(",", K1653) + 1, LEN(K1653) - FIND(",", K1653)), K1653)</f>
        <v/>
      </c>
      <c r="N1653" t="n">
        <v>4</v>
      </c>
      <c r="P1653" t="inlineStr">
        <is>
          <t>09:15</t>
        </is>
      </c>
      <c r="Q1653" t="inlineStr">
        <is>
          <t>12:00</t>
        </is>
      </c>
    </row>
    <row r="1654">
      <c r="A1654" t="inlineStr">
        <is>
          <t>西村 俊行</t>
        </is>
      </c>
      <c r="B1654" t="inlineStr">
        <is>
          <t>ZZZE101:【営】新規問合せ対応</t>
        </is>
      </c>
      <c r="D1654">
        <f>L1654</f>
        <v/>
      </c>
      <c r="E1654">
        <f>SUMIFS(J:J, G:G,             A1654, H:H, B1654, L:L, L1654)</f>
        <v/>
      </c>
      <c r="F1654" t="inlineStr">
        <is>
          <t>25</t>
        </is>
      </c>
      <c r="G1654" t="inlineStr">
        <is>
          <t>西村 俊行</t>
        </is>
      </c>
      <c r="H1654" t="inlineStr">
        <is>
          <t>ZZZE101:【営】新規問合せ対応</t>
        </is>
      </c>
      <c r="I1654" s="1" t="n">
        <v>45931</v>
      </c>
      <c r="J1654" t="n">
        <v>6.25</v>
      </c>
      <c r="L1654">
        <f>IFERROR(LEFT(K1654,             FIND(",", K1654) - 1), "-")</f>
        <v/>
      </c>
      <c r="M1654">
        <f>IFERROR(MID(K1654,             FIND(",", K1654) + 1, LEN(K1654) - FIND(",", K1654)), K1654)</f>
        <v/>
      </c>
      <c r="N1654" t="n">
        <v>4</v>
      </c>
      <c r="P1654" t="inlineStr">
        <is>
          <t>13:00</t>
        </is>
      </c>
      <c r="Q1654" t="inlineStr">
        <is>
          <t>19:15</t>
        </is>
      </c>
    </row>
    <row r="1655">
      <c r="A1655" t="inlineStr">
        <is>
          <t>西村 俊行</t>
        </is>
      </c>
      <c r="B1655" t="inlineStr">
        <is>
          <t>ZZZE101:【営】新規問合せ対応</t>
        </is>
      </c>
      <c r="D1655">
        <f>L1655</f>
        <v/>
      </c>
      <c r="E1655">
        <f>SUMIFS(J:J, G:G,             A1655, H:H, B1655, L:L, L1655)</f>
        <v/>
      </c>
      <c r="F1655" t="inlineStr">
        <is>
          <t>25</t>
        </is>
      </c>
      <c r="G1655" t="inlineStr">
        <is>
          <t>西村 俊行</t>
        </is>
      </c>
      <c r="H1655" t="inlineStr">
        <is>
          <t>ZZZE101:【営】新規問合せ対応</t>
        </is>
      </c>
      <c r="I1655" s="1" t="n">
        <v>45932</v>
      </c>
      <c r="J1655" t="n">
        <v>0.5</v>
      </c>
      <c r="L1655">
        <f>IFERROR(LEFT(K1655,             FIND(",", K1655) - 1), "-")</f>
        <v/>
      </c>
      <c r="M1655">
        <f>IFERROR(MID(K1655,             FIND(",", K1655) + 1, LEN(K1655) - FIND(",", K1655)), K1655)</f>
        <v/>
      </c>
      <c r="N1655" t="n">
        <v>4</v>
      </c>
      <c r="P1655" t="inlineStr">
        <is>
          <t>01:00</t>
        </is>
      </c>
      <c r="Q1655" t="inlineStr">
        <is>
          <t>01:30</t>
        </is>
      </c>
    </row>
    <row r="1656">
      <c r="A1656" t="inlineStr">
        <is>
          <t>西村 俊行</t>
        </is>
      </c>
      <c r="B1656" t="inlineStr">
        <is>
          <t>ZZZE101:【営】新規問合せ対応</t>
        </is>
      </c>
      <c r="D1656">
        <f>L1656</f>
        <v/>
      </c>
      <c r="E1656">
        <f>SUMIFS(J:J, G:G,             A1656, H:H, B1656, L:L, L1656)</f>
        <v/>
      </c>
      <c r="F1656" t="inlineStr">
        <is>
          <t>25</t>
        </is>
      </c>
      <c r="G1656" t="inlineStr">
        <is>
          <t>西村 俊行</t>
        </is>
      </c>
      <c r="H1656" t="inlineStr">
        <is>
          <t>ZZZE101:【営】新規問合せ対応</t>
        </is>
      </c>
      <c r="I1656" s="1" t="n">
        <v>45932</v>
      </c>
      <c r="J1656" t="n">
        <v>2.5</v>
      </c>
      <c r="L1656">
        <f>IFERROR(LEFT(K1656,             FIND(",", K1656) - 1), "-")</f>
        <v/>
      </c>
      <c r="M1656">
        <f>IFERROR(MID(K1656,             FIND(",", K1656) + 1, LEN(K1656) - FIND(",", K1656)), K1656)</f>
        <v/>
      </c>
      <c r="N1656" t="n">
        <v>4</v>
      </c>
      <c r="P1656" t="inlineStr">
        <is>
          <t>09:30</t>
        </is>
      </c>
      <c r="Q1656" t="inlineStr">
        <is>
          <t>12:00</t>
        </is>
      </c>
    </row>
    <row r="1657">
      <c r="A1657" t="inlineStr">
        <is>
          <t>西村 俊行</t>
        </is>
      </c>
      <c r="B1657" t="inlineStr">
        <is>
          <t>ZZZE101:【営】新規問合せ対応</t>
        </is>
      </c>
      <c r="D1657">
        <f>L1657</f>
        <v/>
      </c>
      <c r="E1657">
        <f>SUMIFS(J:J, G:G,             A1657, H:H, B1657, L:L, L1657)</f>
        <v/>
      </c>
      <c r="F1657" t="inlineStr">
        <is>
          <t>25</t>
        </is>
      </c>
      <c r="G1657" t="inlineStr">
        <is>
          <t>西村 俊行</t>
        </is>
      </c>
      <c r="H1657" t="inlineStr">
        <is>
          <t>ZZZE101:【営】新規問合せ対応</t>
        </is>
      </c>
      <c r="I1657" s="1" t="n">
        <v>45932</v>
      </c>
      <c r="J1657" t="n">
        <v>3.5</v>
      </c>
      <c r="L1657">
        <f>IFERROR(LEFT(K1657,             FIND(",", K1657) - 1), "-")</f>
        <v/>
      </c>
      <c r="M1657">
        <f>IFERROR(MID(K1657,             FIND(",", K1657) + 1, LEN(K1657) - FIND(",", K1657)), K1657)</f>
        <v/>
      </c>
      <c r="N1657" t="n">
        <v>4</v>
      </c>
      <c r="P1657" t="inlineStr">
        <is>
          <t>13:00</t>
        </is>
      </c>
      <c r="Q1657" t="inlineStr">
        <is>
          <t>16:30</t>
        </is>
      </c>
    </row>
    <row r="1658">
      <c r="A1658" t="inlineStr">
        <is>
          <t>西村 俊行</t>
        </is>
      </c>
      <c r="B1658" t="inlineStr">
        <is>
          <t>ZZZE101:【営】新規問合せ対応</t>
        </is>
      </c>
      <c r="D1658">
        <f>L1658</f>
        <v/>
      </c>
      <c r="E1658">
        <f>SUMIFS(J:J, G:G,             A1658, H:H, B1658, L:L, L1658)</f>
        <v/>
      </c>
      <c r="F1658" t="inlineStr">
        <is>
          <t>25</t>
        </is>
      </c>
      <c r="G1658" t="inlineStr">
        <is>
          <t>西村 俊行</t>
        </is>
      </c>
      <c r="H1658" t="inlineStr">
        <is>
          <t>ZZZE101:【営】新規問合せ対応</t>
        </is>
      </c>
      <c r="I1658" s="1" t="n">
        <v>45933</v>
      </c>
      <c r="J1658" t="n">
        <v>2.5</v>
      </c>
      <c r="L1658">
        <f>IFERROR(LEFT(K1658,             FIND(",", K1658) - 1), "-")</f>
        <v/>
      </c>
      <c r="M1658">
        <f>IFERROR(MID(K1658,             FIND(",", K1658) + 1, LEN(K1658) - FIND(",", K1658)), K1658)</f>
        <v/>
      </c>
      <c r="N1658" t="n">
        <v>4</v>
      </c>
      <c r="P1658" t="inlineStr">
        <is>
          <t>09:30</t>
        </is>
      </c>
      <c r="Q1658" t="inlineStr">
        <is>
          <t>12:00</t>
        </is>
      </c>
    </row>
    <row r="1659">
      <c r="A1659" t="inlineStr">
        <is>
          <t>西村 俊行</t>
        </is>
      </c>
      <c r="B1659" t="inlineStr">
        <is>
          <t>ZZZE101:【営】新規問合せ対応</t>
        </is>
      </c>
      <c r="D1659">
        <f>L1659</f>
        <v/>
      </c>
      <c r="E1659">
        <f>SUMIFS(J:J, G:G,             A1659, H:H, B1659, L:L, L1659)</f>
        <v/>
      </c>
      <c r="F1659" t="inlineStr">
        <is>
          <t>25</t>
        </is>
      </c>
      <c r="G1659" t="inlineStr">
        <is>
          <t>西村 俊行</t>
        </is>
      </c>
      <c r="H1659" t="inlineStr">
        <is>
          <t>ZZZE101:【営】新規問合せ対応</t>
        </is>
      </c>
      <c r="I1659" s="1" t="n">
        <v>45933</v>
      </c>
      <c r="J1659" t="n">
        <v>5.5</v>
      </c>
      <c r="L1659">
        <f>IFERROR(LEFT(K1659,             FIND(",", K1659) - 1), "-")</f>
        <v/>
      </c>
      <c r="M1659">
        <f>IFERROR(MID(K1659,             FIND(",", K1659) + 1, LEN(K1659) - FIND(",", K1659)), K1659)</f>
        <v/>
      </c>
      <c r="N1659" t="n">
        <v>4</v>
      </c>
      <c r="P1659" t="inlineStr">
        <is>
          <t>13:00</t>
        </is>
      </c>
      <c r="Q1659" t="inlineStr">
        <is>
          <t>18:30</t>
        </is>
      </c>
    </row>
    <row r="1660">
      <c r="A1660" t="inlineStr">
        <is>
          <t>西村 俊行</t>
        </is>
      </c>
      <c r="B1660" t="inlineStr">
        <is>
          <t>ZZZE101:【営】新規問合せ対応</t>
        </is>
      </c>
      <c r="D1660">
        <f>L1660</f>
        <v/>
      </c>
      <c r="E1660">
        <f>SUMIFS(J:J, G:G,             A1660, H:H, B1660, L:L, L1660)</f>
        <v/>
      </c>
      <c r="F1660" t="inlineStr">
        <is>
          <t>25</t>
        </is>
      </c>
      <c r="G1660" t="inlineStr">
        <is>
          <t>西村 俊行</t>
        </is>
      </c>
      <c r="H1660" t="inlineStr">
        <is>
          <t>ZZZE101:【営】新規問合せ対応</t>
        </is>
      </c>
      <c r="I1660" s="1" t="n">
        <v>45935</v>
      </c>
      <c r="J1660" t="n">
        <v>1.5</v>
      </c>
      <c r="L1660">
        <f>IFERROR(LEFT(K1660,             FIND(",", K1660) - 1), "-")</f>
        <v/>
      </c>
      <c r="M1660">
        <f>IFERROR(MID(K1660,             FIND(",", K1660) + 1, LEN(K1660) - FIND(",", K1660)), K1660)</f>
        <v/>
      </c>
      <c r="N1660" t="n">
        <v>4</v>
      </c>
      <c r="P1660" t="inlineStr">
        <is>
          <t>22:00</t>
        </is>
      </c>
      <c r="Q1660" t="inlineStr">
        <is>
          <t>23:30</t>
        </is>
      </c>
    </row>
    <row r="1661">
      <c r="A1661" t="inlineStr">
        <is>
          <t>西村 俊行</t>
        </is>
      </c>
      <c r="B1661" t="inlineStr">
        <is>
          <t>ZZZE101:【営】新規問合せ対応</t>
        </is>
      </c>
      <c r="D1661">
        <f>L1661</f>
        <v/>
      </c>
      <c r="E1661">
        <f>SUMIFS(J:J, G:G,             A1661, H:H, B1661, L:L, L1661)</f>
        <v/>
      </c>
      <c r="F1661" t="inlineStr">
        <is>
          <t>25</t>
        </is>
      </c>
      <c r="G1661" t="inlineStr">
        <is>
          <t>西村 俊行</t>
        </is>
      </c>
      <c r="H1661" t="inlineStr">
        <is>
          <t>ZZZE101:【営】新規問合せ対応</t>
        </is>
      </c>
      <c r="I1661" s="1" t="n">
        <v>45936</v>
      </c>
      <c r="J1661" t="n">
        <v>1.5</v>
      </c>
      <c r="L1661">
        <f>IFERROR(LEFT(K1661,             FIND(",", K1661) - 1), "-")</f>
        <v/>
      </c>
      <c r="M1661">
        <f>IFERROR(MID(K1661,             FIND(",", K1661) + 1, LEN(K1661) - FIND(",", K1661)), K1661)</f>
        <v/>
      </c>
      <c r="N1661" t="n">
        <v>4</v>
      </c>
      <c r="P1661" t="inlineStr">
        <is>
          <t>06:00</t>
        </is>
      </c>
      <c r="Q1661" t="inlineStr">
        <is>
          <t>07:30</t>
        </is>
      </c>
    </row>
    <row r="1662">
      <c r="A1662" t="inlineStr">
        <is>
          <t>西村 俊行</t>
        </is>
      </c>
      <c r="B1662" t="inlineStr">
        <is>
          <t>ZZZE101:【営】新規問合せ対応</t>
        </is>
      </c>
      <c r="D1662">
        <f>L1662</f>
        <v/>
      </c>
      <c r="E1662">
        <f>SUMIFS(J:J, G:G,             A1662, H:H, B1662, L:L, L1662)</f>
        <v/>
      </c>
      <c r="F1662" t="inlineStr">
        <is>
          <t>25</t>
        </is>
      </c>
      <c r="G1662" t="inlineStr">
        <is>
          <t>西村 俊行</t>
        </is>
      </c>
      <c r="H1662" t="inlineStr">
        <is>
          <t>ZZZE101:【営】新規問合せ対応</t>
        </is>
      </c>
      <c r="I1662" s="1" t="n">
        <v>45936</v>
      </c>
      <c r="J1662" t="n">
        <v>3</v>
      </c>
      <c r="L1662">
        <f>IFERROR(LEFT(K1662,             FIND(",", K1662) - 1), "-")</f>
        <v/>
      </c>
      <c r="M1662">
        <f>IFERROR(MID(K1662,             FIND(",", K1662) + 1, LEN(K1662) - FIND(",", K1662)), K1662)</f>
        <v/>
      </c>
      <c r="N1662" t="n">
        <v>4</v>
      </c>
      <c r="P1662" t="inlineStr">
        <is>
          <t>08:30</t>
        </is>
      </c>
      <c r="Q1662" t="inlineStr">
        <is>
          <t>11:30</t>
        </is>
      </c>
    </row>
    <row r="1663">
      <c r="A1663" t="inlineStr">
        <is>
          <t>西村 俊行</t>
        </is>
      </c>
      <c r="B1663" t="inlineStr">
        <is>
          <t>ZZZE101:【営】新規問合せ対応</t>
        </is>
      </c>
      <c r="D1663">
        <f>L1663</f>
        <v/>
      </c>
      <c r="E1663">
        <f>SUMIFS(J:J, G:G,             A1663, H:H, B1663, L:L, L1663)</f>
        <v/>
      </c>
      <c r="F1663" t="inlineStr">
        <is>
          <t>25</t>
        </is>
      </c>
      <c r="G1663" t="inlineStr">
        <is>
          <t>西村 俊行</t>
        </is>
      </c>
      <c r="H1663" t="inlineStr">
        <is>
          <t>ZZZE101:【営】新規問合せ対応</t>
        </is>
      </c>
      <c r="I1663" s="1" t="n">
        <v>45936</v>
      </c>
      <c r="J1663" t="n">
        <v>6.25</v>
      </c>
      <c r="L1663">
        <f>IFERROR(LEFT(K1663,             FIND(",", K1663) - 1), "-")</f>
        <v/>
      </c>
      <c r="M1663">
        <f>IFERROR(MID(K1663,             FIND(",", K1663) + 1, LEN(K1663) - FIND(",", K1663)), K1663)</f>
        <v/>
      </c>
      <c r="N1663" t="n">
        <v>4</v>
      </c>
      <c r="P1663" t="inlineStr">
        <is>
          <t>13:15</t>
        </is>
      </c>
      <c r="Q1663" t="inlineStr">
        <is>
          <t>19:30</t>
        </is>
      </c>
    </row>
    <row r="1664">
      <c r="A1664" t="inlineStr">
        <is>
          <t>西村 俊行</t>
        </is>
      </c>
      <c r="B1664" t="inlineStr">
        <is>
          <t>ZZZE101:【営】新規問合せ対応</t>
        </is>
      </c>
      <c r="D1664">
        <f>L1664</f>
        <v/>
      </c>
      <c r="E1664">
        <f>SUMIFS(J:J, G:G,             A1664, H:H, B1664, L:L, L1664)</f>
        <v/>
      </c>
      <c r="F1664" t="inlineStr">
        <is>
          <t>25</t>
        </is>
      </c>
      <c r="G1664" t="inlineStr">
        <is>
          <t>西村 俊行</t>
        </is>
      </c>
      <c r="H1664" t="inlineStr">
        <is>
          <t>ZZZE101:【営】新規問合せ対応</t>
        </is>
      </c>
      <c r="I1664" s="1" t="n">
        <v>45937</v>
      </c>
      <c r="J1664" t="n">
        <v>3.75</v>
      </c>
      <c r="L1664">
        <f>IFERROR(LEFT(K1664,             FIND(",", K1664) - 1), "-")</f>
        <v/>
      </c>
      <c r="M1664">
        <f>IFERROR(MID(K1664,             FIND(",", K1664) + 1, LEN(K1664) - FIND(",", K1664)), K1664)</f>
        <v/>
      </c>
      <c r="N1664" t="n">
        <v>4</v>
      </c>
      <c r="P1664" t="inlineStr">
        <is>
          <t>08:15</t>
        </is>
      </c>
      <c r="Q1664" t="inlineStr">
        <is>
          <t>12:00</t>
        </is>
      </c>
    </row>
    <row r="1665">
      <c r="A1665" t="inlineStr">
        <is>
          <t>西村 俊行</t>
        </is>
      </c>
      <c r="B1665" t="inlineStr">
        <is>
          <t>ZZZE101:【営】新規問合せ対応</t>
        </is>
      </c>
      <c r="D1665">
        <f>L1665</f>
        <v/>
      </c>
      <c r="E1665">
        <f>SUMIFS(J:J, G:G,             A1665, H:H, B1665, L:L, L1665)</f>
        <v/>
      </c>
      <c r="F1665" t="inlineStr">
        <is>
          <t>25</t>
        </is>
      </c>
      <c r="G1665" t="inlineStr">
        <is>
          <t>西村 俊行</t>
        </is>
      </c>
      <c r="H1665" t="inlineStr">
        <is>
          <t>ZZZE101:【営】新規問合せ対応</t>
        </is>
      </c>
      <c r="I1665" s="1" t="n">
        <v>45937</v>
      </c>
      <c r="J1665" t="n">
        <v>6</v>
      </c>
      <c r="L1665">
        <f>IFERROR(LEFT(K1665,             FIND(",", K1665) - 1), "-")</f>
        <v/>
      </c>
      <c r="M1665">
        <f>IFERROR(MID(K1665,             FIND(",", K1665) + 1, LEN(K1665) - FIND(",", K1665)), K1665)</f>
        <v/>
      </c>
      <c r="N1665" t="n">
        <v>4</v>
      </c>
      <c r="P1665" t="inlineStr">
        <is>
          <t>13:00</t>
        </is>
      </c>
      <c r="Q1665" t="inlineStr">
        <is>
          <t>19:00</t>
        </is>
      </c>
    </row>
    <row r="1666">
      <c r="A1666" t="inlineStr">
        <is>
          <t>西村 俊行</t>
        </is>
      </c>
      <c r="B1666" t="inlineStr">
        <is>
          <t>ZZZE101:【営】新規問合せ対応</t>
        </is>
      </c>
      <c r="D1666">
        <f>L1666</f>
        <v/>
      </c>
      <c r="E1666">
        <f>SUMIFS(J:J, G:G,             A1666, H:H, B1666, L:L, L1666)</f>
        <v/>
      </c>
      <c r="F1666" t="inlineStr">
        <is>
          <t>25</t>
        </is>
      </c>
      <c r="G1666" t="inlineStr">
        <is>
          <t>西村 俊行</t>
        </is>
      </c>
      <c r="H1666" t="inlineStr">
        <is>
          <t>ZZZE101:【営】新規問合せ対応</t>
        </is>
      </c>
      <c r="I1666" s="1" t="n">
        <v>45938</v>
      </c>
      <c r="J1666" t="n">
        <v>1</v>
      </c>
      <c r="L1666">
        <f>IFERROR(LEFT(K1666,             FIND(",", K1666) - 1), "-")</f>
        <v/>
      </c>
      <c r="M1666">
        <f>IFERROR(MID(K1666,             FIND(",", K1666) + 1, LEN(K1666) - FIND(",", K1666)), K1666)</f>
        <v/>
      </c>
      <c r="N1666" t="n">
        <v>4</v>
      </c>
      <c r="P1666" t="inlineStr">
        <is>
          <t>07:15</t>
        </is>
      </c>
      <c r="Q1666" t="inlineStr">
        <is>
          <t>08:15</t>
        </is>
      </c>
    </row>
    <row r="1667">
      <c r="A1667" t="inlineStr">
        <is>
          <t>西村 俊行</t>
        </is>
      </c>
      <c r="B1667" t="inlineStr">
        <is>
          <t>ZZZE101:【営】新規問合せ対応</t>
        </is>
      </c>
      <c r="D1667">
        <f>L1667</f>
        <v/>
      </c>
      <c r="E1667">
        <f>SUMIFS(J:J, G:G,             A1667, H:H, B1667, L:L, L1667)</f>
        <v/>
      </c>
      <c r="F1667" t="inlineStr">
        <is>
          <t>25</t>
        </is>
      </c>
      <c r="G1667" t="inlineStr">
        <is>
          <t>西村 俊行</t>
        </is>
      </c>
      <c r="H1667" t="inlineStr">
        <is>
          <t>ZZZE101:【営】新規問合せ対応</t>
        </is>
      </c>
      <c r="I1667" s="1" t="n">
        <v>45938</v>
      </c>
      <c r="J1667" t="n">
        <v>5</v>
      </c>
      <c r="L1667">
        <f>IFERROR(LEFT(K1667,             FIND(",", K1667) - 1), "-")</f>
        <v/>
      </c>
      <c r="M1667">
        <f>IFERROR(MID(K1667,             FIND(",", K1667) + 1, LEN(K1667) - FIND(",", K1667)), K1667)</f>
        <v/>
      </c>
      <c r="N1667" t="n">
        <v>4</v>
      </c>
      <c r="P1667" t="inlineStr">
        <is>
          <t>14:30</t>
        </is>
      </c>
      <c r="Q1667" t="inlineStr">
        <is>
          <t>19:30</t>
        </is>
      </c>
    </row>
    <row r="1668">
      <c r="A1668" t="inlineStr">
        <is>
          <t>西村 俊行</t>
        </is>
      </c>
      <c r="B1668" t="inlineStr">
        <is>
          <t>ZZZE101:【営】新規問合せ対応</t>
        </is>
      </c>
      <c r="D1668">
        <f>L1668</f>
        <v/>
      </c>
      <c r="E1668">
        <f>SUMIFS(J:J, G:G,             A1668, H:H, B1668, L:L, L1668)</f>
        <v/>
      </c>
      <c r="F1668" t="inlineStr">
        <is>
          <t>25</t>
        </is>
      </c>
      <c r="G1668" t="inlineStr">
        <is>
          <t>西村 俊行</t>
        </is>
      </c>
      <c r="H1668" t="inlineStr">
        <is>
          <t>ZZZE101:【営】新規問合せ対応</t>
        </is>
      </c>
      <c r="I1668" s="1" t="n">
        <v>45939</v>
      </c>
      <c r="J1668" t="n">
        <v>2.5</v>
      </c>
      <c r="L1668">
        <f>IFERROR(LEFT(K1668,             FIND(",", K1668) - 1), "-")</f>
        <v/>
      </c>
      <c r="M1668">
        <f>IFERROR(MID(K1668,             FIND(",", K1668) + 1, LEN(K1668) - FIND(",", K1668)), K1668)</f>
        <v/>
      </c>
      <c r="N1668" t="n">
        <v>4</v>
      </c>
      <c r="P1668" t="inlineStr">
        <is>
          <t>09:30</t>
        </is>
      </c>
      <c r="Q1668" t="inlineStr">
        <is>
          <t>12:00</t>
        </is>
      </c>
    </row>
    <row r="1669">
      <c r="A1669" t="inlineStr">
        <is>
          <t>西村 俊行</t>
        </is>
      </c>
      <c r="B1669" t="inlineStr">
        <is>
          <t>ZZZE101:【営】新規問合せ対応</t>
        </is>
      </c>
      <c r="D1669">
        <f>L1669</f>
        <v/>
      </c>
      <c r="E1669">
        <f>SUMIFS(J:J, G:G,             A1669, H:H, B1669, L:L, L1669)</f>
        <v/>
      </c>
      <c r="F1669" t="inlineStr">
        <is>
          <t>25</t>
        </is>
      </c>
      <c r="G1669" t="inlineStr">
        <is>
          <t>西村 俊行</t>
        </is>
      </c>
      <c r="H1669" t="inlineStr">
        <is>
          <t>ZZZE101:【営】新規問合せ対応</t>
        </is>
      </c>
      <c r="I1669" s="1" t="n">
        <v>45939</v>
      </c>
      <c r="J1669" t="n">
        <v>6.5</v>
      </c>
      <c r="L1669">
        <f>IFERROR(LEFT(K1669,             FIND(",", K1669) - 1), "-")</f>
        <v/>
      </c>
      <c r="M1669">
        <f>IFERROR(MID(K1669,             FIND(",", K1669) + 1, LEN(K1669) - FIND(",", K1669)), K1669)</f>
        <v/>
      </c>
      <c r="N1669" t="n">
        <v>4</v>
      </c>
      <c r="P1669" t="inlineStr">
        <is>
          <t>13:00</t>
        </is>
      </c>
      <c r="Q1669" t="inlineStr">
        <is>
          <t>19:30</t>
        </is>
      </c>
    </row>
    <row r="1670">
      <c r="A1670" t="inlineStr">
        <is>
          <t>西村 俊行</t>
        </is>
      </c>
      <c r="B1670" t="inlineStr">
        <is>
          <t>ZZZE101:【営】新規問合せ対応</t>
        </is>
      </c>
      <c r="D1670">
        <f>L1670</f>
        <v/>
      </c>
      <c r="E1670">
        <f>SUMIFS(J:J, G:G,             A1670, H:H, B1670, L:L, L1670)</f>
        <v/>
      </c>
      <c r="F1670" t="inlineStr">
        <is>
          <t>25</t>
        </is>
      </c>
      <c r="G1670" t="inlineStr">
        <is>
          <t>西村 俊行</t>
        </is>
      </c>
      <c r="H1670" t="inlineStr">
        <is>
          <t>ZZZE101:【営】新規問合せ対応</t>
        </is>
      </c>
      <c r="I1670" s="1" t="n">
        <v>45940</v>
      </c>
      <c r="J1670" t="n">
        <v>2.5</v>
      </c>
      <c r="L1670">
        <f>IFERROR(LEFT(K1670,             FIND(",", K1670) - 1), "-")</f>
        <v/>
      </c>
      <c r="M1670">
        <f>IFERROR(MID(K1670,             FIND(",", K1670) + 1, LEN(K1670) - FIND(",", K1670)), K1670)</f>
        <v/>
      </c>
      <c r="N1670" t="n">
        <v>4</v>
      </c>
      <c r="P1670" t="inlineStr">
        <is>
          <t>09:30</t>
        </is>
      </c>
      <c r="Q1670" t="inlineStr">
        <is>
          <t>12:00</t>
        </is>
      </c>
    </row>
    <row r="1671">
      <c r="A1671" t="inlineStr">
        <is>
          <t>西村 俊行</t>
        </is>
      </c>
      <c r="B1671" t="inlineStr">
        <is>
          <t>ZZZE101:【営】新規問合せ対応</t>
        </is>
      </c>
      <c r="D1671">
        <f>L1671</f>
        <v/>
      </c>
      <c r="E1671">
        <f>SUMIFS(J:J, G:G,             A1671, H:H, B1671, L:L, L1671)</f>
        <v/>
      </c>
      <c r="F1671" t="inlineStr">
        <is>
          <t>25</t>
        </is>
      </c>
      <c r="G1671" t="inlineStr">
        <is>
          <t>西村 俊行</t>
        </is>
      </c>
      <c r="H1671" t="inlineStr">
        <is>
          <t>ZZZE101:【営】新規問合せ対応</t>
        </is>
      </c>
      <c r="I1671" s="1" t="n">
        <v>45940</v>
      </c>
      <c r="J1671" t="n">
        <v>6.5</v>
      </c>
      <c r="L1671">
        <f>IFERROR(LEFT(K1671,             FIND(",", K1671) - 1), "-")</f>
        <v/>
      </c>
      <c r="M1671">
        <f>IFERROR(MID(K1671,             FIND(",", K1671) + 1, LEN(K1671) - FIND(",", K1671)), K1671)</f>
        <v/>
      </c>
      <c r="N1671" t="n">
        <v>4</v>
      </c>
      <c r="P1671" t="inlineStr">
        <is>
          <t>13:00</t>
        </is>
      </c>
      <c r="Q1671" t="inlineStr">
        <is>
          <t>19:30</t>
        </is>
      </c>
    </row>
    <row r="1672">
      <c r="A1672" t="inlineStr">
        <is>
          <t>西村 俊行</t>
        </is>
      </c>
      <c r="B1672" t="inlineStr">
        <is>
          <t>ZZZE101:【営】新規問合せ対応</t>
        </is>
      </c>
      <c r="D1672">
        <f>L1672</f>
        <v/>
      </c>
      <c r="E1672">
        <f>SUMIFS(J:J, G:G,             A1672, H:H, B1672, L:L, L1672)</f>
        <v/>
      </c>
      <c r="F1672" t="inlineStr">
        <is>
          <t>25</t>
        </is>
      </c>
      <c r="G1672" t="inlineStr">
        <is>
          <t>西村 俊行</t>
        </is>
      </c>
      <c r="H1672" t="inlineStr">
        <is>
          <t>ZZZE101:【営】新規問合せ対応</t>
        </is>
      </c>
      <c r="I1672" s="1" t="n">
        <v>45944</v>
      </c>
      <c r="J1672" t="n">
        <v>3</v>
      </c>
      <c r="L1672">
        <f>IFERROR(LEFT(K1672,             FIND(",", K1672) - 1), "-")</f>
        <v/>
      </c>
      <c r="M1672">
        <f>IFERROR(MID(K1672,             FIND(",", K1672) + 1, LEN(K1672) - FIND(",", K1672)), K1672)</f>
        <v/>
      </c>
      <c r="N1672" t="n">
        <v>4</v>
      </c>
      <c r="P1672" t="inlineStr">
        <is>
          <t>09:00</t>
        </is>
      </c>
      <c r="Q1672" t="inlineStr">
        <is>
          <t>12:00</t>
        </is>
      </c>
    </row>
    <row r="1673">
      <c r="A1673" t="inlineStr">
        <is>
          <t>西村 俊行</t>
        </is>
      </c>
      <c r="B1673" t="inlineStr">
        <is>
          <t>ZZZE101:【営】新規問合せ対応</t>
        </is>
      </c>
      <c r="D1673">
        <f>L1673</f>
        <v/>
      </c>
      <c r="E1673">
        <f>SUMIFS(J:J, G:G,             A1673, H:H, B1673, L:L, L1673)</f>
        <v/>
      </c>
      <c r="F1673" t="inlineStr">
        <is>
          <t>25</t>
        </is>
      </c>
      <c r="G1673" t="inlineStr">
        <is>
          <t>西村 俊行</t>
        </is>
      </c>
      <c r="H1673" t="inlineStr">
        <is>
          <t>ZZZE101:【営】新規問合せ対応</t>
        </is>
      </c>
      <c r="I1673" s="1" t="n">
        <v>45944</v>
      </c>
      <c r="J1673" t="n">
        <v>7.75</v>
      </c>
      <c r="L1673">
        <f>IFERROR(LEFT(K1673,             FIND(",", K1673) - 1), "-")</f>
        <v/>
      </c>
      <c r="M1673">
        <f>IFERROR(MID(K1673,             FIND(",", K1673) + 1, LEN(K1673) - FIND(",", K1673)), K1673)</f>
        <v/>
      </c>
      <c r="N1673" t="n">
        <v>4</v>
      </c>
      <c r="P1673" t="inlineStr">
        <is>
          <t>13:00</t>
        </is>
      </c>
      <c r="Q1673" t="inlineStr">
        <is>
          <t>20:45</t>
        </is>
      </c>
    </row>
    <row r="1674">
      <c r="A1674" t="inlineStr">
        <is>
          <t>西村 俊行</t>
        </is>
      </c>
      <c r="B1674" t="inlineStr">
        <is>
          <t>ZZZE101:【営】新規問合せ対応</t>
        </is>
      </c>
      <c r="D1674">
        <f>L1674</f>
        <v/>
      </c>
      <c r="E1674">
        <f>SUMIFS(J:J, G:G,             A1674, H:H, B1674, L:L, L1674)</f>
        <v/>
      </c>
      <c r="F1674" t="inlineStr">
        <is>
          <t>25</t>
        </is>
      </c>
      <c r="G1674" t="inlineStr">
        <is>
          <t>西村 俊行</t>
        </is>
      </c>
      <c r="H1674" t="inlineStr">
        <is>
          <t>ZZZE101:【営】新規問合せ対応</t>
        </is>
      </c>
      <c r="I1674" s="1" t="n">
        <v>45945</v>
      </c>
      <c r="J1674" t="n">
        <v>1.25</v>
      </c>
      <c r="L1674">
        <f>IFERROR(LEFT(K1674,             FIND(",", K1674) - 1), "-")</f>
        <v/>
      </c>
      <c r="M1674">
        <f>IFERROR(MID(K1674,             FIND(",", K1674) + 1, LEN(K1674) - FIND(",", K1674)), K1674)</f>
        <v/>
      </c>
      <c r="N1674" t="n">
        <v>4</v>
      </c>
      <c r="P1674" t="inlineStr">
        <is>
          <t>05:45</t>
        </is>
      </c>
      <c r="Q1674" t="inlineStr">
        <is>
          <t>07:00</t>
        </is>
      </c>
    </row>
    <row r="1675">
      <c r="A1675" t="inlineStr">
        <is>
          <t>西村 俊行</t>
        </is>
      </c>
      <c r="B1675" t="inlineStr">
        <is>
          <t>ZZZE101:【営】新規問合せ対応</t>
        </is>
      </c>
      <c r="D1675">
        <f>L1675</f>
        <v/>
      </c>
      <c r="E1675">
        <f>SUMIFS(J:J, G:G,             A1675, H:H, B1675, L:L, L1675)</f>
        <v/>
      </c>
      <c r="F1675" t="inlineStr">
        <is>
          <t>25</t>
        </is>
      </c>
      <c r="G1675" t="inlineStr">
        <is>
          <t>西村 俊行</t>
        </is>
      </c>
      <c r="H1675" t="inlineStr">
        <is>
          <t>ZZZE101:【営】新規問合せ対応</t>
        </is>
      </c>
      <c r="I1675" s="1" t="n">
        <v>45945</v>
      </c>
      <c r="J1675" t="n">
        <v>2.5</v>
      </c>
      <c r="L1675">
        <f>IFERROR(LEFT(K1675,             FIND(",", K1675) - 1), "-")</f>
        <v/>
      </c>
      <c r="M1675">
        <f>IFERROR(MID(K1675,             FIND(",", K1675) + 1, LEN(K1675) - FIND(",", K1675)), K1675)</f>
        <v/>
      </c>
      <c r="N1675" t="n">
        <v>4</v>
      </c>
      <c r="P1675" t="inlineStr">
        <is>
          <t>09:30</t>
        </is>
      </c>
      <c r="Q1675" t="inlineStr">
        <is>
          <t>12:00</t>
        </is>
      </c>
    </row>
    <row r="1676">
      <c r="A1676" t="inlineStr">
        <is>
          <t>西村 俊行</t>
        </is>
      </c>
      <c r="B1676" t="inlineStr">
        <is>
          <t>ZZZE101:【営】新規問合せ対応</t>
        </is>
      </c>
      <c r="D1676">
        <f>L1676</f>
        <v/>
      </c>
      <c r="E1676">
        <f>SUMIFS(J:J, G:G,             A1676, H:H, B1676, L:L, L1676)</f>
        <v/>
      </c>
      <c r="F1676" t="inlineStr">
        <is>
          <t>25</t>
        </is>
      </c>
      <c r="G1676" t="inlineStr">
        <is>
          <t>西村 俊行</t>
        </is>
      </c>
      <c r="H1676" t="inlineStr">
        <is>
          <t>ZZZE101:【営】新規問合せ対応</t>
        </is>
      </c>
      <c r="I1676" s="1" t="n">
        <v>45945</v>
      </c>
      <c r="J1676" t="n">
        <v>6.5</v>
      </c>
      <c r="L1676">
        <f>IFERROR(LEFT(K1676,             FIND(",", K1676) - 1), "-")</f>
        <v/>
      </c>
      <c r="M1676">
        <f>IFERROR(MID(K1676,             FIND(",", K1676) + 1, LEN(K1676) - FIND(",", K1676)), K1676)</f>
        <v/>
      </c>
      <c r="N1676" t="n">
        <v>4</v>
      </c>
      <c r="P1676" t="inlineStr">
        <is>
          <t>13:00</t>
        </is>
      </c>
      <c r="Q1676" t="inlineStr">
        <is>
          <t>19:30</t>
        </is>
      </c>
    </row>
    <row r="1677">
      <c r="A1677" t="inlineStr">
        <is>
          <t>西村 俊行</t>
        </is>
      </c>
      <c r="B1677" t="inlineStr">
        <is>
          <t>ZZZE101:【営】新規問合せ対応</t>
        </is>
      </c>
      <c r="D1677">
        <f>L1677</f>
        <v/>
      </c>
      <c r="E1677">
        <f>SUMIFS(J:J, G:G,             A1677, H:H, B1677, L:L, L1677)</f>
        <v/>
      </c>
      <c r="F1677" t="inlineStr">
        <is>
          <t>25</t>
        </is>
      </c>
      <c r="G1677" t="inlineStr">
        <is>
          <t>西村 俊行</t>
        </is>
      </c>
      <c r="H1677" t="inlineStr">
        <is>
          <t>ZZZE101:【営】新規問合せ対応</t>
        </is>
      </c>
      <c r="I1677" s="1" t="n">
        <v>45946</v>
      </c>
      <c r="J1677" t="n">
        <v>2.5</v>
      </c>
      <c r="L1677">
        <f>IFERROR(LEFT(K1677,             FIND(",", K1677) - 1), "-")</f>
        <v/>
      </c>
      <c r="M1677">
        <f>IFERROR(MID(K1677,             FIND(",", K1677) + 1, LEN(K1677) - FIND(",", K1677)), K1677)</f>
        <v/>
      </c>
      <c r="N1677" t="n">
        <v>4</v>
      </c>
      <c r="P1677" t="inlineStr">
        <is>
          <t>09:30</t>
        </is>
      </c>
      <c r="Q1677" t="inlineStr">
        <is>
          <t>12:00</t>
        </is>
      </c>
    </row>
    <row r="1678">
      <c r="A1678" t="inlineStr">
        <is>
          <t>西村 俊行</t>
        </is>
      </c>
      <c r="B1678" t="inlineStr">
        <is>
          <t>ZZZE101:【営】新規問合せ対応</t>
        </is>
      </c>
      <c r="D1678">
        <f>L1678</f>
        <v/>
      </c>
      <c r="E1678">
        <f>SUMIFS(J:J, G:G,             A1678, H:H, B1678, L:L, L1678)</f>
        <v/>
      </c>
      <c r="F1678" t="inlineStr">
        <is>
          <t>25</t>
        </is>
      </c>
      <c r="G1678" t="inlineStr">
        <is>
          <t>西村 俊行</t>
        </is>
      </c>
      <c r="H1678" t="inlineStr">
        <is>
          <t>ZZZE101:【営】新規問合せ対応</t>
        </is>
      </c>
      <c r="I1678" s="1" t="n">
        <v>45946</v>
      </c>
      <c r="J1678" t="n">
        <v>6.5</v>
      </c>
      <c r="L1678">
        <f>IFERROR(LEFT(K1678,             FIND(",", K1678) - 1), "-")</f>
        <v/>
      </c>
      <c r="M1678">
        <f>IFERROR(MID(K1678,             FIND(",", K1678) + 1, LEN(K1678) - FIND(",", K1678)), K1678)</f>
        <v/>
      </c>
      <c r="N1678" t="n">
        <v>4</v>
      </c>
      <c r="P1678" t="inlineStr">
        <is>
          <t>13:00</t>
        </is>
      </c>
      <c r="Q1678" t="inlineStr">
        <is>
          <t>19:30</t>
        </is>
      </c>
    </row>
    <row r="1679">
      <c r="A1679" t="inlineStr">
        <is>
          <t>西村 俊行</t>
        </is>
      </c>
      <c r="B1679" t="inlineStr">
        <is>
          <t>ZZZE101:【営】新規問合せ対応</t>
        </is>
      </c>
      <c r="D1679">
        <f>L1679</f>
        <v/>
      </c>
      <c r="E1679">
        <f>SUMIFS(J:J, G:G,             A1679, H:H, B1679, L:L, L1679)</f>
        <v/>
      </c>
      <c r="F1679" t="inlineStr">
        <is>
          <t>25</t>
        </is>
      </c>
      <c r="G1679" t="inlineStr">
        <is>
          <t>西村 俊行</t>
        </is>
      </c>
      <c r="H1679" t="inlineStr">
        <is>
          <t>ZZZE101:【営】新規問合せ対応</t>
        </is>
      </c>
      <c r="I1679" s="1" t="n">
        <v>45947</v>
      </c>
      <c r="J1679" t="n">
        <v>2.5</v>
      </c>
      <c r="L1679">
        <f>IFERROR(LEFT(K1679,             FIND(",", K1679) - 1), "-")</f>
        <v/>
      </c>
      <c r="M1679">
        <f>IFERROR(MID(K1679,             FIND(",", K1679) + 1, LEN(K1679) - FIND(",", K1679)), K1679)</f>
        <v/>
      </c>
      <c r="N1679" t="n">
        <v>4</v>
      </c>
      <c r="P1679" t="inlineStr">
        <is>
          <t>09:30</t>
        </is>
      </c>
      <c r="Q1679" t="inlineStr">
        <is>
          <t>12:00</t>
        </is>
      </c>
    </row>
    <row r="1680">
      <c r="A1680" t="inlineStr">
        <is>
          <t>西村 俊行</t>
        </is>
      </c>
      <c r="B1680" t="inlineStr">
        <is>
          <t>ZZZE101:【営】新規問合せ対応</t>
        </is>
      </c>
      <c r="D1680">
        <f>L1680</f>
        <v/>
      </c>
      <c r="E1680">
        <f>SUMIFS(J:J, G:G,             A1680, H:H, B1680, L:L, L1680)</f>
        <v/>
      </c>
      <c r="F1680" t="inlineStr">
        <is>
          <t>25</t>
        </is>
      </c>
      <c r="G1680" t="inlineStr">
        <is>
          <t>西村 俊行</t>
        </is>
      </c>
      <c r="H1680" t="inlineStr">
        <is>
          <t>ZZZE101:【営】新規問合せ対応</t>
        </is>
      </c>
      <c r="I1680" s="1" t="n">
        <v>45947</v>
      </c>
      <c r="J1680" t="n">
        <v>6.5</v>
      </c>
      <c r="L1680">
        <f>IFERROR(LEFT(K1680,             FIND(",", K1680) - 1), "-")</f>
        <v/>
      </c>
      <c r="M1680">
        <f>IFERROR(MID(K1680,             FIND(",", K1680) + 1, LEN(K1680) - FIND(",", K1680)), K1680)</f>
        <v/>
      </c>
      <c r="N1680" t="n">
        <v>4</v>
      </c>
      <c r="P1680" t="inlineStr">
        <is>
          <t>13:00</t>
        </is>
      </c>
      <c r="Q1680" t="inlineStr">
        <is>
          <t>19:30</t>
        </is>
      </c>
    </row>
    <row r="1681">
      <c r="A1681" t="inlineStr">
        <is>
          <t>西村 俊行</t>
        </is>
      </c>
      <c r="B1681" t="inlineStr">
        <is>
          <t>ZZZE101:【営】新規問合せ対応</t>
        </is>
      </c>
      <c r="D1681">
        <f>L1681</f>
        <v/>
      </c>
      <c r="E1681">
        <f>SUMIFS(J:J, G:G,             A1681, H:H, B1681, L:L, L1681)</f>
        <v/>
      </c>
      <c r="F1681" t="inlineStr">
        <is>
          <t>25</t>
        </is>
      </c>
      <c r="G1681" t="inlineStr">
        <is>
          <t>西村 俊行</t>
        </is>
      </c>
      <c r="H1681" t="inlineStr">
        <is>
          <t>ZZZE101:【営】新規問合せ対応</t>
        </is>
      </c>
      <c r="I1681" s="1" t="n">
        <v>45948</v>
      </c>
      <c r="J1681" t="n">
        <v>0.5</v>
      </c>
      <c r="L1681">
        <f>IFERROR(LEFT(K1681,             FIND(",", K1681) - 1), "-")</f>
        <v/>
      </c>
      <c r="M1681">
        <f>IFERROR(MID(K1681,             FIND(",", K1681) + 1, LEN(K1681) - FIND(",", K1681)), K1681)</f>
        <v/>
      </c>
      <c r="N1681" t="n">
        <v>4</v>
      </c>
      <c r="P1681" t="inlineStr">
        <is>
          <t>01:00</t>
        </is>
      </c>
      <c r="Q1681" t="inlineStr">
        <is>
          <t>01:30</t>
        </is>
      </c>
    </row>
    <row r="1682">
      <c r="A1682" t="inlineStr">
        <is>
          <t>西村 俊行</t>
        </is>
      </c>
      <c r="B1682" t="inlineStr">
        <is>
          <t>ZZZE101:【営】新規問合せ対応</t>
        </is>
      </c>
      <c r="D1682">
        <f>L1682</f>
        <v/>
      </c>
      <c r="E1682">
        <f>SUMIFS(J:J, G:G,             A1682, H:H, B1682, L:L, L1682)</f>
        <v/>
      </c>
      <c r="F1682" t="inlineStr">
        <is>
          <t>25</t>
        </is>
      </c>
      <c r="G1682" t="inlineStr">
        <is>
          <t>西村 俊行</t>
        </is>
      </c>
      <c r="H1682" t="inlineStr">
        <is>
          <t>ZZZE101:【営】新規問合せ対応</t>
        </is>
      </c>
      <c r="I1682" s="1" t="n">
        <v>45950</v>
      </c>
      <c r="J1682" t="n">
        <v>3</v>
      </c>
      <c r="L1682">
        <f>IFERROR(LEFT(K1682,             FIND(",", K1682) - 1), "-")</f>
        <v/>
      </c>
      <c r="M1682">
        <f>IFERROR(MID(K1682,             FIND(",", K1682) + 1, LEN(K1682) - FIND(",", K1682)), K1682)</f>
        <v/>
      </c>
      <c r="N1682" t="n">
        <v>4</v>
      </c>
      <c r="P1682" t="inlineStr">
        <is>
          <t>09:00</t>
        </is>
      </c>
      <c r="Q1682" t="inlineStr">
        <is>
          <t>12:00</t>
        </is>
      </c>
    </row>
    <row r="1683">
      <c r="A1683" t="inlineStr">
        <is>
          <t>西村 俊行</t>
        </is>
      </c>
      <c r="B1683" t="inlineStr">
        <is>
          <t>ZZZE101:【営】新規問合せ対応</t>
        </is>
      </c>
      <c r="D1683">
        <f>L1683</f>
        <v/>
      </c>
      <c r="E1683">
        <f>SUMIFS(J:J, G:G,             A1683, H:H, B1683, L:L, L1683)</f>
        <v/>
      </c>
      <c r="F1683" t="inlineStr">
        <is>
          <t>25</t>
        </is>
      </c>
      <c r="G1683" t="inlineStr">
        <is>
          <t>西村 俊行</t>
        </is>
      </c>
      <c r="H1683" t="inlineStr">
        <is>
          <t>ZZZE101:【営】新規問合せ対応</t>
        </is>
      </c>
      <c r="I1683" s="1" t="n">
        <v>45950</v>
      </c>
      <c r="J1683" t="n">
        <v>8</v>
      </c>
      <c r="L1683">
        <f>IFERROR(LEFT(K1683,             FIND(",", K1683) - 1), "-")</f>
        <v/>
      </c>
      <c r="M1683">
        <f>IFERROR(MID(K1683,             FIND(",", K1683) + 1, LEN(K1683) - FIND(",", K1683)), K1683)</f>
        <v/>
      </c>
      <c r="N1683" t="n">
        <v>4</v>
      </c>
      <c r="P1683" t="inlineStr">
        <is>
          <t>13:00</t>
        </is>
      </c>
      <c r="Q1683" t="inlineStr">
        <is>
          <t>21:00</t>
        </is>
      </c>
    </row>
    <row r="1684">
      <c r="A1684" t="inlineStr">
        <is>
          <t>西村 俊行</t>
        </is>
      </c>
      <c r="B1684" t="inlineStr">
        <is>
          <t>ZZZE101:【営】新規問合せ対応</t>
        </is>
      </c>
      <c r="D1684">
        <f>L1684</f>
        <v/>
      </c>
      <c r="E1684">
        <f>SUMIFS(J:J, G:G,             A1684, H:H, B1684, L:L, L1684)</f>
        <v/>
      </c>
      <c r="F1684" t="inlineStr">
        <is>
          <t>25</t>
        </is>
      </c>
      <c r="G1684" t="inlineStr">
        <is>
          <t>西村 俊行</t>
        </is>
      </c>
      <c r="H1684" t="inlineStr">
        <is>
          <t>ZZZE101:【営】新規問合せ対応</t>
        </is>
      </c>
      <c r="I1684" s="1" t="n">
        <v>45951</v>
      </c>
      <c r="J1684" t="n">
        <v>2.5</v>
      </c>
      <c r="L1684">
        <f>IFERROR(LEFT(K1684,             FIND(",", K1684) - 1), "-")</f>
        <v/>
      </c>
      <c r="M1684">
        <f>IFERROR(MID(K1684,             FIND(",", K1684) + 1, LEN(K1684) - FIND(",", K1684)), K1684)</f>
        <v/>
      </c>
      <c r="N1684" t="n">
        <v>4</v>
      </c>
      <c r="P1684" t="inlineStr">
        <is>
          <t>09:30</t>
        </is>
      </c>
      <c r="Q1684" t="inlineStr">
        <is>
          <t>12:00</t>
        </is>
      </c>
    </row>
    <row r="1685">
      <c r="A1685" t="inlineStr">
        <is>
          <t>西村 俊行</t>
        </is>
      </c>
      <c r="B1685" t="inlineStr">
        <is>
          <t>ZZZE101:【営】新規問合せ対応</t>
        </is>
      </c>
      <c r="D1685">
        <f>L1685</f>
        <v/>
      </c>
      <c r="E1685">
        <f>SUMIFS(J:J, G:G,             A1685, H:H, B1685, L:L, L1685)</f>
        <v/>
      </c>
      <c r="F1685" t="inlineStr">
        <is>
          <t>25</t>
        </is>
      </c>
      <c r="G1685" t="inlineStr">
        <is>
          <t>西村 俊行</t>
        </is>
      </c>
      <c r="H1685" t="inlineStr">
        <is>
          <t>ZZZE101:【営】新規問合せ対応</t>
        </is>
      </c>
      <c r="I1685" s="1" t="n">
        <v>45951</v>
      </c>
      <c r="J1685" t="n">
        <v>6.5</v>
      </c>
      <c r="L1685">
        <f>IFERROR(LEFT(K1685,             FIND(",", K1685) - 1), "-")</f>
        <v/>
      </c>
      <c r="M1685">
        <f>IFERROR(MID(K1685,             FIND(",", K1685) + 1, LEN(K1685) - FIND(",", K1685)), K1685)</f>
        <v/>
      </c>
      <c r="N1685" t="n">
        <v>4</v>
      </c>
      <c r="P1685" t="inlineStr">
        <is>
          <t>13:00</t>
        </is>
      </c>
      <c r="Q1685" t="inlineStr">
        <is>
          <t>19:30</t>
        </is>
      </c>
    </row>
    <row r="1686">
      <c r="A1686" t="inlineStr">
        <is>
          <t>鈴木 十五</t>
        </is>
      </c>
      <c r="B1686" t="inlineStr">
        <is>
          <t>TCNZ001:社内業務等</t>
        </is>
      </c>
      <c r="C1686">
        <f>SUMIFS(J:J, G:G,             A1686, H:H, B1686)</f>
        <v/>
      </c>
      <c r="D1686">
        <f>L1686</f>
        <v/>
      </c>
      <c r="E1686">
        <f>SUMIFS(J:J, G:G,             A1686, H:H, B1686, L:L, L1686)</f>
        <v/>
      </c>
      <c r="F1686" t="inlineStr">
        <is>
          <t>39</t>
        </is>
      </c>
      <c r="G1686" t="inlineStr">
        <is>
          <t>鈴木 十五</t>
        </is>
      </c>
      <c r="H1686" t="inlineStr">
        <is>
          <t>TCNZ001:社内業務等</t>
        </is>
      </c>
      <c r="I1686" s="1" t="n">
        <v>45933</v>
      </c>
      <c r="J1686" t="n">
        <v>1</v>
      </c>
      <c r="L1686">
        <f>IFERROR(LEFT(K1686,             FIND(",", K1686) - 1), "-")</f>
        <v/>
      </c>
      <c r="M1686">
        <f>IFERROR(MID(K1686,             FIND(",", K1686) + 1, LEN(K1686) - FIND(",", K1686)), K1686)</f>
        <v/>
      </c>
      <c r="N1686" t="n">
        <v>5</v>
      </c>
      <c r="P1686" t="inlineStr">
        <is>
          <t>17:00</t>
        </is>
      </c>
      <c r="Q1686" t="inlineStr">
        <is>
          <t>18:00</t>
        </is>
      </c>
    </row>
    <row r="1687">
      <c r="A1687" t="inlineStr">
        <is>
          <t>鈴木 十五</t>
        </is>
      </c>
      <c r="B1687" t="inlineStr">
        <is>
          <t>TCNZ001:社内業務等</t>
        </is>
      </c>
      <c r="D1687">
        <f>L1687</f>
        <v/>
      </c>
      <c r="E1687">
        <f>SUMIFS(J:J, G:G,             A1687, H:H, B1687, L:L, L1687)</f>
        <v/>
      </c>
      <c r="F1687" t="inlineStr">
        <is>
          <t>39</t>
        </is>
      </c>
      <c r="G1687" t="inlineStr">
        <is>
          <t>鈴木 十五</t>
        </is>
      </c>
      <c r="H1687" t="inlineStr">
        <is>
          <t>TCNZ001:社内業務等</t>
        </is>
      </c>
      <c r="I1687" s="1" t="n">
        <v>45953</v>
      </c>
      <c r="J1687" t="n">
        <v>0.25</v>
      </c>
      <c r="L1687">
        <f>IFERROR(LEFT(K1687,             FIND(",", K1687) - 1), "-")</f>
        <v/>
      </c>
      <c r="M1687">
        <f>IFERROR(MID(K1687,             FIND(",", K1687) + 1, LEN(K1687) - FIND(",", K1687)), K1687)</f>
        <v/>
      </c>
      <c r="N1687" t="n">
        <v>5</v>
      </c>
      <c r="P1687" t="inlineStr">
        <is>
          <t>16:30</t>
        </is>
      </c>
      <c r="Q1687" t="inlineStr">
        <is>
          <t>16:45</t>
        </is>
      </c>
    </row>
    <row r="1688">
      <c r="A1688" t="inlineStr">
        <is>
          <t>鈴木 十五</t>
        </is>
      </c>
      <c r="B1688" t="inlineStr">
        <is>
          <t>TCNz004:新SMS開発</t>
        </is>
      </c>
      <c r="C1688">
        <f>SUMIFS(J:J, G:G,             A1688, H:H, B1688)</f>
        <v/>
      </c>
      <c r="D1688">
        <f>L1688</f>
        <v/>
      </c>
      <c r="E1688">
        <f>SUMIFS(J:J, G:G,             A1688, H:H, B1688, L:L, L1688)</f>
        <v/>
      </c>
      <c r="F1688" t="inlineStr">
        <is>
          <t>39</t>
        </is>
      </c>
      <c r="G1688" t="inlineStr">
        <is>
          <t>鈴木 十五</t>
        </is>
      </c>
      <c r="H1688" t="inlineStr">
        <is>
          <t>TCNz004:新SMS開発</t>
        </is>
      </c>
      <c r="I1688" s="1" t="n">
        <v>45932</v>
      </c>
      <c r="J1688" t="n">
        <v>0.25</v>
      </c>
      <c r="L1688">
        <f>IFERROR(LEFT(K1688,             FIND(",", K1688) - 1), "-")</f>
        <v/>
      </c>
      <c r="M1688">
        <f>IFERROR(MID(K1688,             FIND(",", K1688) + 1, LEN(K1688) - FIND(",", K1688)), K1688)</f>
        <v/>
      </c>
      <c r="N1688" t="n">
        <v>5</v>
      </c>
      <c r="P1688" t="inlineStr">
        <is>
          <t>17:45</t>
        </is>
      </c>
      <c r="Q1688" t="inlineStr">
        <is>
          <t>18:00</t>
        </is>
      </c>
    </row>
    <row r="1689">
      <c r="A1689" t="inlineStr">
        <is>
          <t>鈴木 十五</t>
        </is>
      </c>
      <c r="B1689" t="inlineStr">
        <is>
          <t>TCNz004:新SMS開発</t>
        </is>
      </c>
      <c r="D1689">
        <f>L1689</f>
        <v/>
      </c>
      <c r="E1689">
        <f>SUMIFS(J:J, G:G,             A1689, H:H, B1689, L:L, L1689)</f>
        <v/>
      </c>
      <c r="F1689" t="inlineStr">
        <is>
          <t>39</t>
        </is>
      </c>
      <c r="G1689" t="inlineStr">
        <is>
          <t>鈴木 十五</t>
        </is>
      </c>
      <c r="H1689" t="inlineStr">
        <is>
          <t>TCNz004:新SMS開発</t>
        </is>
      </c>
      <c r="I1689" s="1" t="n">
        <v>45933</v>
      </c>
      <c r="J1689" t="n">
        <v>3</v>
      </c>
      <c r="L1689">
        <f>IFERROR(LEFT(K1689,             FIND(",", K1689) - 1), "-")</f>
        <v/>
      </c>
      <c r="M1689">
        <f>IFERROR(MID(K1689,             FIND(",", K1689) + 1, LEN(K1689) - FIND(",", K1689)), K1689)</f>
        <v/>
      </c>
      <c r="N1689" t="n">
        <v>5</v>
      </c>
      <c r="P1689" t="inlineStr">
        <is>
          <t>09:00</t>
        </is>
      </c>
      <c r="Q1689" t="inlineStr">
        <is>
          <t>12:00</t>
        </is>
      </c>
    </row>
    <row r="1690">
      <c r="A1690" t="inlineStr">
        <is>
          <t>鈴木 十五</t>
        </is>
      </c>
      <c r="B1690" t="inlineStr">
        <is>
          <t>TCNz004:新SMS開発</t>
        </is>
      </c>
      <c r="D1690">
        <f>L1690</f>
        <v/>
      </c>
      <c r="E1690">
        <f>SUMIFS(J:J, G:G,             A1690, H:H, B1690, L:L, L1690)</f>
        <v/>
      </c>
      <c r="F1690" t="inlineStr">
        <is>
          <t>39</t>
        </is>
      </c>
      <c r="G1690" t="inlineStr">
        <is>
          <t>鈴木 十五</t>
        </is>
      </c>
      <c r="H1690" t="inlineStr">
        <is>
          <t>TCNz004:新SMS開発</t>
        </is>
      </c>
      <c r="I1690" s="1" t="n">
        <v>45933</v>
      </c>
      <c r="J1690" t="n">
        <v>4</v>
      </c>
      <c r="L1690">
        <f>IFERROR(LEFT(K1690,             FIND(",", K1690) - 1), "-")</f>
        <v/>
      </c>
      <c r="M1690">
        <f>IFERROR(MID(K1690,             FIND(",", K1690) + 1, LEN(K1690) - FIND(",", K1690)), K1690)</f>
        <v/>
      </c>
      <c r="N1690" t="n">
        <v>5</v>
      </c>
      <c r="P1690" t="inlineStr">
        <is>
          <t>13:00</t>
        </is>
      </c>
      <c r="Q1690" t="inlineStr">
        <is>
          <t>17:00</t>
        </is>
      </c>
    </row>
    <row r="1691">
      <c r="A1691" t="inlineStr">
        <is>
          <t>鈴木 十五</t>
        </is>
      </c>
      <c r="B1691" t="inlineStr">
        <is>
          <t>TCNz004:新SMS開発</t>
        </is>
      </c>
      <c r="D1691">
        <f>L1691</f>
        <v/>
      </c>
      <c r="E1691">
        <f>SUMIFS(J:J, G:G,             A1691, H:H, B1691, L:L, L1691)</f>
        <v/>
      </c>
      <c r="F1691" t="inlineStr">
        <is>
          <t>39</t>
        </is>
      </c>
      <c r="G1691" t="inlineStr">
        <is>
          <t>鈴木 十五</t>
        </is>
      </c>
      <c r="H1691" t="inlineStr">
        <is>
          <t>TCNz004:新SMS開発</t>
        </is>
      </c>
      <c r="I1691" s="1" t="n">
        <v>45936</v>
      </c>
      <c r="J1691" t="n">
        <v>3</v>
      </c>
      <c r="L1691">
        <f>IFERROR(LEFT(K1691,             FIND(",", K1691) - 1), "-")</f>
        <v/>
      </c>
      <c r="M1691">
        <f>IFERROR(MID(K1691,             FIND(",", K1691) + 1, LEN(K1691) - FIND(",", K1691)), K1691)</f>
        <v/>
      </c>
      <c r="N1691" t="n">
        <v>5</v>
      </c>
      <c r="P1691" t="inlineStr">
        <is>
          <t>09:00</t>
        </is>
      </c>
      <c r="Q1691" t="inlineStr">
        <is>
          <t>12:00</t>
        </is>
      </c>
    </row>
    <row r="1692">
      <c r="A1692" t="inlineStr">
        <is>
          <t>鈴木 十五</t>
        </is>
      </c>
      <c r="B1692" t="inlineStr">
        <is>
          <t>TCNz004:新SMS開発</t>
        </is>
      </c>
      <c r="D1692">
        <f>L1692</f>
        <v/>
      </c>
      <c r="E1692">
        <f>SUMIFS(J:J, G:G,             A1692, H:H, B1692, L:L, L1692)</f>
        <v/>
      </c>
      <c r="F1692" t="inlineStr">
        <is>
          <t>39</t>
        </is>
      </c>
      <c r="G1692" t="inlineStr">
        <is>
          <t>鈴木 十五</t>
        </is>
      </c>
      <c r="H1692" t="inlineStr">
        <is>
          <t>TCNz004:新SMS開発</t>
        </is>
      </c>
      <c r="I1692" s="1" t="n">
        <v>45936</v>
      </c>
      <c r="J1692" t="n">
        <v>2.5</v>
      </c>
      <c r="L1692">
        <f>IFERROR(LEFT(K1692,             FIND(",", K1692) - 1), "-")</f>
        <v/>
      </c>
      <c r="M1692">
        <f>IFERROR(MID(K1692,             FIND(",", K1692) + 1, LEN(K1692) - FIND(",", K1692)), K1692)</f>
        <v/>
      </c>
      <c r="N1692" t="n">
        <v>5</v>
      </c>
      <c r="P1692" t="inlineStr">
        <is>
          <t>13:00</t>
        </is>
      </c>
      <c r="Q1692" t="inlineStr">
        <is>
          <t>15:30</t>
        </is>
      </c>
    </row>
    <row r="1693">
      <c r="A1693" t="inlineStr">
        <is>
          <t>鈴木 十五</t>
        </is>
      </c>
      <c r="B1693" t="inlineStr">
        <is>
          <t>TCNz004:新SMS開発</t>
        </is>
      </c>
      <c r="D1693">
        <f>L1693</f>
        <v/>
      </c>
      <c r="E1693">
        <f>SUMIFS(J:J, G:G,             A1693, H:H, B1693, L:L, L1693)</f>
        <v/>
      </c>
      <c r="F1693" t="inlineStr">
        <is>
          <t>39</t>
        </is>
      </c>
      <c r="G1693" t="inlineStr">
        <is>
          <t>鈴木 十五</t>
        </is>
      </c>
      <c r="H1693" t="inlineStr">
        <is>
          <t>TCNz004:新SMS開発</t>
        </is>
      </c>
      <c r="I1693" s="1" t="n">
        <v>45937</v>
      </c>
      <c r="J1693" t="n">
        <v>2</v>
      </c>
      <c r="L1693">
        <f>IFERROR(LEFT(K1693,             FIND(",", K1693) - 1), "-")</f>
        <v/>
      </c>
      <c r="M1693">
        <f>IFERROR(MID(K1693,             FIND(",", K1693) + 1, LEN(K1693) - FIND(",", K1693)), K1693)</f>
        <v/>
      </c>
      <c r="N1693" t="n">
        <v>5</v>
      </c>
      <c r="P1693" t="inlineStr">
        <is>
          <t>10:00</t>
        </is>
      </c>
      <c r="Q1693" t="inlineStr">
        <is>
          <t>12:00</t>
        </is>
      </c>
    </row>
    <row r="1694">
      <c r="A1694" t="inlineStr">
        <is>
          <t>鈴木 十五</t>
        </is>
      </c>
      <c r="B1694" t="inlineStr">
        <is>
          <t>TCNz004:新SMS開発</t>
        </is>
      </c>
      <c r="D1694">
        <f>L1694</f>
        <v/>
      </c>
      <c r="E1694">
        <f>SUMIFS(J:J, G:G,             A1694, H:H, B1694, L:L, L1694)</f>
        <v/>
      </c>
      <c r="F1694" t="inlineStr">
        <is>
          <t>39</t>
        </is>
      </c>
      <c r="G1694" t="inlineStr">
        <is>
          <t>鈴木 十五</t>
        </is>
      </c>
      <c r="H1694" t="inlineStr">
        <is>
          <t>TCNz004:新SMS開発</t>
        </is>
      </c>
      <c r="I1694" s="1" t="n">
        <v>45937</v>
      </c>
      <c r="J1694" t="n">
        <v>5</v>
      </c>
      <c r="L1694">
        <f>IFERROR(LEFT(K1694,             FIND(",", K1694) - 1), "-")</f>
        <v/>
      </c>
      <c r="M1694">
        <f>IFERROR(MID(K1694,             FIND(",", K1694) + 1, LEN(K1694) - FIND(",", K1694)), K1694)</f>
        <v/>
      </c>
      <c r="N1694" t="n">
        <v>5</v>
      </c>
      <c r="P1694" t="inlineStr">
        <is>
          <t>13:00</t>
        </is>
      </c>
      <c r="Q1694" t="inlineStr">
        <is>
          <t>18:00</t>
        </is>
      </c>
    </row>
    <row r="1695">
      <c r="A1695" t="inlineStr">
        <is>
          <t>鈴木 十五</t>
        </is>
      </c>
      <c r="B1695" t="inlineStr">
        <is>
          <t>TCNz004:新SMS開発</t>
        </is>
      </c>
      <c r="D1695">
        <f>L1695</f>
        <v/>
      </c>
      <c r="E1695">
        <f>SUMIFS(J:J, G:G,             A1695, H:H, B1695, L:L, L1695)</f>
        <v/>
      </c>
      <c r="F1695" t="inlineStr">
        <is>
          <t>39</t>
        </is>
      </c>
      <c r="G1695" t="inlineStr">
        <is>
          <t>鈴木 十五</t>
        </is>
      </c>
      <c r="H1695" t="inlineStr">
        <is>
          <t>TCNz004:新SMS開発</t>
        </is>
      </c>
      <c r="I1695" s="1" t="n">
        <v>45938</v>
      </c>
      <c r="J1695" t="n">
        <v>3</v>
      </c>
      <c r="L1695">
        <f>IFERROR(LEFT(K1695,             FIND(",", K1695) - 1), "-")</f>
        <v/>
      </c>
      <c r="M1695">
        <f>IFERROR(MID(K1695,             FIND(",", K1695) + 1, LEN(K1695) - FIND(",", K1695)), K1695)</f>
        <v/>
      </c>
      <c r="N1695" t="n">
        <v>5</v>
      </c>
      <c r="P1695" t="inlineStr">
        <is>
          <t>09:00</t>
        </is>
      </c>
      <c r="Q1695" t="inlineStr">
        <is>
          <t>12:00</t>
        </is>
      </c>
    </row>
    <row r="1696">
      <c r="A1696" t="inlineStr">
        <is>
          <t>鈴木 十五</t>
        </is>
      </c>
      <c r="B1696" t="inlineStr">
        <is>
          <t>TCNz004:新SMS開発</t>
        </is>
      </c>
      <c r="D1696">
        <f>L1696</f>
        <v/>
      </c>
      <c r="E1696">
        <f>SUMIFS(J:J, G:G,             A1696, H:H, B1696, L:L, L1696)</f>
        <v/>
      </c>
      <c r="F1696" t="inlineStr">
        <is>
          <t>39</t>
        </is>
      </c>
      <c r="G1696" t="inlineStr">
        <is>
          <t>鈴木 十五</t>
        </is>
      </c>
      <c r="H1696" t="inlineStr">
        <is>
          <t>TCNz004:新SMS開発</t>
        </is>
      </c>
      <c r="I1696" s="1" t="n">
        <v>45938</v>
      </c>
      <c r="J1696" t="n">
        <v>5</v>
      </c>
      <c r="L1696">
        <f>IFERROR(LEFT(K1696,             FIND(",", K1696) - 1), "-")</f>
        <v/>
      </c>
      <c r="M1696">
        <f>IFERROR(MID(K1696,             FIND(",", K1696) + 1, LEN(K1696) - FIND(",", K1696)), K1696)</f>
        <v/>
      </c>
      <c r="N1696" t="n">
        <v>5</v>
      </c>
      <c r="P1696" t="inlineStr">
        <is>
          <t>13:00</t>
        </is>
      </c>
      <c r="Q1696" t="inlineStr">
        <is>
          <t>18:00</t>
        </is>
      </c>
    </row>
    <row r="1697">
      <c r="A1697" t="inlineStr">
        <is>
          <t>鈴木 十五</t>
        </is>
      </c>
      <c r="B1697" t="inlineStr">
        <is>
          <t>TCNz004:新SMS開発</t>
        </is>
      </c>
      <c r="D1697">
        <f>L1697</f>
        <v/>
      </c>
      <c r="E1697">
        <f>SUMIFS(J:J, G:G,             A1697, H:H, B1697, L:L, L1697)</f>
        <v/>
      </c>
      <c r="F1697" t="inlineStr">
        <is>
          <t>39</t>
        </is>
      </c>
      <c r="G1697" t="inlineStr">
        <is>
          <t>鈴木 十五</t>
        </is>
      </c>
      <c r="H1697" t="inlineStr">
        <is>
          <t>TCNz004:新SMS開発</t>
        </is>
      </c>
      <c r="I1697" s="1" t="n">
        <v>45939</v>
      </c>
      <c r="J1697" t="n">
        <v>2.75</v>
      </c>
      <c r="L1697">
        <f>IFERROR(LEFT(K1697,             FIND(",", K1697) - 1), "-")</f>
        <v/>
      </c>
      <c r="M1697">
        <f>IFERROR(MID(K1697,             FIND(",", K1697) + 1, LEN(K1697) - FIND(",", K1697)), K1697)</f>
        <v/>
      </c>
      <c r="N1697" t="n">
        <v>5</v>
      </c>
      <c r="P1697" t="inlineStr">
        <is>
          <t>09:15</t>
        </is>
      </c>
      <c r="Q1697" t="inlineStr">
        <is>
          <t>12:00</t>
        </is>
      </c>
    </row>
    <row r="1698">
      <c r="A1698" t="inlineStr">
        <is>
          <t>鈴木 十五</t>
        </is>
      </c>
      <c r="B1698" t="inlineStr">
        <is>
          <t>TCNz004:新SMS開発</t>
        </is>
      </c>
      <c r="D1698">
        <f>L1698</f>
        <v/>
      </c>
      <c r="E1698">
        <f>SUMIFS(J:J, G:G,             A1698, H:H, B1698, L:L, L1698)</f>
        <v/>
      </c>
      <c r="F1698" t="inlineStr">
        <is>
          <t>39</t>
        </is>
      </c>
      <c r="G1698" t="inlineStr">
        <is>
          <t>鈴木 十五</t>
        </is>
      </c>
      <c r="H1698" t="inlineStr">
        <is>
          <t>TCNz004:新SMS開発</t>
        </is>
      </c>
      <c r="I1698" s="1" t="n">
        <v>45939</v>
      </c>
      <c r="J1698" t="n">
        <v>5</v>
      </c>
      <c r="L1698">
        <f>IFERROR(LEFT(K1698,             FIND(",", K1698) - 1), "-")</f>
        <v/>
      </c>
      <c r="M1698">
        <f>IFERROR(MID(K1698,             FIND(",", K1698) + 1, LEN(K1698) - FIND(",", K1698)), K1698)</f>
        <v/>
      </c>
      <c r="N1698" t="n">
        <v>5</v>
      </c>
      <c r="P1698" t="inlineStr">
        <is>
          <t>13:00</t>
        </is>
      </c>
      <c r="Q1698" t="inlineStr">
        <is>
          <t>18:00</t>
        </is>
      </c>
    </row>
    <row r="1699">
      <c r="A1699" t="inlineStr">
        <is>
          <t>鈴木 十五</t>
        </is>
      </c>
      <c r="B1699" t="inlineStr">
        <is>
          <t>TCNz004:新SMS開発</t>
        </is>
      </c>
      <c r="D1699">
        <f>L1699</f>
        <v/>
      </c>
      <c r="E1699">
        <f>SUMIFS(J:J, G:G,             A1699, H:H, B1699, L:L, L1699)</f>
        <v/>
      </c>
      <c r="F1699" t="inlineStr">
        <is>
          <t>39</t>
        </is>
      </c>
      <c r="G1699" t="inlineStr">
        <is>
          <t>鈴木 十五</t>
        </is>
      </c>
      <c r="H1699" t="inlineStr">
        <is>
          <t>TCNz004:新SMS開発</t>
        </is>
      </c>
      <c r="I1699" s="1" t="n">
        <v>45944</v>
      </c>
      <c r="J1699" t="n">
        <v>2.75</v>
      </c>
      <c r="L1699">
        <f>IFERROR(LEFT(K1699,             FIND(",", K1699) - 1), "-")</f>
        <v/>
      </c>
      <c r="M1699">
        <f>IFERROR(MID(K1699,             FIND(",", K1699) + 1, LEN(K1699) - FIND(",", K1699)), K1699)</f>
        <v/>
      </c>
      <c r="N1699" t="n">
        <v>5</v>
      </c>
      <c r="P1699" t="inlineStr">
        <is>
          <t>09:15</t>
        </is>
      </c>
      <c r="Q1699" t="inlineStr">
        <is>
          <t>12:00</t>
        </is>
      </c>
    </row>
    <row r="1700">
      <c r="A1700" t="inlineStr">
        <is>
          <t>鈴木 十五</t>
        </is>
      </c>
      <c r="B1700" t="inlineStr">
        <is>
          <t>TCNz004:新SMS開発</t>
        </is>
      </c>
      <c r="D1700">
        <f>L1700</f>
        <v/>
      </c>
      <c r="E1700">
        <f>SUMIFS(J:J, G:G,             A1700, H:H, B1700, L:L, L1700)</f>
        <v/>
      </c>
      <c r="F1700" t="inlineStr">
        <is>
          <t>39</t>
        </is>
      </c>
      <c r="G1700" t="inlineStr">
        <is>
          <t>鈴木 十五</t>
        </is>
      </c>
      <c r="H1700" t="inlineStr">
        <is>
          <t>TCNz004:新SMS開発</t>
        </is>
      </c>
      <c r="I1700" s="1" t="n">
        <v>45944</v>
      </c>
      <c r="J1700" t="n">
        <v>5</v>
      </c>
      <c r="L1700">
        <f>IFERROR(LEFT(K1700,             FIND(",", K1700) - 1), "-")</f>
        <v/>
      </c>
      <c r="M1700">
        <f>IFERROR(MID(K1700,             FIND(",", K1700) + 1, LEN(K1700) - FIND(",", K1700)), K1700)</f>
        <v/>
      </c>
      <c r="N1700" t="n">
        <v>5</v>
      </c>
      <c r="P1700" t="inlineStr">
        <is>
          <t>13:00</t>
        </is>
      </c>
      <c r="Q1700" t="inlineStr">
        <is>
          <t>18:00</t>
        </is>
      </c>
    </row>
    <row r="1701">
      <c r="A1701" t="inlineStr">
        <is>
          <t>鈴木 十五</t>
        </is>
      </c>
      <c r="B1701" t="inlineStr">
        <is>
          <t>TCNz004:新SMS開発</t>
        </is>
      </c>
      <c r="D1701">
        <f>L1701</f>
        <v/>
      </c>
      <c r="E1701">
        <f>SUMIFS(J:J, G:G,             A1701, H:H, B1701, L:L, L1701)</f>
        <v/>
      </c>
      <c r="F1701" t="inlineStr">
        <is>
          <t>39</t>
        </is>
      </c>
      <c r="G1701" t="inlineStr">
        <is>
          <t>鈴木 十五</t>
        </is>
      </c>
      <c r="H1701" t="inlineStr">
        <is>
          <t>TCNz004:新SMS開発</t>
        </is>
      </c>
      <c r="I1701" s="1" t="n">
        <v>45945</v>
      </c>
      <c r="J1701" t="n">
        <v>3</v>
      </c>
      <c r="L1701">
        <f>IFERROR(LEFT(K1701,             FIND(",", K1701) - 1), "-")</f>
        <v/>
      </c>
      <c r="M1701">
        <f>IFERROR(MID(K1701,             FIND(",", K1701) + 1, LEN(K1701) - FIND(",", K1701)), K1701)</f>
        <v/>
      </c>
      <c r="N1701" t="n">
        <v>5</v>
      </c>
      <c r="P1701" t="inlineStr">
        <is>
          <t>09:00</t>
        </is>
      </c>
      <c r="Q1701" t="inlineStr">
        <is>
          <t>12:00</t>
        </is>
      </c>
    </row>
    <row r="1702">
      <c r="A1702" t="inlineStr">
        <is>
          <t>鈴木 十五</t>
        </is>
      </c>
      <c r="B1702" t="inlineStr">
        <is>
          <t>TCNz004:新SMS開発</t>
        </is>
      </c>
      <c r="D1702">
        <f>L1702</f>
        <v/>
      </c>
      <c r="E1702">
        <f>SUMIFS(J:J, G:G,             A1702, H:H, B1702, L:L, L1702)</f>
        <v/>
      </c>
      <c r="F1702" t="inlineStr">
        <is>
          <t>39</t>
        </is>
      </c>
      <c r="G1702" t="inlineStr">
        <is>
          <t>鈴木 十五</t>
        </is>
      </c>
      <c r="H1702" t="inlineStr">
        <is>
          <t>TCNz004:新SMS開発</t>
        </is>
      </c>
      <c r="I1702" s="1" t="n">
        <v>45945</v>
      </c>
      <c r="J1702" t="n">
        <v>5</v>
      </c>
      <c r="L1702">
        <f>IFERROR(LEFT(K1702,             FIND(",", K1702) - 1), "-")</f>
        <v/>
      </c>
      <c r="M1702">
        <f>IFERROR(MID(K1702,             FIND(",", K1702) + 1, LEN(K1702) - FIND(",", K1702)), K1702)</f>
        <v/>
      </c>
      <c r="N1702" t="n">
        <v>5</v>
      </c>
      <c r="P1702" t="inlineStr">
        <is>
          <t>13:00</t>
        </is>
      </c>
      <c r="Q1702" t="inlineStr">
        <is>
          <t>18:00</t>
        </is>
      </c>
    </row>
    <row r="1703">
      <c r="A1703" t="inlineStr">
        <is>
          <t>鈴木 十五</t>
        </is>
      </c>
      <c r="B1703" t="inlineStr">
        <is>
          <t>TCNz004:新SMS開発</t>
        </is>
      </c>
      <c r="D1703">
        <f>L1703</f>
        <v/>
      </c>
      <c r="E1703">
        <f>SUMIFS(J:J, G:G,             A1703, H:H, B1703, L:L, L1703)</f>
        <v/>
      </c>
      <c r="F1703" t="inlineStr">
        <is>
          <t>39</t>
        </is>
      </c>
      <c r="G1703" t="inlineStr">
        <is>
          <t>鈴木 十五</t>
        </is>
      </c>
      <c r="H1703" t="inlineStr">
        <is>
          <t>TCNz004:新SMS開発</t>
        </is>
      </c>
      <c r="I1703" s="1" t="n">
        <v>45946</v>
      </c>
      <c r="J1703" t="n">
        <v>3</v>
      </c>
      <c r="L1703">
        <f>IFERROR(LEFT(K1703,             FIND(",", K1703) - 1), "-")</f>
        <v/>
      </c>
      <c r="M1703">
        <f>IFERROR(MID(K1703,             FIND(",", K1703) + 1, LEN(K1703) - FIND(",", K1703)), K1703)</f>
        <v/>
      </c>
      <c r="N1703" t="n">
        <v>5</v>
      </c>
      <c r="P1703" t="inlineStr">
        <is>
          <t>09:00</t>
        </is>
      </c>
      <c r="Q1703" t="inlineStr">
        <is>
          <t>12:00</t>
        </is>
      </c>
    </row>
    <row r="1704">
      <c r="A1704" t="inlineStr">
        <is>
          <t>鈴木 十五</t>
        </is>
      </c>
      <c r="B1704" t="inlineStr">
        <is>
          <t>TCNz004:新SMS開発</t>
        </is>
      </c>
      <c r="D1704">
        <f>L1704</f>
        <v/>
      </c>
      <c r="E1704">
        <f>SUMIFS(J:J, G:G,             A1704, H:H, B1704, L:L, L1704)</f>
        <v/>
      </c>
      <c r="F1704" t="inlineStr">
        <is>
          <t>39</t>
        </is>
      </c>
      <c r="G1704" t="inlineStr">
        <is>
          <t>鈴木 十五</t>
        </is>
      </c>
      <c r="H1704" t="inlineStr">
        <is>
          <t>TCNz004:新SMS開発</t>
        </is>
      </c>
      <c r="I1704" s="1" t="n">
        <v>45946</v>
      </c>
      <c r="J1704" t="n">
        <v>5.25</v>
      </c>
      <c r="L1704">
        <f>IFERROR(LEFT(K1704,             FIND(",", K1704) - 1), "-")</f>
        <v/>
      </c>
      <c r="M1704">
        <f>IFERROR(MID(K1704,             FIND(",", K1704) + 1, LEN(K1704) - FIND(",", K1704)), K1704)</f>
        <v/>
      </c>
      <c r="N1704" t="n">
        <v>5</v>
      </c>
      <c r="P1704" t="inlineStr">
        <is>
          <t>13:00</t>
        </is>
      </c>
      <c r="Q1704" t="inlineStr">
        <is>
          <t>18:15</t>
        </is>
      </c>
    </row>
    <row r="1705">
      <c r="A1705" t="inlineStr">
        <is>
          <t>鈴木 十五</t>
        </is>
      </c>
      <c r="B1705" t="inlineStr">
        <is>
          <t>TCNz004:新SMS開発</t>
        </is>
      </c>
      <c r="D1705">
        <f>L1705</f>
        <v/>
      </c>
      <c r="E1705">
        <f>SUMIFS(J:J, G:G,             A1705, H:H, B1705, L:L, L1705)</f>
        <v/>
      </c>
      <c r="F1705" t="inlineStr">
        <is>
          <t>39</t>
        </is>
      </c>
      <c r="G1705" t="inlineStr">
        <is>
          <t>鈴木 十五</t>
        </is>
      </c>
      <c r="H1705" t="inlineStr">
        <is>
          <t>TCNz004:新SMS開発</t>
        </is>
      </c>
      <c r="I1705" s="1" t="n">
        <v>45947</v>
      </c>
      <c r="J1705" t="n">
        <v>3</v>
      </c>
      <c r="L1705">
        <f>IFERROR(LEFT(K1705,             FIND(",", K1705) - 1), "-")</f>
        <v/>
      </c>
      <c r="M1705">
        <f>IFERROR(MID(K1705,             FIND(",", K1705) + 1, LEN(K1705) - FIND(",", K1705)), K1705)</f>
        <v/>
      </c>
      <c r="N1705" t="n">
        <v>5</v>
      </c>
      <c r="P1705" t="inlineStr">
        <is>
          <t>09:00</t>
        </is>
      </c>
      <c r="Q1705" t="inlineStr">
        <is>
          <t>12:00</t>
        </is>
      </c>
    </row>
    <row r="1706">
      <c r="A1706" t="inlineStr">
        <is>
          <t>鈴木 十五</t>
        </is>
      </c>
      <c r="B1706" t="inlineStr">
        <is>
          <t>TCNz004:新SMS開発</t>
        </is>
      </c>
      <c r="D1706">
        <f>L1706</f>
        <v/>
      </c>
      <c r="E1706">
        <f>SUMIFS(J:J, G:G,             A1706, H:H, B1706, L:L, L1706)</f>
        <v/>
      </c>
      <c r="F1706" t="inlineStr">
        <is>
          <t>39</t>
        </is>
      </c>
      <c r="G1706" t="inlineStr">
        <is>
          <t>鈴木 十五</t>
        </is>
      </c>
      <c r="H1706" t="inlineStr">
        <is>
          <t>TCNz004:新SMS開発</t>
        </is>
      </c>
      <c r="I1706" s="1" t="n">
        <v>45947</v>
      </c>
      <c r="J1706" t="n">
        <v>5</v>
      </c>
      <c r="L1706">
        <f>IFERROR(LEFT(K1706,             FIND(",", K1706) - 1), "-")</f>
        <v/>
      </c>
      <c r="M1706">
        <f>IFERROR(MID(K1706,             FIND(",", K1706) + 1, LEN(K1706) - FIND(",", K1706)), K1706)</f>
        <v/>
      </c>
      <c r="N1706" t="n">
        <v>5</v>
      </c>
      <c r="P1706" t="inlineStr">
        <is>
          <t>13:00</t>
        </is>
      </c>
      <c r="Q1706" t="inlineStr">
        <is>
          <t>18:00</t>
        </is>
      </c>
    </row>
    <row r="1707">
      <c r="A1707" t="inlineStr">
        <is>
          <t>鈴木 十五</t>
        </is>
      </c>
      <c r="B1707" t="inlineStr">
        <is>
          <t>TCNz004:新SMS開発</t>
        </is>
      </c>
      <c r="D1707">
        <f>L1707</f>
        <v/>
      </c>
      <c r="E1707">
        <f>SUMIFS(J:J, G:G,             A1707, H:H, B1707, L:L, L1707)</f>
        <v/>
      </c>
      <c r="F1707" t="inlineStr">
        <is>
          <t>39</t>
        </is>
      </c>
      <c r="G1707" t="inlineStr">
        <is>
          <t>鈴木 十五</t>
        </is>
      </c>
      <c r="H1707" t="inlineStr">
        <is>
          <t>TCNz004:新SMS開発</t>
        </is>
      </c>
      <c r="I1707" s="1" t="n">
        <v>45950</v>
      </c>
      <c r="J1707" t="n">
        <v>2.5</v>
      </c>
      <c r="L1707">
        <f>IFERROR(LEFT(K1707,             FIND(",", K1707) - 1), "-")</f>
        <v/>
      </c>
      <c r="M1707">
        <f>IFERROR(MID(K1707,             FIND(",", K1707) + 1, LEN(K1707) - FIND(",", K1707)), K1707)</f>
        <v/>
      </c>
      <c r="N1707" t="n">
        <v>5</v>
      </c>
      <c r="P1707" t="inlineStr">
        <is>
          <t>15:30</t>
        </is>
      </c>
      <c r="Q1707" t="inlineStr">
        <is>
          <t>18:00</t>
        </is>
      </c>
    </row>
    <row r="1708">
      <c r="A1708" t="inlineStr">
        <is>
          <t>鈴木 十五</t>
        </is>
      </c>
      <c r="B1708" t="inlineStr">
        <is>
          <t>TCNz004:新SMS開発</t>
        </is>
      </c>
      <c r="D1708">
        <f>L1708</f>
        <v/>
      </c>
      <c r="E1708">
        <f>SUMIFS(J:J, G:G,             A1708, H:H, B1708, L:L, L1708)</f>
        <v/>
      </c>
      <c r="F1708" t="inlineStr">
        <is>
          <t>39</t>
        </is>
      </c>
      <c r="G1708" t="inlineStr">
        <is>
          <t>鈴木 十五</t>
        </is>
      </c>
      <c r="H1708" t="inlineStr">
        <is>
          <t>TCNz004:新SMS開発</t>
        </is>
      </c>
      <c r="I1708" s="1" t="n">
        <v>45951</v>
      </c>
      <c r="J1708" t="n">
        <v>3</v>
      </c>
      <c r="L1708">
        <f>IFERROR(LEFT(K1708,             FIND(",", K1708) - 1), "-")</f>
        <v/>
      </c>
      <c r="M1708">
        <f>IFERROR(MID(K1708,             FIND(",", K1708) + 1, LEN(K1708) - FIND(",", K1708)), K1708)</f>
        <v/>
      </c>
      <c r="N1708" t="n">
        <v>5</v>
      </c>
      <c r="P1708" t="inlineStr">
        <is>
          <t>09:00</t>
        </is>
      </c>
      <c r="Q1708" t="inlineStr">
        <is>
          <t>12:00</t>
        </is>
      </c>
    </row>
    <row r="1709">
      <c r="A1709" t="inlineStr">
        <is>
          <t>鈴木 十五</t>
        </is>
      </c>
      <c r="B1709" t="inlineStr">
        <is>
          <t>TCNz004:新SMS開発</t>
        </is>
      </c>
      <c r="D1709">
        <f>L1709</f>
        <v/>
      </c>
      <c r="E1709">
        <f>SUMIFS(J:J, G:G,             A1709, H:H, B1709, L:L, L1709)</f>
        <v/>
      </c>
      <c r="F1709" t="inlineStr">
        <is>
          <t>39</t>
        </is>
      </c>
      <c r="G1709" t="inlineStr">
        <is>
          <t>鈴木 十五</t>
        </is>
      </c>
      <c r="H1709" t="inlineStr">
        <is>
          <t>TCNz004:新SMS開発</t>
        </is>
      </c>
      <c r="I1709" s="1" t="n">
        <v>45951</v>
      </c>
      <c r="J1709" t="n">
        <v>0.5</v>
      </c>
      <c r="L1709">
        <f>IFERROR(LEFT(K1709,             FIND(",", K1709) - 1), "-")</f>
        <v/>
      </c>
      <c r="M1709">
        <f>IFERROR(MID(K1709,             FIND(",", K1709) + 1, LEN(K1709) - FIND(",", K1709)), K1709)</f>
        <v/>
      </c>
      <c r="N1709" t="n">
        <v>5</v>
      </c>
      <c r="P1709" t="inlineStr">
        <is>
          <t>13:00</t>
        </is>
      </c>
      <c r="Q1709" t="inlineStr">
        <is>
          <t>13:30</t>
        </is>
      </c>
    </row>
    <row r="1710">
      <c r="A1710" t="inlineStr">
        <is>
          <t>鈴木 十五</t>
        </is>
      </c>
      <c r="B1710" t="inlineStr">
        <is>
          <t>TCNz004:新SMS開発</t>
        </is>
      </c>
      <c r="D1710">
        <f>L1710</f>
        <v/>
      </c>
      <c r="E1710">
        <f>SUMIFS(J:J, G:G,             A1710, H:H, B1710, L:L, L1710)</f>
        <v/>
      </c>
      <c r="F1710" t="inlineStr">
        <is>
          <t>39</t>
        </is>
      </c>
      <c r="G1710" t="inlineStr">
        <is>
          <t>鈴木 十五</t>
        </is>
      </c>
      <c r="H1710" t="inlineStr">
        <is>
          <t>TCNz004:新SMS開発</t>
        </is>
      </c>
      <c r="I1710" s="1" t="n">
        <v>45952</v>
      </c>
      <c r="J1710" t="n">
        <v>1</v>
      </c>
      <c r="L1710">
        <f>IFERROR(LEFT(K1710,             FIND(",", K1710) - 1), "-")</f>
        <v/>
      </c>
      <c r="M1710">
        <f>IFERROR(MID(K1710,             FIND(",", K1710) + 1, LEN(K1710) - FIND(",", K1710)), K1710)</f>
        <v/>
      </c>
      <c r="N1710" t="n">
        <v>5</v>
      </c>
      <c r="P1710" t="inlineStr">
        <is>
          <t>17:00</t>
        </is>
      </c>
      <c r="Q1710" t="inlineStr">
        <is>
          <t>18:00</t>
        </is>
      </c>
    </row>
    <row r="1711">
      <c r="A1711" t="inlineStr">
        <is>
          <t>鈴木 十五</t>
        </is>
      </c>
      <c r="B1711" t="inlineStr">
        <is>
          <t>TCNz004:新SMS開発</t>
        </is>
      </c>
      <c r="D1711">
        <f>L1711</f>
        <v/>
      </c>
      <c r="E1711">
        <f>SUMIFS(J:J, G:G,             A1711, H:H, B1711, L:L, L1711)</f>
        <v/>
      </c>
      <c r="F1711" t="inlineStr">
        <is>
          <t>39</t>
        </is>
      </c>
      <c r="G1711" t="inlineStr">
        <is>
          <t>鈴木 十五</t>
        </is>
      </c>
      <c r="H1711" t="inlineStr">
        <is>
          <t>TCNz004:新SMS開発</t>
        </is>
      </c>
      <c r="I1711" s="1" t="n">
        <v>45953</v>
      </c>
      <c r="J1711" t="n">
        <v>1.25</v>
      </c>
      <c r="L1711">
        <f>IFERROR(LEFT(K1711,             FIND(",", K1711) - 1), "-")</f>
        <v/>
      </c>
      <c r="M1711">
        <f>IFERROR(MID(K1711,             FIND(",", K1711) + 1, LEN(K1711) - FIND(",", K1711)), K1711)</f>
        <v/>
      </c>
      <c r="N1711" t="n">
        <v>5</v>
      </c>
      <c r="P1711" t="inlineStr">
        <is>
          <t>16:45</t>
        </is>
      </c>
      <c r="Q1711" t="inlineStr">
        <is>
          <t>18:00</t>
        </is>
      </c>
    </row>
    <row r="1712">
      <c r="A1712" t="inlineStr">
        <is>
          <t>鈴木 十五</t>
        </is>
      </c>
      <c r="B1712" t="inlineStr">
        <is>
          <t>YMHA003:ヤマハWBS:追加要望対応</t>
        </is>
      </c>
      <c r="C1712">
        <f>SUMIFS(J:J, G:G,             A1712, H:H, B1712)</f>
        <v/>
      </c>
      <c r="D1712">
        <f>L1712</f>
        <v/>
      </c>
      <c r="E1712">
        <f>SUMIFS(J:J, G:G,             A1712, H:H, B1712, L:L, L1712)</f>
        <v/>
      </c>
      <c r="F1712" t="inlineStr">
        <is>
          <t>39</t>
        </is>
      </c>
      <c r="G1712" t="inlineStr">
        <is>
          <t>鈴木 十五</t>
        </is>
      </c>
      <c r="H1712" t="inlineStr">
        <is>
          <t>YMHA003:ヤマハWBS:追加要望対応</t>
        </is>
      </c>
      <c r="I1712" s="1" t="n">
        <v>45937</v>
      </c>
      <c r="J1712" t="n">
        <v>0.25</v>
      </c>
      <c r="L1712">
        <f>IFERROR(LEFT(K1712,             FIND(",", K1712) - 1), "-")</f>
        <v/>
      </c>
      <c r="M1712">
        <f>IFERROR(MID(K1712,             FIND(",", K1712) + 1, LEN(K1712) - FIND(",", K1712)), K1712)</f>
        <v/>
      </c>
      <c r="N1712" t="n">
        <v>9</v>
      </c>
      <c r="P1712" t="inlineStr">
        <is>
          <t>09:00</t>
        </is>
      </c>
      <c r="Q1712" t="inlineStr">
        <is>
          <t>09:15</t>
        </is>
      </c>
    </row>
    <row r="1713">
      <c r="A1713" t="inlineStr">
        <is>
          <t>鈴木 十五</t>
        </is>
      </c>
      <c r="B1713" t="inlineStr">
        <is>
          <t>YMHA003:ヤマハWBS:追加要望対応</t>
        </is>
      </c>
      <c r="D1713">
        <f>L1713</f>
        <v/>
      </c>
      <c r="E1713">
        <f>SUMIFS(J:J, G:G,             A1713, H:H, B1713, L:L, L1713)</f>
        <v/>
      </c>
      <c r="F1713" t="inlineStr">
        <is>
          <t>39</t>
        </is>
      </c>
      <c r="G1713" t="inlineStr">
        <is>
          <t>鈴木 十五</t>
        </is>
      </c>
      <c r="H1713" t="inlineStr">
        <is>
          <t>YMHA003:ヤマハWBS:追加要望対応</t>
        </is>
      </c>
      <c r="I1713" s="1" t="n">
        <v>45944</v>
      </c>
      <c r="J1713" t="n">
        <v>0.25</v>
      </c>
      <c r="L1713">
        <f>IFERROR(LEFT(K1713,             FIND(",", K1713) - 1), "-")</f>
        <v/>
      </c>
      <c r="M1713">
        <f>IFERROR(MID(K1713,             FIND(",", K1713) + 1, LEN(K1713) - FIND(",", K1713)), K1713)</f>
        <v/>
      </c>
      <c r="N1713" t="n">
        <v>9</v>
      </c>
      <c r="P1713" t="inlineStr">
        <is>
          <t>09:00</t>
        </is>
      </c>
      <c r="Q1713" t="inlineStr">
        <is>
          <t>09:15</t>
        </is>
      </c>
    </row>
    <row r="1714">
      <c r="A1714" t="inlineStr">
        <is>
          <t>鈴木 十五</t>
        </is>
      </c>
      <c r="B1714" t="inlineStr">
        <is>
          <t>YMHN002:ヤマハWBS:瑕疵対応</t>
        </is>
      </c>
      <c r="C1714">
        <f>SUMIFS(J:J, G:G,             A1714, H:H, B1714)</f>
        <v/>
      </c>
      <c r="D1714">
        <f>L1714</f>
        <v/>
      </c>
      <c r="E1714">
        <f>SUMIFS(J:J, G:G,             A1714, H:H, B1714, L:L, L1714)</f>
        <v/>
      </c>
      <c r="F1714" t="inlineStr">
        <is>
          <t>39</t>
        </is>
      </c>
      <c r="G1714" t="inlineStr">
        <is>
          <t>鈴木 十五</t>
        </is>
      </c>
      <c r="H1714" t="inlineStr">
        <is>
          <t>YMHN002:ヤマハWBS:瑕疵対応</t>
        </is>
      </c>
      <c r="I1714" s="1" t="n">
        <v>45931</v>
      </c>
      <c r="J1714" t="n">
        <v>3</v>
      </c>
      <c r="L1714">
        <f>IFERROR(LEFT(K1714,             FIND(",", K1714) - 1), "-")</f>
        <v/>
      </c>
      <c r="M1714">
        <f>IFERROR(MID(K1714,             FIND(",", K1714) + 1, LEN(K1714) - FIND(",", K1714)), K1714)</f>
        <v/>
      </c>
      <c r="N1714" t="n">
        <v>4</v>
      </c>
      <c r="P1714" t="inlineStr">
        <is>
          <t>09:00</t>
        </is>
      </c>
      <c r="Q1714" t="inlineStr">
        <is>
          <t>12:00</t>
        </is>
      </c>
    </row>
    <row r="1715">
      <c r="A1715" t="inlineStr">
        <is>
          <t>鈴木 十五</t>
        </is>
      </c>
      <c r="B1715" t="inlineStr">
        <is>
          <t>YMHN002:ヤマハWBS:瑕疵対応</t>
        </is>
      </c>
      <c r="D1715">
        <f>L1715</f>
        <v/>
      </c>
      <c r="E1715">
        <f>SUMIFS(J:J, G:G,             A1715, H:H, B1715, L:L, L1715)</f>
        <v/>
      </c>
      <c r="F1715" t="inlineStr">
        <is>
          <t>39</t>
        </is>
      </c>
      <c r="G1715" t="inlineStr">
        <is>
          <t>鈴木 十五</t>
        </is>
      </c>
      <c r="H1715" t="inlineStr">
        <is>
          <t>YMHN002:ヤマハWBS:瑕疵対応</t>
        </is>
      </c>
      <c r="I1715" s="1" t="n">
        <v>45931</v>
      </c>
      <c r="J1715" t="n">
        <v>5</v>
      </c>
      <c r="L1715">
        <f>IFERROR(LEFT(K1715,             FIND(",", K1715) - 1), "-")</f>
        <v/>
      </c>
      <c r="M1715">
        <f>IFERROR(MID(K1715,             FIND(",", K1715) + 1, LEN(K1715) - FIND(",", K1715)), K1715)</f>
        <v/>
      </c>
      <c r="N1715" t="n">
        <v>4</v>
      </c>
      <c r="P1715" t="inlineStr">
        <is>
          <t>13:00</t>
        </is>
      </c>
      <c r="Q1715" t="inlineStr">
        <is>
          <t>18:00</t>
        </is>
      </c>
    </row>
    <row r="1716">
      <c r="A1716" t="inlineStr">
        <is>
          <t>鈴木 十五</t>
        </is>
      </c>
      <c r="B1716" t="inlineStr">
        <is>
          <t>YMHN002:ヤマハWBS:瑕疵対応</t>
        </is>
      </c>
      <c r="D1716">
        <f>L1716</f>
        <v/>
      </c>
      <c r="E1716">
        <f>SUMIFS(J:J, G:G,             A1716, H:H, B1716, L:L, L1716)</f>
        <v/>
      </c>
      <c r="F1716" t="inlineStr">
        <is>
          <t>39</t>
        </is>
      </c>
      <c r="G1716" t="inlineStr">
        <is>
          <t>鈴木 十五</t>
        </is>
      </c>
      <c r="H1716" t="inlineStr">
        <is>
          <t>YMHN002:ヤマハWBS:瑕疵対応</t>
        </is>
      </c>
      <c r="I1716" s="1" t="n">
        <v>45932</v>
      </c>
      <c r="J1716" t="n">
        <v>3</v>
      </c>
      <c r="L1716">
        <f>IFERROR(LEFT(K1716,             FIND(",", K1716) - 1), "-")</f>
        <v/>
      </c>
      <c r="M1716">
        <f>IFERROR(MID(K1716,             FIND(",", K1716) + 1, LEN(K1716) - FIND(",", K1716)), K1716)</f>
        <v/>
      </c>
      <c r="N1716" t="n">
        <v>4</v>
      </c>
      <c r="P1716" t="inlineStr">
        <is>
          <t>09:00</t>
        </is>
      </c>
      <c r="Q1716" t="inlineStr">
        <is>
          <t>12:00</t>
        </is>
      </c>
    </row>
    <row r="1717">
      <c r="A1717" t="inlineStr">
        <is>
          <t>鈴木 十五</t>
        </is>
      </c>
      <c r="B1717" t="inlineStr">
        <is>
          <t>YMHN002:ヤマハWBS:瑕疵対応</t>
        </is>
      </c>
      <c r="D1717">
        <f>L1717</f>
        <v/>
      </c>
      <c r="E1717">
        <f>SUMIFS(J:J, G:G,             A1717, H:H, B1717, L:L, L1717)</f>
        <v/>
      </c>
      <c r="F1717" t="inlineStr">
        <is>
          <t>39</t>
        </is>
      </c>
      <c r="G1717" t="inlineStr">
        <is>
          <t>鈴木 十五</t>
        </is>
      </c>
      <c r="H1717" t="inlineStr">
        <is>
          <t>YMHN002:ヤマハWBS:瑕疵対応</t>
        </is>
      </c>
      <c r="I1717" s="1" t="n">
        <v>45932</v>
      </c>
      <c r="J1717" t="n">
        <v>4.75</v>
      </c>
      <c r="L1717">
        <f>IFERROR(LEFT(K1717,             FIND(",", K1717) - 1), "-")</f>
        <v/>
      </c>
      <c r="M1717">
        <f>IFERROR(MID(K1717,             FIND(",", K1717) + 1, LEN(K1717) - FIND(",", K1717)), K1717)</f>
        <v/>
      </c>
      <c r="N1717" t="n">
        <v>4</v>
      </c>
      <c r="P1717" t="inlineStr">
        <is>
          <t>13:00</t>
        </is>
      </c>
      <c r="Q1717" t="inlineStr">
        <is>
          <t>17:45</t>
        </is>
      </c>
    </row>
    <row r="1718">
      <c r="A1718" t="inlineStr">
        <is>
          <t>鈴木 十五</t>
        </is>
      </c>
      <c r="B1718" t="inlineStr">
        <is>
          <t>YMHN002:ヤマハWBS:瑕疵対応</t>
        </is>
      </c>
      <c r="D1718">
        <f>L1718</f>
        <v/>
      </c>
      <c r="E1718">
        <f>SUMIFS(J:J, G:G,             A1718, H:H, B1718, L:L, L1718)</f>
        <v/>
      </c>
      <c r="F1718" t="inlineStr">
        <is>
          <t>39</t>
        </is>
      </c>
      <c r="G1718" t="inlineStr">
        <is>
          <t>鈴木 十五</t>
        </is>
      </c>
      <c r="H1718" t="inlineStr">
        <is>
          <t>YMHN002:ヤマハWBS:瑕疵対応</t>
        </is>
      </c>
      <c r="I1718" s="1" t="n">
        <v>45936</v>
      </c>
      <c r="J1718" t="n">
        <v>2.5</v>
      </c>
      <c r="L1718">
        <f>IFERROR(LEFT(K1718,             FIND(",", K1718) - 1), "-")</f>
        <v/>
      </c>
      <c r="M1718">
        <f>IFERROR(MID(K1718,             FIND(",", K1718) + 1, LEN(K1718) - FIND(",", K1718)), K1718)</f>
        <v/>
      </c>
      <c r="N1718" t="n">
        <v>4</v>
      </c>
      <c r="P1718" t="inlineStr">
        <is>
          <t>15:30</t>
        </is>
      </c>
      <c r="Q1718" t="inlineStr">
        <is>
          <t>18:00</t>
        </is>
      </c>
    </row>
    <row r="1719">
      <c r="A1719" t="inlineStr">
        <is>
          <t>鈴木 十五</t>
        </is>
      </c>
      <c r="B1719" t="inlineStr">
        <is>
          <t>YMHN002:ヤマハWBS:瑕疵対応</t>
        </is>
      </c>
      <c r="D1719">
        <f>L1719</f>
        <v/>
      </c>
      <c r="E1719">
        <f>SUMIFS(J:J, G:G,             A1719, H:H, B1719, L:L, L1719)</f>
        <v/>
      </c>
      <c r="F1719" t="inlineStr">
        <is>
          <t>39</t>
        </is>
      </c>
      <c r="G1719" t="inlineStr">
        <is>
          <t>鈴木 十五</t>
        </is>
      </c>
      <c r="H1719" t="inlineStr">
        <is>
          <t>YMHN002:ヤマハWBS:瑕疵対応</t>
        </is>
      </c>
      <c r="I1719" s="1" t="n">
        <v>45937</v>
      </c>
      <c r="J1719" t="n">
        <v>0.75</v>
      </c>
      <c r="L1719">
        <f>IFERROR(LEFT(K1719,             FIND(",", K1719) - 1), "-")</f>
        <v/>
      </c>
      <c r="M1719">
        <f>IFERROR(MID(K1719,             FIND(",", K1719) + 1, LEN(K1719) - FIND(",", K1719)), K1719)</f>
        <v/>
      </c>
      <c r="N1719" t="n">
        <v>4</v>
      </c>
      <c r="P1719" t="inlineStr">
        <is>
          <t>09:15</t>
        </is>
      </c>
      <c r="Q1719" t="inlineStr">
        <is>
          <t>10:00</t>
        </is>
      </c>
    </row>
    <row r="1720">
      <c r="A1720" t="inlineStr">
        <is>
          <t>鈴木 十五</t>
        </is>
      </c>
      <c r="B1720" t="inlineStr">
        <is>
          <t>YMHN002:ヤマハWBS:瑕疵対応</t>
        </is>
      </c>
      <c r="D1720">
        <f>L1720</f>
        <v/>
      </c>
      <c r="E1720">
        <f>SUMIFS(J:J, G:G,             A1720, H:H, B1720, L:L, L1720)</f>
        <v/>
      </c>
      <c r="F1720" t="inlineStr">
        <is>
          <t>39</t>
        </is>
      </c>
      <c r="G1720" t="inlineStr">
        <is>
          <t>鈴木 十五</t>
        </is>
      </c>
      <c r="H1720" t="inlineStr">
        <is>
          <t>YMHN002:ヤマハWBS:瑕疵対応</t>
        </is>
      </c>
      <c r="I1720" s="1" t="n">
        <v>45939</v>
      </c>
      <c r="J1720" t="n">
        <v>0.25</v>
      </c>
      <c r="L1720">
        <f>IFERROR(LEFT(K1720,             FIND(",", K1720) - 1), "-")</f>
        <v/>
      </c>
      <c r="M1720">
        <f>IFERROR(MID(K1720,             FIND(",", K1720) + 1, LEN(K1720) - FIND(",", K1720)), K1720)</f>
        <v/>
      </c>
      <c r="N1720" t="n">
        <v>4</v>
      </c>
      <c r="P1720" t="inlineStr">
        <is>
          <t>09:00</t>
        </is>
      </c>
      <c r="Q1720" t="inlineStr">
        <is>
          <t>09:15</t>
        </is>
      </c>
    </row>
    <row r="1721">
      <c r="A1721" t="inlineStr">
        <is>
          <t>鈴木 十五</t>
        </is>
      </c>
      <c r="B1721" t="inlineStr">
        <is>
          <t>YMHN002:ヤマハWBS:瑕疵対応</t>
        </is>
      </c>
      <c r="D1721">
        <f>L1721</f>
        <v/>
      </c>
      <c r="E1721">
        <f>SUMIFS(J:J, G:G,             A1721, H:H, B1721, L:L, L1721)</f>
        <v/>
      </c>
      <c r="F1721" t="inlineStr">
        <is>
          <t>39</t>
        </is>
      </c>
      <c r="G1721" t="inlineStr">
        <is>
          <t>鈴木 十五</t>
        </is>
      </c>
      <c r="H1721" t="inlineStr">
        <is>
          <t>YMHN002:ヤマハWBS:瑕疵対応</t>
        </is>
      </c>
      <c r="I1721" s="1" t="n">
        <v>45950</v>
      </c>
      <c r="J1721" t="n">
        <v>3</v>
      </c>
      <c r="L1721">
        <f>IFERROR(LEFT(K1721,             FIND(",", K1721) - 1), "-")</f>
        <v/>
      </c>
      <c r="M1721">
        <f>IFERROR(MID(K1721,             FIND(",", K1721) + 1, LEN(K1721) - FIND(",", K1721)), K1721)</f>
        <v/>
      </c>
      <c r="N1721" t="n">
        <v>4</v>
      </c>
      <c r="P1721" t="inlineStr">
        <is>
          <t>09:00</t>
        </is>
      </c>
      <c r="Q1721" t="inlineStr">
        <is>
          <t>12:00</t>
        </is>
      </c>
    </row>
    <row r="1722">
      <c r="A1722" t="inlineStr">
        <is>
          <t>鈴木 十五</t>
        </is>
      </c>
      <c r="B1722" t="inlineStr">
        <is>
          <t>YMHN002:ヤマハWBS:瑕疵対応</t>
        </is>
      </c>
      <c r="D1722">
        <f>L1722</f>
        <v/>
      </c>
      <c r="E1722">
        <f>SUMIFS(J:J, G:G,             A1722, H:H, B1722, L:L, L1722)</f>
        <v/>
      </c>
      <c r="F1722" t="inlineStr">
        <is>
          <t>39</t>
        </is>
      </c>
      <c r="G1722" t="inlineStr">
        <is>
          <t>鈴木 十五</t>
        </is>
      </c>
      <c r="H1722" t="inlineStr">
        <is>
          <t>YMHN002:ヤマハWBS:瑕疵対応</t>
        </is>
      </c>
      <c r="I1722" s="1" t="n">
        <v>45950</v>
      </c>
      <c r="J1722" t="n">
        <v>2.5</v>
      </c>
      <c r="L1722">
        <f>IFERROR(LEFT(K1722,             FIND(",", K1722) - 1), "-")</f>
        <v/>
      </c>
      <c r="M1722">
        <f>IFERROR(MID(K1722,             FIND(",", K1722) + 1, LEN(K1722) - FIND(",", K1722)), K1722)</f>
        <v/>
      </c>
      <c r="N1722" t="n">
        <v>4</v>
      </c>
      <c r="P1722" t="inlineStr">
        <is>
          <t>13:00</t>
        </is>
      </c>
      <c r="Q1722" t="inlineStr">
        <is>
          <t>15:30</t>
        </is>
      </c>
    </row>
    <row r="1723">
      <c r="A1723" t="inlineStr">
        <is>
          <t>鈴木 十五</t>
        </is>
      </c>
      <c r="B1723" t="inlineStr">
        <is>
          <t>YMHN002:ヤマハWBS:瑕疵対応</t>
        </is>
      </c>
      <c r="D1723">
        <f>L1723</f>
        <v/>
      </c>
      <c r="E1723">
        <f>SUMIFS(J:J, G:G,             A1723, H:H, B1723, L:L, L1723)</f>
        <v/>
      </c>
      <c r="F1723" t="inlineStr">
        <is>
          <t>39</t>
        </is>
      </c>
      <c r="G1723" t="inlineStr">
        <is>
          <t>鈴木 十五</t>
        </is>
      </c>
      <c r="H1723" t="inlineStr">
        <is>
          <t>YMHN002:ヤマハWBS:瑕疵対応</t>
        </is>
      </c>
      <c r="I1723" s="1" t="n">
        <v>45951</v>
      </c>
      <c r="J1723" t="n">
        <v>4.5</v>
      </c>
      <c r="L1723">
        <f>IFERROR(LEFT(K1723,             FIND(",", K1723) - 1), "-")</f>
        <v/>
      </c>
      <c r="M1723">
        <f>IFERROR(MID(K1723,             FIND(",", K1723) + 1, LEN(K1723) - FIND(",", K1723)), K1723)</f>
        <v/>
      </c>
      <c r="N1723" t="n">
        <v>4</v>
      </c>
      <c r="P1723" t="inlineStr">
        <is>
          <t>13:30</t>
        </is>
      </c>
      <c r="Q1723" t="inlineStr">
        <is>
          <t>18:00</t>
        </is>
      </c>
    </row>
    <row r="1724">
      <c r="A1724" t="inlineStr">
        <is>
          <t>鈴木 十五</t>
        </is>
      </c>
      <c r="B1724" t="inlineStr">
        <is>
          <t>YMHN002:ヤマハWBS:瑕疵対応</t>
        </is>
      </c>
      <c r="D1724">
        <f>L1724</f>
        <v/>
      </c>
      <c r="E1724">
        <f>SUMIFS(J:J, G:G,             A1724, H:H, B1724, L:L, L1724)</f>
        <v/>
      </c>
      <c r="F1724" t="inlineStr">
        <is>
          <t>39</t>
        </is>
      </c>
      <c r="G1724" t="inlineStr">
        <is>
          <t>鈴木 十五</t>
        </is>
      </c>
      <c r="H1724" t="inlineStr">
        <is>
          <t>YMHN002:ヤマハWBS:瑕疵対応</t>
        </is>
      </c>
      <c r="I1724" s="1" t="n">
        <v>45952</v>
      </c>
      <c r="J1724" t="n">
        <v>3</v>
      </c>
      <c r="L1724">
        <f>IFERROR(LEFT(K1724,             FIND(",", K1724) - 1), "-")</f>
        <v/>
      </c>
      <c r="M1724">
        <f>IFERROR(MID(K1724,             FIND(",", K1724) + 1, LEN(K1724) - FIND(",", K1724)), K1724)</f>
        <v/>
      </c>
      <c r="N1724" t="n">
        <v>4</v>
      </c>
      <c r="P1724" t="inlineStr">
        <is>
          <t>09:00</t>
        </is>
      </c>
      <c r="Q1724" t="inlineStr">
        <is>
          <t>12:00</t>
        </is>
      </c>
    </row>
    <row r="1725">
      <c r="A1725" t="inlineStr">
        <is>
          <t>鈴木 十五</t>
        </is>
      </c>
      <c r="B1725" t="inlineStr">
        <is>
          <t>YMHN002:ヤマハWBS:瑕疵対応</t>
        </is>
      </c>
      <c r="D1725">
        <f>L1725</f>
        <v/>
      </c>
      <c r="E1725">
        <f>SUMIFS(J:J, G:G,             A1725, H:H, B1725, L:L, L1725)</f>
        <v/>
      </c>
      <c r="F1725" t="inlineStr">
        <is>
          <t>39</t>
        </is>
      </c>
      <c r="G1725" t="inlineStr">
        <is>
          <t>鈴木 十五</t>
        </is>
      </c>
      <c r="H1725" t="inlineStr">
        <is>
          <t>YMHN002:ヤマハWBS:瑕疵対応</t>
        </is>
      </c>
      <c r="I1725" s="1" t="n">
        <v>45952</v>
      </c>
      <c r="J1725" t="n">
        <v>4</v>
      </c>
      <c r="L1725">
        <f>IFERROR(LEFT(K1725,             FIND(",", K1725) - 1), "-")</f>
        <v/>
      </c>
      <c r="M1725">
        <f>IFERROR(MID(K1725,             FIND(",", K1725) + 1, LEN(K1725) - FIND(",", K1725)), K1725)</f>
        <v/>
      </c>
      <c r="N1725" t="n">
        <v>4</v>
      </c>
      <c r="P1725" t="inlineStr">
        <is>
          <t>13:00</t>
        </is>
      </c>
      <c r="Q1725" t="inlineStr">
        <is>
          <t>17:00</t>
        </is>
      </c>
    </row>
    <row r="1726">
      <c r="A1726" t="inlineStr">
        <is>
          <t>鈴木 十五</t>
        </is>
      </c>
      <c r="B1726" t="inlineStr">
        <is>
          <t>YMHN002:ヤマハWBS:瑕疵対応</t>
        </is>
      </c>
      <c r="D1726">
        <f>L1726</f>
        <v/>
      </c>
      <c r="E1726">
        <f>SUMIFS(J:J, G:G,             A1726, H:H, B1726, L:L, L1726)</f>
        <v/>
      </c>
      <c r="F1726" t="inlineStr">
        <is>
          <t>39</t>
        </is>
      </c>
      <c r="G1726" t="inlineStr">
        <is>
          <t>鈴木 十五</t>
        </is>
      </c>
      <c r="H1726" t="inlineStr">
        <is>
          <t>YMHN002:ヤマハWBS:瑕疵対応</t>
        </is>
      </c>
      <c r="I1726" s="1" t="n">
        <v>45953</v>
      </c>
      <c r="J1726" t="n">
        <v>3</v>
      </c>
      <c r="L1726">
        <f>IFERROR(LEFT(K1726,             FIND(",", K1726) - 1), "-")</f>
        <v/>
      </c>
      <c r="M1726">
        <f>IFERROR(MID(K1726,             FIND(",", K1726) + 1, LEN(K1726) - FIND(",", K1726)), K1726)</f>
        <v/>
      </c>
      <c r="N1726" t="n">
        <v>4</v>
      </c>
      <c r="P1726" t="inlineStr">
        <is>
          <t>09:00</t>
        </is>
      </c>
      <c r="Q1726" t="inlineStr">
        <is>
          <t>12:00</t>
        </is>
      </c>
    </row>
    <row r="1727">
      <c r="A1727" t="inlineStr">
        <is>
          <t>鈴木 十五</t>
        </is>
      </c>
      <c r="B1727" t="inlineStr">
        <is>
          <t>YMHN002:ヤマハWBS:瑕疵対応</t>
        </is>
      </c>
      <c r="D1727">
        <f>L1727</f>
        <v/>
      </c>
      <c r="E1727">
        <f>SUMIFS(J:J, G:G,             A1727, H:H, B1727, L:L, L1727)</f>
        <v/>
      </c>
      <c r="F1727" t="inlineStr">
        <is>
          <t>39</t>
        </is>
      </c>
      <c r="G1727" t="inlineStr">
        <is>
          <t>鈴木 十五</t>
        </is>
      </c>
      <c r="H1727" t="inlineStr">
        <is>
          <t>YMHN002:ヤマハWBS:瑕疵対応</t>
        </is>
      </c>
      <c r="I1727" s="1" t="n">
        <v>45953</v>
      </c>
      <c r="J1727" t="n">
        <v>3.5</v>
      </c>
      <c r="L1727">
        <f>IFERROR(LEFT(K1727,             FIND(",", K1727) - 1), "-")</f>
        <v/>
      </c>
      <c r="M1727">
        <f>IFERROR(MID(K1727,             FIND(",", K1727) + 1, LEN(K1727) - FIND(",", K1727)), K1727)</f>
        <v/>
      </c>
      <c r="N1727" t="n">
        <v>4</v>
      </c>
      <c r="P1727" t="inlineStr">
        <is>
          <t>13:00</t>
        </is>
      </c>
      <c r="Q1727" t="inlineStr">
        <is>
          <t>16:30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2025-10-24T01:56:57Z</dcterms:created>
  <dcterms:modified xsi:type="dcterms:W3CDTF">2025-10-24T01:56:59Z</dcterms:modified>
</cp:coreProperties>
</file>